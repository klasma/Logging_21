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45677</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45677</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45677</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45677</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45677</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45677</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45677</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45677</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45677</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45677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45677</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45677</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45677</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45677</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45677</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45677</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45677</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45677</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45677</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45677</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45677</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45677</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45677</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45677</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45677</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45677</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45677</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45677</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45677</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45677</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45677</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45677</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45677</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45677</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45677</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45677</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45677</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45677</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45677</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45677</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45677</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45677</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45677</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45677</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45677</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45677</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45677</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45677</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45677</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45677</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45677</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45677</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45677</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45677</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45677</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45677</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45677</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45677</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45677</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45677</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45677</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45677</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45677</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45677</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45677</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45677</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45677</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45677</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45677</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45677</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45677</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45677</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45677</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45677</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45677</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45677</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45677</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45677</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45677</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45677</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45677</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45677</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45677</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45677</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45677</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45677</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45677</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45677</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45677</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45677</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45677</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45677</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45677</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45677</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45677</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45677</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45677</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45677</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45677</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45677</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45677</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45677</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45677</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45677</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45677</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45677</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45677</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45677</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45677</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45677</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45677</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45677</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45677</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45677</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45677</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45677</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45677</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45677</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45677</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45677</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45677</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45677</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45677</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45677</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45677</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45677</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45677</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45677</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45677</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45677</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45677</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45677</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45677</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45677</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45677</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45677</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45677</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45677</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45677</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45677</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45677</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45677</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45677</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45677</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45677</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45677</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45677</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45677</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45677</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45677</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45677</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45677</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45677</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45677</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45677</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45677</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45677</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45677</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45677</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45677</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45677</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45677</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45677</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45677</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45677</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45677</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45677</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45677</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45677</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45677</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45677</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45677</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43259-2021</t>
        </is>
      </c>
      <c r="B197" s="1" t="n">
        <v>44432</v>
      </c>
      <c r="C197" s="1" t="n">
        <v>45677</v>
      </c>
      <c r="D197" t="inlineStr">
        <is>
          <t>GÄVLEBORGS LÄN</t>
        </is>
      </c>
      <c r="E197" t="inlineStr">
        <is>
          <t>BOLLNÄS</t>
        </is>
      </c>
      <c r="G197" t="n">
        <v>3.8</v>
      </c>
      <c r="H197" t="n">
        <v>2</v>
      </c>
      <c r="I197" t="n">
        <v>1</v>
      </c>
      <c r="J197" t="n">
        <v>1</v>
      </c>
      <c r="K197" t="n">
        <v>1</v>
      </c>
      <c r="L197" t="n">
        <v>0</v>
      </c>
      <c r="M197" t="n">
        <v>0</v>
      </c>
      <c r="N197" t="n">
        <v>0</v>
      </c>
      <c r="O197" t="n">
        <v>2</v>
      </c>
      <c r="P197" t="n">
        <v>1</v>
      </c>
      <c r="Q197" t="n">
        <v>3</v>
      </c>
      <c r="R197" s="2" t="inlineStr">
        <is>
          <t>Knärot
Brunlångöra
Grönpyrola</t>
        </is>
      </c>
      <c r="S197">
        <f>HYPERLINK("https://klasma.github.io/Logging_2183/artfynd/A 43259-2021 artfynd.xlsx", "A 43259-2021")</f>
        <v/>
      </c>
      <c r="T197">
        <f>HYPERLINK("https://klasma.github.io/Logging_2183/kartor/A 43259-2021 karta.png", "A 43259-2021")</f>
        <v/>
      </c>
      <c r="U197">
        <f>HYPERLINK("https://klasma.github.io/Logging_2183/knärot/A 43259-2021 karta knärot.png", "A 43259-2021")</f>
        <v/>
      </c>
      <c r="V197">
        <f>HYPERLINK("https://klasma.github.io/Logging_2183/klagomål/A 43259-2021 FSC-klagomål.docx", "A 43259-2021")</f>
        <v/>
      </c>
      <c r="W197">
        <f>HYPERLINK("https://klasma.github.io/Logging_2183/klagomålsmail/A 43259-2021 FSC-klagomål mail.docx", "A 43259-2021")</f>
        <v/>
      </c>
      <c r="X197">
        <f>HYPERLINK("https://klasma.github.io/Logging_2183/tillsyn/A 43259-2021 tillsynsbegäran.docx", "A 43259-2021")</f>
        <v/>
      </c>
      <c r="Y197">
        <f>HYPERLINK("https://klasma.github.io/Logging_2183/tillsynsmail/A 43259-2021 tillsynsbegäran mail.docx", "A 43259-2021")</f>
        <v/>
      </c>
    </row>
    <row r="198" ht="15" customHeight="1">
      <c r="A198" t="inlineStr">
        <is>
          <t>A 49922-2021</t>
        </is>
      </c>
      <c r="B198" s="1" t="n">
        <v>44455</v>
      </c>
      <c r="C198" s="1" t="n">
        <v>45677</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58515-2021</t>
        </is>
      </c>
      <c r="B199" s="1" t="n">
        <v>44488</v>
      </c>
      <c r="C199" s="1" t="n">
        <v>45677</v>
      </c>
      <c r="D199" t="inlineStr">
        <is>
          <t>GÄVLEBORGS LÄN</t>
        </is>
      </c>
      <c r="E199" t="inlineStr">
        <is>
          <t>BOLLNÄS</t>
        </is>
      </c>
      <c r="G199" t="n">
        <v>1.1</v>
      </c>
      <c r="H199" t="n">
        <v>1</v>
      </c>
      <c r="I199" t="n">
        <v>0</v>
      </c>
      <c r="J199" t="n">
        <v>2</v>
      </c>
      <c r="K199" t="n">
        <v>1</v>
      </c>
      <c r="L199" t="n">
        <v>0</v>
      </c>
      <c r="M199" t="n">
        <v>0</v>
      </c>
      <c r="N199" t="n">
        <v>0</v>
      </c>
      <c r="O199" t="n">
        <v>3</v>
      </c>
      <c r="P199" t="n">
        <v>1</v>
      </c>
      <c r="Q199" t="n">
        <v>3</v>
      </c>
      <c r="R199" s="2" t="inlineStr">
        <is>
          <t>Knärot
Rosenticka
Ullticka</t>
        </is>
      </c>
      <c r="S199">
        <f>HYPERLINK("https://klasma.github.io/Logging_2183/artfynd/A 58515-2021 artfynd.xlsx", "A 58515-2021")</f>
        <v/>
      </c>
      <c r="T199">
        <f>HYPERLINK("https://klasma.github.io/Logging_2183/kartor/A 58515-2021 karta.png", "A 58515-2021")</f>
        <v/>
      </c>
      <c r="U199">
        <f>HYPERLINK("https://klasma.github.io/Logging_2183/knärot/A 58515-2021 karta knärot.png", "A 58515-2021")</f>
        <v/>
      </c>
      <c r="V199">
        <f>HYPERLINK("https://klasma.github.io/Logging_2183/klagomål/A 58515-2021 FSC-klagomål.docx", "A 58515-2021")</f>
        <v/>
      </c>
      <c r="W199">
        <f>HYPERLINK("https://klasma.github.io/Logging_2183/klagomålsmail/A 58515-2021 FSC-klagomål mail.docx", "A 58515-2021")</f>
        <v/>
      </c>
      <c r="X199">
        <f>HYPERLINK("https://klasma.github.io/Logging_2183/tillsyn/A 58515-2021 tillsynsbegäran.docx", "A 58515-2021")</f>
        <v/>
      </c>
      <c r="Y199">
        <f>HYPERLINK("https://klasma.github.io/Logging_2183/tillsynsmail/A 58515-2021 tillsynsbegäran mail.docx", "A 58515-2021")</f>
        <v/>
      </c>
    </row>
    <row r="200" ht="15" customHeight="1">
      <c r="A200" t="inlineStr">
        <is>
          <t>A 8446-2022</t>
        </is>
      </c>
      <c r="B200" s="1" t="n">
        <v>44612</v>
      </c>
      <c r="C200" s="1" t="n">
        <v>45677</v>
      </c>
      <c r="D200" t="inlineStr">
        <is>
          <t>GÄVLEBORGS LÄN</t>
        </is>
      </c>
      <c r="E200" t="inlineStr">
        <is>
          <t>HUDIKSVALL</t>
        </is>
      </c>
      <c r="G200" t="n">
        <v>5.4</v>
      </c>
      <c r="H200" t="n">
        <v>3</v>
      </c>
      <c r="I200" t="n">
        <v>0</v>
      </c>
      <c r="J200" t="n">
        <v>0</v>
      </c>
      <c r="K200" t="n">
        <v>0</v>
      </c>
      <c r="L200" t="n">
        <v>0</v>
      </c>
      <c r="M200" t="n">
        <v>0</v>
      </c>
      <c r="N200" t="n">
        <v>0</v>
      </c>
      <c r="O200" t="n">
        <v>0</v>
      </c>
      <c r="P200" t="n">
        <v>0</v>
      </c>
      <c r="Q200" t="n">
        <v>3</v>
      </c>
      <c r="R200" s="2" t="inlineStr">
        <is>
          <t>Fläcknycklar
Nattviol
Blåsippa</t>
        </is>
      </c>
      <c r="S200">
        <f>HYPERLINK("https://klasma.github.io/Logging_2184/artfynd/A 8446-2022 artfynd.xlsx", "A 8446-2022")</f>
        <v/>
      </c>
      <c r="T200">
        <f>HYPERLINK("https://klasma.github.io/Logging_2184/kartor/A 8446-2022 karta.png", "A 8446-2022")</f>
        <v/>
      </c>
      <c r="V200">
        <f>HYPERLINK("https://klasma.github.io/Logging_2184/klagomål/A 8446-2022 FSC-klagomål.docx", "A 8446-2022")</f>
        <v/>
      </c>
      <c r="W200">
        <f>HYPERLINK("https://klasma.github.io/Logging_2184/klagomålsmail/A 8446-2022 FSC-klagomål mail.docx", "A 8446-2022")</f>
        <v/>
      </c>
      <c r="X200">
        <f>HYPERLINK("https://klasma.github.io/Logging_2184/tillsyn/A 8446-2022 tillsynsbegäran.docx", "A 8446-2022")</f>
        <v/>
      </c>
      <c r="Y200">
        <f>HYPERLINK("https://klasma.github.io/Logging_2184/tillsynsmail/A 8446-2022 tillsynsbegäran mail.docx", "A 8446-2022")</f>
        <v/>
      </c>
    </row>
    <row r="201" ht="15" customHeight="1">
      <c r="A201" t="inlineStr">
        <is>
          <t>A 10436-2022</t>
        </is>
      </c>
      <c r="B201" s="1" t="n">
        <v>44623</v>
      </c>
      <c r="C201" s="1" t="n">
        <v>45677</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14181-2022</t>
        </is>
      </c>
      <c r="B202" s="1" t="n">
        <v>44651</v>
      </c>
      <c r="C202" s="1" t="n">
        <v>45677</v>
      </c>
      <c r="D202" t="inlineStr">
        <is>
          <t>GÄVLEBORGS LÄN</t>
        </is>
      </c>
      <c r="E202" t="inlineStr">
        <is>
          <t>SÖDERHAMN</t>
        </is>
      </c>
      <c r="F202" t="inlineStr">
        <is>
          <t>Bergvik skog väst AB</t>
        </is>
      </c>
      <c r="G202" t="n">
        <v>4.1</v>
      </c>
      <c r="H202" t="n">
        <v>0</v>
      </c>
      <c r="I202" t="n">
        <v>2</v>
      </c>
      <c r="J202" t="n">
        <v>1</v>
      </c>
      <c r="K202" t="n">
        <v>0</v>
      </c>
      <c r="L202" t="n">
        <v>0</v>
      </c>
      <c r="M202" t="n">
        <v>0</v>
      </c>
      <c r="N202" t="n">
        <v>0</v>
      </c>
      <c r="O202" t="n">
        <v>1</v>
      </c>
      <c r="P202" t="n">
        <v>0</v>
      </c>
      <c r="Q202" t="n">
        <v>3</v>
      </c>
      <c r="R202" s="2" t="inlineStr">
        <is>
          <t>Ullticka
Kattfotslav
Vågbandad barkbock</t>
        </is>
      </c>
      <c r="S202">
        <f>HYPERLINK("https://klasma.github.io/Logging_2182/artfynd/A 14181-2022 artfynd.xlsx", "A 14181-2022")</f>
        <v/>
      </c>
      <c r="T202">
        <f>HYPERLINK("https://klasma.github.io/Logging_2182/kartor/A 14181-2022 karta.png", "A 14181-2022")</f>
        <v/>
      </c>
      <c r="V202">
        <f>HYPERLINK("https://klasma.github.io/Logging_2182/klagomål/A 14181-2022 FSC-klagomål.docx", "A 14181-2022")</f>
        <v/>
      </c>
      <c r="W202">
        <f>HYPERLINK("https://klasma.github.io/Logging_2182/klagomålsmail/A 14181-2022 FSC-klagomål mail.docx", "A 14181-2022")</f>
        <v/>
      </c>
      <c r="X202">
        <f>HYPERLINK("https://klasma.github.io/Logging_2182/tillsyn/A 14181-2022 tillsynsbegäran.docx", "A 14181-2022")</f>
        <v/>
      </c>
      <c r="Y202">
        <f>HYPERLINK("https://klasma.github.io/Logging_2182/tillsynsmail/A 14181-2022 tillsynsbegäran mail.docx", "A 14181-2022")</f>
        <v/>
      </c>
    </row>
    <row r="203" ht="15" customHeight="1">
      <c r="A203" t="inlineStr">
        <is>
          <t>A 21538-2022</t>
        </is>
      </c>
      <c r="B203" s="1" t="n">
        <v>44706</v>
      </c>
      <c r="C203" s="1" t="n">
        <v>45677</v>
      </c>
      <c r="D203" t="inlineStr">
        <is>
          <t>GÄVLEBORGS LÄN</t>
        </is>
      </c>
      <c r="E203" t="inlineStr">
        <is>
          <t>LJUSDAL</t>
        </is>
      </c>
      <c r="F203" t="inlineStr">
        <is>
          <t>Sveaskog</t>
        </is>
      </c>
      <c r="G203" t="n">
        <v>2.3</v>
      </c>
      <c r="H203" t="n">
        <v>0</v>
      </c>
      <c r="I203" t="n">
        <v>1</v>
      </c>
      <c r="J203" t="n">
        <v>2</v>
      </c>
      <c r="K203" t="n">
        <v>0</v>
      </c>
      <c r="L203" t="n">
        <v>0</v>
      </c>
      <c r="M203" t="n">
        <v>0</v>
      </c>
      <c r="N203" t="n">
        <v>0</v>
      </c>
      <c r="O203" t="n">
        <v>2</v>
      </c>
      <c r="P203" t="n">
        <v>0</v>
      </c>
      <c r="Q203" t="n">
        <v>3</v>
      </c>
      <c r="R203" s="2" t="inlineStr">
        <is>
          <t>Kolflarnlav
Mörk kolflarnlav
Dropptaggsvamp</t>
        </is>
      </c>
      <c r="S203">
        <f>HYPERLINK("https://klasma.github.io/Logging_2161/artfynd/A 21538-2022 artfynd.xlsx", "A 21538-2022")</f>
        <v/>
      </c>
      <c r="T203">
        <f>HYPERLINK("https://klasma.github.io/Logging_2161/kartor/A 21538-2022 karta.png", "A 21538-2022")</f>
        <v/>
      </c>
      <c r="V203">
        <f>HYPERLINK("https://klasma.github.io/Logging_2161/klagomål/A 21538-2022 FSC-klagomål.docx", "A 21538-2022")</f>
        <v/>
      </c>
      <c r="W203">
        <f>HYPERLINK("https://klasma.github.io/Logging_2161/klagomålsmail/A 21538-2022 FSC-klagomål mail.docx", "A 21538-2022")</f>
        <v/>
      </c>
      <c r="X203">
        <f>HYPERLINK("https://klasma.github.io/Logging_2161/tillsyn/A 21538-2022 tillsynsbegäran.docx", "A 21538-2022")</f>
        <v/>
      </c>
      <c r="Y203">
        <f>HYPERLINK("https://klasma.github.io/Logging_2161/tillsynsmail/A 21538-2022 tillsynsbegäran mail.docx", "A 21538-2022")</f>
        <v/>
      </c>
    </row>
    <row r="204" ht="15" customHeight="1">
      <c r="A204" t="inlineStr">
        <is>
          <t>A 21797-2022</t>
        </is>
      </c>
      <c r="B204" s="1" t="n">
        <v>44708</v>
      </c>
      <c r="C204" s="1" t="n">
        <v>45677</v>
      </c>
      <c r="D204" t="inlineStr">
        <is>
          <t>GÄVLEBORGS LÄN</t>
        </is>
      </c>
      <c r="E204" t="inlineStr">
        <is>
          <t>LJUSDAL</t>
        </is>
      </c>
      <c r="F204" t="inlineStr">
        <is>
          <t>Holmen skog AB</t>
        </is>
      </c>
      <c r="G204" t="n">
        <v>2.5</v>
      </c>
      <c r="H204" t="n">
        <v>0</v>
      </c>
      <c r="I204" t="n">
        <v>2</v>
      </c>
      <c r="J204" t="n">
        <v>1</v>
      </c>
      <c r="K204" t="n">
        <v>0</v>
      </c>
      <c r="L204" t="n">
        <v>0</v>
      </c>
      <c r="M204" t="n">
        <v>0</v>
      </c>
      <c r="N204" t="n">
        <v>0</v>
      </c>
      <c r="O204" t="n">
        <v>1</v>
      </c>
      <c r="P204" t="n">
        <v>0</v>
      </c>
      <c r="Q204" t="n">
        <v>3</v>
      </c>
      <c r="R204" s="2" t="inlineStr">
        <is>
          <t>Ullticka
Skinnlav
Vedticka</t>
        </is>
      </c>
      <c r="S204">
        <f>HYPERLINK("https://klasma.github.io/Logging_2161/artfynd/A 21797-2022 artfynd.xlsx", "A 21797-2022")</f>
        <v/>
      </c>
      <c r="T204">
        <f>HYPERLINK("https://klasma.github.io/Logging_2161/kartor/A 21797-2022 karta.png", "A 21797-2022")</f>
        <v/>
      </c>
      <c r="V204">
        <f>HYPERLINK("https://klasma.github.io/Logging_2161/klagomål/A 21797-2022 FSC-klagomål.docx", "A 21797-2022")</f>
        <v/>
      </c>
      <c r="W204">
        <f>HYPERLINK("https://klasma.github.io/Logging_2161/klagomålsmail/A 21797-2022 FSC-klagomål mail.docx", "A 21797-2022")</f>
        <v/>
      </c>
      <c r="X204">
        <f>HYPERLINK("https://klasma.github.io/Logging_2161/tillsyn/A 21797-2022 tillsynsbegäran.docx", "A 21797-2022")</f>
        <v/>
      </c>
      <c r="Y204">
        <f>HYPERLINK("https://klasma.github.io/Logging_2161/tillsynsmail/A 21797-2022 tillsynsbegäran mail.docx", "A 21797-2022")</f>
        <v/>
      </c>
    </row>
    <row r="205" ht="15" customHeight="1">
      <c r="A205" t="inlineStr">
        <is>
          <t>A 25129-2022</t>
        </is>
      </c>
      <c r="B205" s="1" t="n">
        <v>44729</v>
      </c>
      <c r="C205" s="1" t="n">
        <v>45677</v>
      </c>
      <c r="D205" t="inlineStr">
        <is>
          <t>GÄVLEBORGS LÄN</t>
        </is>
      </c>
      <c r="E205" t="inlineStr">
        <is>
          <t>BOLLNÄS</t>
        </is>
      </c>
      <c r="F205" t="inlineStr">
        <is>
          <t>Bergvik skog väst AB</t>
        </is>
      </c>
      <c r="G205" t="n">
        <v>27.4</v>
      </c>
      <c r="H205" t="n">
        <v>0</v>
      </c>
      <c r="I205" t="n">
        <v>1</v>
      </c>
      <c r="J205" t="n">
        <v>2</v>
      </c>
      <c r="K205" t="n">
        <v>0</v>
      </c>
      <c r="L205" t="n">
        <v>0</v>
      </c>
      <c r="M205" t="n">
        <v>0</v>
      </c>
      <c r="N205" t="n">
        <v>0</v>
      </c>
      <c r="O205" t="n">
        <v>2</v>
      </c>
      <c r="P205" t="n">
        <v>0</v>
      </c>
      <c r="Q205" t="n">
        <v>3</v>
      </c>
      <c r="R205" s="2" t="inlineStr">
        <is>
          <t>Garnlav
Kortskaftad ärgspik
Nästlav</t>
        </is>
      </c>
      <c r="S205">
        <f>HYPERLINK("https://klasma.github.io/Logging_2183/artfynd/A 25129-2022 artfynd.xlsx", "A 25129-2022")</f>
        <v/>
      </c>
      <c r="T205">
        <f>HYPERLINK("https://klasma.github.io/Logging_2183/kartor/A 25129-2022 karta.png", "A 25129-2022")</f>
        <v/>
      </c>
      <c r="V205">
        <f>HYPERLINK("https://klasma.github.io/Logging_2183/klagomål/A 25129-2022 FSC-klagomål.docx", "A 25129-2022")</f>
        <v/>
      </c>
      <c r="W205">
        <f>HYPERLINK("https://klasma.github.io/Logging_2183/klagomålsmail/A 25129-2022 FSC-klagomål mail.docx", "A 25129-2022")</f>
        <v/>
      </c>
      <c r="X205">
        <f>HYPERLINK("https://klasma.github.io/Logging_2183/tillsyn/A 25129-2022 tillsynsbegäran.docx", "A 25129-2022")</f>
        <v/>
      </c>
      <c r="Y205">
        <f>HYPERLINK("https://klasma.github.io/Logging_2183/tillsynsmail/A 25129-2022 tillsynsbegäran mail.docx", "A 25129-2022")</f>
        <v/>
      </c>
    </row>
    <row r="206" ht="15" customHeight="1">
      <c r="A206" t="inlineStr">
        <is>
          <t>A 26055-2022</t>
        </is>
      </c>
      <c r="B206" s="1" t="n">
        <v>44734</v>
      </c>
      <c r="C206" s="1" t="n">
        <v>45677</v>
      </c>
      <c r="D206" t="inlineStr">
        <is>
          <t>GÄVLEBORGS LÄN</t>
        </is>
      </c>
      <c r="E206" t="inlineStr">
        <is>
          <t>LJUSDAL</t>
        </is>
      </c>
      <c r="F206" t="inlineStr">
        <is>
          <t>Bergvik skog väst AB</t>
        </is>
      </c>
      <c r="G206" t="n">
        <v>23.3</v>
      </c>
      <c r="H206" t="n">
        <v>0</v>
      </c>
      <c r="I206" t="n">
        <v>0</v>
      </c>
      <c r="J206" t="n">
        <v>2</v>
      </c>
      <c r="K206" t="n">
        <v>1</v>
      </c>
      <c r="L206" t="n">
        <v>0</v>
      </c>
      <c r="M206" t="n">
        <v>0</v>
      </c>
      <c r="N206" t="n">
        <v>0</v>
      </c>
      <c r="O206" t="n">
        <v>3</v>
      </c>
      <c r="P206" t="n">
        <v>1</v>
      </c>
      <c r="Q206" t="n">
        <v>3</v>
      </c>
      <c r="R206" s="2" t="inlineStr">
        <is>
          <t>Aspfjädermossa
Stiftgelélav
Vedtrappmossa</t>
        </is>
      </c>
      <c r="S206">
        <f>HYPERLINK("https://klasma.github.io/Logging_2161/artfynd/A 26055-2022 artfynd.xlsx", "A 26055-2022")</f>
        <v/>
      </c>
      <c r="T206">
        <f>HYPERLINK("https://klasma.github.io/Logging_2161/kartor/A 26055-2022 karta.png", "A 26055-2022")</f>
        <v/>
      </c>
      <c r="V206">
        <f>HYPERLINK("https://klasma.github.io/Logging_2161/klagomål/A 26055-2022 FSC-klagomål.docx", "A 26055-2022")</f>
        <v/>
      </c>
      <c r="W206">
        <f>HYPERLINK("https://klasma.github.io/Logging_2161/klagomålsmail/A 26055-2022 FSC-klagomål mail.docx", "A 26055-2022")</f>
        <v/>
      </c>
      <c r="X206">
        <f>HYPERLINK("https://klasma.github.io/Logging_2161/tillsyn/A 26055-2022 tillsynsbegäran.docx", "A 26055-2022")</f>
        <v/>
      </c>
      <c r="Y206">
        <f>HYPERLINK("https://klasma.github.io/Logging_2161/tillsynsmail/A 26055-2022 tillsynsbegäran mail.docx", "A 26055-2022")</f>
        <v/>
      </c>
    </row>
    <row r="207" ht="15" customHeight="1">
      <c r="A207" t="inlineStr">
        <is>
          <t>A 40292-2022</t>
        </is>
      </c>
      <c r="B207" s="1" t="n">
        <v>44821</v>
      </c>
      <c r="C207" s="1" t="n">
        <v>45677</v>
      </c>
      <c r="D207" t="inlineStr">
        <is>
          <t>GÄVLEBORGS LÄN</t>
        </is>
      </c>
      <c r="E207" t="inlineStr">
        <is>
          <t>LJUSDAL</t>
        </is>
      </c>
      <c r="F207" t="inlineStr">
        <is>
          <t>Sveaskog</t>
        </is>
      </c>
      <c r="G207" t="n">
        <v>3.1</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40292-2022 artfynd.xlsx", "A 40292-2022")</f>
        <v/>
      </c>
      <c r="T207">
        <f>HYPERLINK("https://klasma.github.io/Logging_2161/kartor/A 40292-2022 karta.png", "A 40292-2022")</f>
        <v/>
      </c>
      <c r="V207">
        <f>HYPERLINK("https://klasma.github.io/Logging_2161/klagomål/A 40292-2022 FSC-klagomål.docx", "A 40292-2022")</f>
        <v/>
      </c>
      <c r="W207">
        <f>HYPERLINK("https://klasma.github.io/Logging_2161/klagomålsmail/A 40292-2022 FSC-klagomål mail.docx", "A 40292-2022")</f>
        <v/>
      </c>
      <c r="X207">
        <f>HYPERLINK("https://klasma.github.io/Logging_2161/tillsyn/A 40292-2022 tillsynsbegäran.docx", "A 40292-2022")</f>
        <v/>
      </c>
      <c r="Y207">
        <f>HYPERLINK("https://klasma.github.io/Logging_2161/tillsynsmail/A 40292-2022 tillsynsbegäran mail.docx", "A 40292-2022")</f>
        <v/>
      </c>
    </row>
    <row r="208" ht="15" customHeight="1">
      <c r="A208" t="inlineStr">
        <is>
          <t>A 52399-2022</t>
        </is>
      </c>
      <c r="B208" s="1" t="n">
        <v>44874</v>
      </c>
      <c r="C208" s="1" t="n">
        <v>45677</v>
      </c>
      <c r="D208" t="inlineStr">
        <is>
          <t>GÄVLEBORGS LÄN</t>
        </is>
      </c>
      <c r="E208" t="inlineStr">
        <is>
          <t>HUDIKSVALL</t>
        </is>
      </c>
      <c r="F208" t="inlineStr">
        <is>
          <t>Holmen skog AB</t>
        </is>
      </c>
      <c r="G208" t="n">
        <v>3.9</v>
      </c>
      <c r="H208" t="n">
        <v>0</v>
      </c>
      <c r="I208" t="n">
        <v>0</v>
      </c>
      <c r="J208" t="n">
        <v>3</v>
      </c>
      <c r="K208" t="n">
        <v>0</v>
      </c>
      <c r="L208" t="n">
        <v>0</v>
      </c>
      <c r="M208" t="n">
        <v>0</v>
      </c>
      <c r="N208" t="n">
        <v>0</v>
      </c>
      <c r="O208" t="n">
        <v>3</v>
      </c>
      <c r="P208" t="n">
        <v>0</v>
      </c>
      <c r="Q208" t="n">
        <v>3</v>
      </c>
      <c r="R208" s="2" t="inlineStr">
        <is>
          <t>Blanksvart spiklav
Gammelgransskål
Garnlav</t>
        </is>
      </c>
      <c r="S208">
        <f>HYPERLINK("https://klasma.github.io/Logging_2184/artfynd/A 52399-2022 artfynd.xlsx", "A 52399-2022")</f>
        <v/>
      </c>
      <c r="T208">
        <f>HYPERLINK("https://klasma.github.io/Logging_2184/kartor/A 52399-2022 karta.png", "A 52399-2022")</f>
        <v/>
      </c>
      <c r="V208">
        <f>HYPERLINK("https://klasma.github.io/Logging_2184/klagomål/A 52399-2022 FSC-klagomål.docx", "A 52399-2022")</f>
        <v/>
      </c>
      <c r="W208">
        <f>HYPERLINK("https://klasma.github.io/Logging_2184/klagomålsmail/A 52399-2022 FSC-klagomål mail.docx", "A 52399-2022")</f>
        <v/>
      </c>
      <c r="X208">
        <f>HYPERLINK("https://klasma.github.io/Logging_2184/tillsyn/A 52399-2022 tillsynsbegäran.docx", "A 52399-2022")</f>
        <v/>
      </c>
      <c r="Y208">
        <f>HYPERLINK("https://klasma.github.io/Logging_2184/tillsynsmail/A 52399-2022 tillsynsbegäran mail.docx", "A 52399-2022")</f>
        <v/>
      </c>
    </row>
    <row r="209" ht="15" customHeight="1">
      <c r="A209" t="inlineStr">
        <is>
          <t>A 54472-2022</t>
        </is>
      </c>
      <c r="B209" s="1" t="n">
        <v>44882</v>
      </c>
      <c r="C209" s="1" t="n">
        <v>45677</v>
      </c>
      <c r="D209" t="inlineStr">
        <is>
          <t>GÄVLEBORGS LÄN</t>
        </is>
      </c>
      <c r="E209" t="inlineStr">
        <is>
          <t>LJUSDAL</t>
        </is>
      </c>
      <c r="F209" t="inlineStr">
        <is>
          <t>Bergvik skog väst AB</t>
        </is>
      </c>
      <c r="G209" t="n">
        <v>3.1</v>
      </c>
      <c r="H209" t="n">
        <v>0</v>
      </c>
      <c r="I209" t="n">
        <v>1</v>
      </c>
      <c r="J209" t="n">
        <v>2</v>
      </c>
      <c r="K209" t="n">
        <v>0</v>
      </c>
      <c r="L209" t="n">
        <v>0</v>
      </c>
      <c r="M209" t="n">
        <v>0</v>
      </c>
      <c r="N209" t="n">
        <v>0</v>
      </c>
      <c r="O209" t="n">
        <v>2</v>
      </c>
      <c r="P209" t="n">
        <v>0</v>
      </c>
      <c r="Q209" t="n">
        <v>3</v>
      </c>
      <c r="R209" s="2" t="inlineStr">
        <is>
          <t>Lunglav
Skrovellav
Källmossa</t>
        </is>
      </c>
      <c r="S209">
        <f>HYPERLINK("https://klasma.github.io/Logging_2161/artfynd/A 54472-2022 artfynd.xlsx", "A 54472-2022")</f>
        <v/>
      </c>
      <c r="T209">
        <f>HYPERLINK("https://klasma.github.io/Logging_2161/kartor/A 54472-2022 karta.png", "A 54472-2022")</f>
        <v/>
      </c>
      <c r="U209">
        <f>HYPERLINK("https://klasma.github.io/Logging_2161/knärot/A 54472-2022 karta knärot.png", "A 54472-2022")</f>
        <v/>
      </c>
      <c r="V209">
        <f>HYPERLINK("https://klasma.github.io/Logging_2161/klagomål/A 54472-2022 FSC-klagomål.docx", "A 54472-2022")</f>
        <v/>
      </c>
      <c r="W209">
        <f>HYPERLINK("https://klasma.github.io/Logging_2161/klagomålsmail/A 54472-2022 FSC-klagomål mail.docx", "A 54472-2022")</f>
        <v/>
      </c>
      <c r="X209">
        <f>HYPERLINK("https://klasma.github.io/Logging_2161/tillsyn/A 54472-2022 tillsynsbegäran.docx", "A 54472-2022")</f>
        <v/>
      </c>
      <c r="Y209">
        <f>HYPERLINK("https://klasma.github.io/Logging_2161/tillsynsmail/A 54472-2022 tillsynsbegäran mail.docx", "A 54472-2022")</f>
        <v/>
      </c>
    </row>
    <row r="210" ht="15" customHeight="1">
      <c r="A210" t="inlineStr">
        <is>
          <t>A 60287-2022</t>
        </is>
      </c>
      <c r="B210" s="1" t="n">
        <v>44910</v>
      </c>
      <c r="C210" s="1" t="n">
        <v>45677</v>
      </c>
      <c r="D210" t="inlineStr">
        <is>
          <t>GÄVLEBORGS LÄN</t>
        </is>
      </c>
      <c r="E210" t="inlineStr">
        <is>
          <t>OVANÅKER</t>
        </is>
      </c>
      <c r="F210" t="inlineStr">
        <is>
          <t>Sveaskog</t>
        </is>
      </c>
      <c r="G210" t="n">
        <v>1.2</v>
      </c>
      <c r="H210" t="n">
        <v>3</v>
      </c>
      <c r="I210" t="n">
        <v>0</v>
      </c>
      <c r="J210" t="n">
        <v>1</v>
      </c>
      <c r="K210" t="n">
        <v>0</v>
      </c>
      <c r="L210" t="n">
        <v>0</v>
      </c>
      <c r="M210" t="n">
        <v>0</v>
      </c>
      <c r="N210" t="n">
        <v>0</v>
      </c>
      <c r="O210" t="n">
        <v>1</v>
      </c>
      <c r="P210" t="n">
        <v>0</v>
      </c>
      <c r="Q210" t="n">
        <v>3</v>
      </c>
      <c r="R210" s="2" t="inlineStr">
        <is>
          <t>Talltita
Törnskata
Kopparödla</t>
        </is>
      </c>
      <c r="S210">
        <f>HYPERLINK("https://klasma.github.io/Logging_2121/artfynd/A 60287-2022 artfynd.xlsx", "A 60287-2022")</f>
        <v/>
      </c>
      <c r="T210">
        <f>HYPERLINK("https://klasma.github.io/Logging_2121/kartor/A 60287-2022 karta.png", "A 60287-2022")</f>
        <v/>
      </c>
      <c r="V210">
        <f>HYPERLINK("https://klasma.github.io/Logging_2121/klagomål/A 60287-2022 FSC-klagomål.docx", "A 60287-2022")</f>
        <v/>
      </c>
      <c r="W210">
        <f>HYPERLINK("https://klasma.github.io/Logging_2121/klagomålsmail/A 60287-2022 FSC-klagomål mail.docx", "A 60287-2022")</f>
        <v/>
      </c>
      <c r="X210">
        <f>HYPERLINK("https://klasma.github.io/Logging_2121/tillsyn/A 60287-2022 tillsynsbegäran.docx", "A 60287-2022")</f>
        <v/>
      </c>
      <c r="Y210">
        <f>HYPERLINK("https://klasma.github.io/Logging_2121/tillsynsmail/A 60287-2022 tillsynsbegäran mail.docx", "A 60287-2022")</f>
        <v/>
      </c>
      <c r="Z210">
        <f>HYPERLINK("https://klasma.github.io/Logging_2121/fåglar/A 60287-2022 prioriterade fågelarter.docx", "A 60287-2022")</f>
        <v/>
      </c>
    </row>
    <row r="211" ht="15" customHeight="1">
      <c r="A211" t="inlineStr">
        <is>
          <t>A 12105-2023</t>
        </is>
      </c>
      <c r="B211" s="1" t="n">
        <v>44998</v>
      </c>
      <c r="C211" s="1" t="n">
        <v>45677</v>
      </c>
      <c r="D211" t="inlineStr">
        <is>
          <t>GÄVLEBORGS LÄN</t>
        </is>
      </c>
      <c r="E211" t="inlineStr">
        <is>
          <t>LJUSDAL</t>
        </is>
      </c>
      <c r="G211" t="n">
        <v>11.7</v>
      </c>
      <c r="H211" t="n">
        <v>1</v>
      </c>
      <c r="I211" t="n">
        <v>2</v>
      </c>
      <c r="J211" t="n">
        <v>0</v>
      </c>
      <c r="K211" t="n">
        <v>1</v>
      </c>
      <c r="L211" t="n">
        <v>0</v>
      </c>
      <c r="M211" t="n">
        <v>0</v>
      </c>
      <c r="N211" t="n">
        <v>0</v>
      </c>
      <c r="O211" t="n">
        <v>1</v>
      </c>
      <c r="P211" t="n">
        <v>1</v>
      </c>
      <c r="Q211" t="n">
        <v>3</v>
      </c>
      <c r="R211" s="2" t="inlineStr">
        <is>
          <t>Knärot
Korallblylav
Mörk husmossa</t>
        </is>
      </c>
      <c r="S211">
        <f>HYPERLINK("https://klasma.github.io/Logging_2161/artfynd/A 12105-2023 artfynd.xlsx", "A 12105-2023")</f>
        <v/>
      </c>
      <c r="T211">
        <f>HYPERLINK("https://klasma.github.io/Logging_2161/kartor/A 12105-2023 karta.png", "A 12105-2023")</f>
        <v/>
      </c>
      <c r="U211">
        <f>HYPERLINK("https://klasma.github.io/Logging_2161/knärot/A 12105-2023 karta knärot.png", "A 12105-2023")</f>
        <v/>
      </c>
      <c r="V211">
        <f>HYPERLINK("https://klasma.github.io/Logging_2161/klagomål/A 12105-2023 FSC-klagomål.docx", "A 12105-2023")</f>
        <v/>
      </c>
      <c r="W211">
        <f>HYPERLINK("https://klasma.github.io/Logging_2161/klagomålsmail/A 12105-2023 FSC-klagomål mail.docx", "A 12105-2023")</f>
        <v/>
      </c>
      <c r="X211">
        <f>HYPERLINK("https://klasma.github.io/Logging_2161/tillsyn/A 12105-2023 tillsynsbegäran.docx", "A 12105-2023")</f>
        <v/>
      </c>
      <c r="Y211">
        <f>HYPERLINK("https://klasma.github.io/Logging_2161/tillsynsmail/A 12105-2023 tillsynsbegäran mail.docx", "A 12105-2023")</f>
        <v/>
      </c>
    </row>
    <row r="212" ht="15" customHeight="1">
      <c r="A212" t="inlineStr">
        <is>
          <t>A 23246-2023</t>
        </is>
      </c>
      <c r="B212" s="1" t="n">
        <v>45075</v>
      </c>
      <c r="C212" s="1" t="n">
        <v>45677</v>
      </c>
      <c r="D212" t="inlineStr">
        <is>
          <t>GÄVLEBORGS LÄN</t>
        </is>
      </c>
      <c r="E212" t="inlineStr">
        <is>
          <t>HUDIKSVALL</t>
        </is>
      </c>
      <c r="F212" t="inlineStr">
        <is>
          <t>Sveaskog</t>
        </is>
      </c>
      <c r="G212" t="n">
        <v>7.2</v>
      </c>
      <c r="H212" t="n">
        <v>1</v>
      </c>
      <c r="I212" t="n">
        <v>0</v>
      </c>
      <c r="J212" t="n">
        <v>2</v>
      </c>
      <c r="K212" t="n">
        <v>0</v>
      </c>
      <c r="L212" t="n">
        <v>0</v>
      </c>
      <c r="M212" t="n">
        <v>0</v>
      </c>
      <c r="N212" t="n">
        <v>0</v>
      </c>
      <c r="O212" t="n">
        <v>2</v>
      </c>
      <c r="P212" t="n">
        <v>0</v>
      </c>
      <c r="Q212" t="n">
        <v>3</v>
      </c>
      <c r="R212" s="2" t="inlineStr">
        <is>
          <t>Kolflarnlav
Mörk kolflarnlav
Fläcknycklar</t>
        </is>
      </c>
      <c r="S212">
        <f>HYPERLINK("https://klasma.github.io/Logging_2184/artfynd/A 23246-2023 artfynd.xlsx", "A 23246-2023")</f>
        <v/>
      </c>
      <c r="T212">
        <f>HYPERLINK("https://klasma.github.io/Logging_2184/kartor/A 23246-2023 karta.png", "A 23246-2023")</f>
        <v/>
      </c>
      <c r="V212">
        <f>HYPERLINK("https://klasma.github.io/Logging_2184/klagomål/A 23246-2023 FSC-klagomål.docx", "A 23246-2023")</f>
        <v/>
      </c>
      <c r="W212">
        <f>HYPERLINK("https://klasma.github.io/Logging_2184/klagomålsmail/A 23246-2023 FSC-klagomål mail.docx", "A 23246-2023")</f>
        <v/>
      </c>
      <c r="X212">
        <f>HYPERLINK("https://klasma.github.io/Logging_2184/tillsyn/A 23246-2023 tillsynsbegäran.docx", "A 23246-2023")</f>
        <v/>
      </c>
      <c r="Y212">
        <f>HYPERLINK("https://klasma.github.io/Logging_2184/tillsynsmail/A 23246-2023 tillsynsbegäran mail.docx", "A 23246-2023")</f>
        <v/>
      </c>
    </row>
    <row r="213" ht="15" customHeight="1">
      <c r="A213" t="inlineStr">
        <is>
          <t>A 23161-2023</t>
        </is>
      </c>
      <c r="B213" s="1" t="n">
        <v>45075</v>
      </c>
      <c r="C213" s="1" t="n">
        <v>45677</v>
      </c>
      <c r="D213" t="inlineStr">
        <is>
          <t>GÄVLEBORGS LÄN</t>
        </is>
      </c>
      <c r="E213" t="inlineStr">
        <is>
          <t>SANDVIKEN</t>
        </is>
      </c>
      <c r="F213" t="inlineStr">
        <is>
          <t>Bergvik skog öst AB</t>
        </is>
      </c>
      <c r="G213" t="n">
        <v>6.1</v>
      </c>
      <c r="H213" t="n">
        <v>0</v>
      </c>
      <c r="I213" t="n">
        <v>3</v>
      </c>
      <c r="J213" t="n">
        <v>0</v>
      </c>
      <c r="K213" t="n">
        <v>0</v>
      </c>
      <c r="L213" t="n">
        <v>0</v>
      </c>
      <c r="M213" t="n">
        <v>0</v>
      </c>
      <c r="N213" t="n">
        <v>0</v>
      </c>
      <c r="O213" t="n">
        <v>0</v>
      </c>
      <c r="P213" t="n">
        <v>0</v>
      </c>
      <c r="Q213" t="n">
        <v>3</v>
      </c>
      <c r="R213" s="2" t="inlineStr">
        <is>
          <t>Brandticka
Slanklav
Stubbspretmossa</t>
        </is>
      </c>
      <c r="S213">
        <f>HYPERLINK("https://klasma.github.io/Logging_2181/artfynd/A 23161-2023 artfynd.xlsx", "A 23161-2023")</f>
        <v/>
      </c>
      <c r="T213">
        <f>HYPERLINK("https://klasma.github.io/Logging_2181/kartor/A 23161-2023 karta.png", "A 23161-2023")</f>
        <v/>
      </c>
      <c r="V213">
        <f>HYPERLINK("https://klasma.github.io/Logging_2181/klagomål/A 23161-2023 FSC-klagomål.docx", "A 23161-2023")</f>
        <v/>
      </c>
      <c r="W213">
        <f>HYPERLINK("https://klasma.github.io/Logging_2181/klagomålsmail/A 23161-2023 FSC-klagomål mail.docx", "A 23161-2023")</f>
        <v/>
      </c>
      <c r="X213">
        <f>HYPERLINK("https://klasma.github.io/Logging_2181/tillsyn/A 23161-2023 tillsynsbegäran.docx", "A 23161-2023")</f>
        <v/>
      </c>
      <c r="Y213">
        <f>HYPERLINK("https://klasma.github.io/Logging_2181/tillsynsmail/A 23161-2023 tillsynsbegäran mail.docx", "A 23161-2023")</f>
        <v/>
      </c>
    </row>
    <row r="214" ht="15" customHeight="1">
      <c r="A214" t="inlineStr">
        <is>
          <t>A 24519-2023</t>
        </is>
      </c>
      <c r="B214" s="1" t="n">
        <v>45082</v>
      </c>
      <c r="C214" s="1" t="n">
        <v>45677</v>
      </c>
      <c r="D214" t="inlineStr">
        <is>
          <t>GÄVLEBORGS LÄN</t>
        </is>
      </c>
      <c r="E214" t="inlineStr">
        <is>
          <t>LJUSDAL</t>
        </is>
      </c>
      <c r="F214" t="inlineStr">
        <is>
          <t>Sveaskog</t>
        </is>
      </c>
      <c r="G214" t="n">
        <v>8.199999999999999</v>
      </c>
      <c r="H214" t="n">
        <v>0</v>
      </c>
      <c r="I214" t="n">
        <v>0</v>
      </c>
      <c r="J214" t="n">
        <v>3</v>
      </c>
      <c r="K214" t="n">
        <v>0</v>
      </c>
      <c r="L214" t="n">
        <v>0</v>
      </c>
      <c r="M214" t="n">
        <v>0</v>
      </c>
      <c r="N214" t="n">
        <v>0</v>
      </c>
      <c r="O214" t="n">
        <v>3</v>
      </c>
      <c r="P214" t="n">
        <v>0</v>
      </c>
      <c r="Q214" t="n">
        <v>3</v>
      </c>
      <c r="R214" s="2" t="inlineStr">
        <is>
          <t>Dvärgbägarlav
Kolflarnlav
Lunglav</t>
        </is>
      </c>
      <c r="S214">
        <f>HYPERLINK("https://klasma.github.io/Logging_2161/artfynd/A 24519-2023 artfynd.xlsx", "A 24519-2023")</f>
        <v/>
      </c>
      <c r="T214">
        <f>HYPERLINK("https://klasma.github.io/Logging_2161/kartor/A 24519-2023 karta.png", "A 24519-2023")</f>
        <v/>
      </c>
      <c r="V214">
        <f>HYPERLINK("https://klasma.github.io/Logging_2161/klagomål/A 24519-2023 FSC-klagomål.docx", "A 24519-2023")</f>
        <v/>
      </c>
      <c r="W214">
        <f>HYPERLINK("https://klasma.github.io/Logging_2161/klagomålsmail/A 24519-2023 FSC-klagomål mail.docx", "A 24519-2023")</f>
        <v/>
      </c>
      <c r="X214">
        <f>HYPERLINK("https://klasma.github.io/Logging_2161/tillsyn/A 24519-2023 tillsynsbegäran.docx", "A 24519-2023")</f>
        <v/>
      </c>
      <c r="Y214">
        <f>HYPERLINK("https://klasma.github.io/Logging_2161/tillsynsmail/A 24519-2023 tillsynsbegäran mail.docx", "A 24519-2023")</f>
        <v/>
      </c>
    </row>
    <row r="215" ht="15" customHeight="1">
      <c r="A215" t="inlineStr">
        <is>
          <t>A 24802-2023</t>
        </is>
      </c>
      <c r="B215" s="1" t="n">
        <v>45084</v>
      </c>
      <c r="C215" s="1" t="n">
        <v>45677</v>
      </c>
      <c r="D215" t="inlineStr">
        <is>
          <t>GÄVLEBORGS LÄN</t>
        </is>
      </c>
      <c r="E215" t="inlineStr">
        <is>
          <t>SANDVIKEN</t>
        </is>
      </c>
      <c r="F215" t="inlineStr">
        <is>
          <t>Bergvik skog öst AB</t>
        </is>
      </c>
      <c r="G215" t="n">
        <v>3</v>
      </c>
      <c r="H215" t="n">
        <v>0</v>
      </c>
      <c r="I215" t="n">
        <v>2</v>
      </c>
      <c r="J215" t="n">
        <v>1</v>
      </c>
      <c r="K215" t="n">
        <v>0</v>
      </c>
      <c r="L215" t="n">
        <v>0</v>
      </c>
      <c r="M215" t="n">
        <v>0</v>
      </c>
      <c r="N215" t="n">
        <v>0</v>
      </c>
      <c r="O215" t="n">
        <v>1</v>
      </c>
      <c r="P215" t="n">
        <v>0</v>
      </c>
      <c r="Q215" t="n">
        <v>3</v>
      </c>
      <c r="R215" s="2" t="inlineStr">
        <is>
          <t>Koralltaggsvamp
Brandticka
Svart trolldruva</t>
        </is>
      </c>
      <c r="S215">
        <f>HYPERLINK("https://klasma.github.io/Logging_2181/artfynd/A 24802-2023 artfynd.xlsx", "A 24802-2023")</f>
        <v/>
      </c>
      <c r="T215">
        <f>HYPERLINK("https://klasma.github.io/Logging_2181/kartor/A 24802-2023 karta.png", "A 24802-2023")</f>
        <v/>
      </c>
      <c r="V215">
        <f>HYPERLINK("https://klasma.github.io/Logging_2181/klagomål/A 24802-2023 FSC-klagomål.docx", "A 24802-2023")</f>
        <v/>
      </c>
      <c r="W215">
        <f>HYPERLINK("https://klasma.github.io/Logging_2181/klagomålsmail/A 24802-2023 FSC-klagomål mail.docx", "A 24802-2023")</f>
        <v/>
      </c>
      <c r="X215">
        <f>HYPERLINK("https://klasma.github.io/Logging_2181/tillsyn/A 24802-2023 tillsynsbegäran.docx", "A 24802-2023")</f>
        <v/>
      </c>
      <c r="Y215">
        <f>HYPERLINK("https://klasma.github.io/Logging_2181/tillsynsmail/A 24802-2023 tillsynsbegäran mail.docx", "A 24802-2023")</f>
        <v/>
      </c>
    </row>
    <row r="216" ht="15" customHeight="1">
      <c r="A216" t="inlineStr">
        <is>
          <t>A 25182-2023</t>
        </is>
      </c>
      <c r="B216" s="1" t="n">
        <v>45086</v>
      </c>
      <c r="C216" s="1" t="n">
        <v>45677</v>
      </c>
      <c r="D216" t="inlineStr">
        <is>
          <t>GÄVLEBORGS LÄN</t>
        </is>
      </c>
      <c r="E216" t="inlineStr">
        <is>
          <t>LJUSDAL</t>
        </is>
      </c>
      <c r="F216" t="inlineStr">
        <is>
          <t>Holmen skog AB</t>
        </is>
      </c>
      <c r="G216" t="n">
        <v>16.6</v>
      </c>
      <c r="H216" t="n">
        <v>3</v>
      </c>
      <c r="I216" t="n">
        <v>0</v>
      </c>
      <c r="J216" t="n">
        <v>0</v>
      </c>
      <c r="K216" t="n">
        <v>0</v>
      </c>
      <c r="L216" t="n">
        <v>0</v>
      </c>
      <c r="M216" t="n">
        <v>0</v>
      </c>
      <c r="N216" t="n">
        <v>0</v>
      </c>
      <c r="O216" t="n">
        <v>0</v>
      </c>
      <c r="P216" t="n">
        <v>0</v>
      </c>
      <c r="Q216" t="n">
        <v>3</v>
      </c>
      <c r="R216" s="2" t="inlineStr">
        <is>
          <t>Fläcknycklar
Myggblomster
Revlummer</t>
        </is>
      </c>
      <c r="S216">
        <f>HYPERLINK("https://klasma.github.io/Logging_2161/artfynd/A 25182-2023 artfynd.xlsx", "A 25182-2023")</f>
        <v/>
      </c>
      <c r="T216">
        <f>HYPERLINK("https://klasma.github.io/Logging_2161/kartor/A 25182-2023 karta.png", "A 25182-2023")</f>
        <v/>
      </c>
      <c r="V216">
        <f>HYPERLINK("https://klasma.github.io/Logging_2161/klagomål/A 25182-2023 FSC-klagomål.docx", "A 25182-2023")</f>
        <v/>
      </c>
      <c r="W216">
        <f>HYPERLINK("https://klasma.github.io/Logging_2161/klagomålsmail/A 25182-2023 FSC-klagomål mail.docx", "A 25182-2023")</f>
        <v/>
      </c>
      <c r="X216">
        <f>HYPERLINK("https://klasma.github.io/Logging_2161/tillsyn/A 25182-2023 tillsynsbegäran.docx", "A 25182-2023")</f>
        <v/>
      </c>
      <c r="Y216">
        <f>HYPERLINK("https://klasma.github.io/Logging_2161/tillsynsmail/A 25182-2023 tillsynsbegäran mail.docx", "A 25182-2023")</f>
        <v/>
      </c>
    </row>
    <row r="217" ht="15" customHeight="1">
      <c r="A217" t="inlineStr">
        <is>
          <t>A 25643-2023</t>
        </is>
      </c>
      <c r="B217" s="1" t="n">
        <v>45089</v>
      </c>
      <c r="C217" s="1" t="n">
        <v>45677</v>
      </c>
      <c r="D217" t="inlineStr">
        <is>
          <t>GÄVLEBORGS LÄN</t>
        </is>
      </c>
      <c r="E217" t="inlineStr">
        <is>
          <t>NORDANSTIG</t>
        </is>
      </c>
      <c r="F217" t="inlineStr">
        <is>
          <t>Holmen skog AB</t>
        </is>
      </c>
      <c r="G217" t="n">
        <v>5.9</v>
      </c>
      <c r="H217" t="n">
        <v>1</v>
      </c>
      <c r="I217" t="n">
        <v>0</v>
      </c>
      <c r="J217" t="n">
        <v>2</v>
      </c>
      <c r="K217" t="n">
        <v>0</v>
      </c>
      <c r="L217" t="n">
        <v>0</v>
      </c>
      <c r="M217" t="n">
        <v>0</v>
      </c>
      <c r="N217" t="n">
        <v>0</v>
      </c>
      <c r="O217" t="n">
        <v>2</v>
      </c>
      <c r="P217" t="n">
        <v>0</v>
      </c>
      <c r="Q217" t="n">
        <v>3</v>
      </c>
      <c r="R217" s="2" t="inlineStr">
        <is>
          <t>Gammelgransskål
Garnlav
Fläcknycklar</t>
        </is>
      </c>
      <c r="S217">
        <f>HYPERLINK("https://klasma.github.io/Logging_2132/artfynd/A 25643-2023 artfynd.xlsx", "A 25643-2023")</f>
        <v/>
      </c>
      <c r="T217">
        <f>HYPERLINK("https://klasma.github.io/Logging_2132/kartor/A 25643-2023 karta.png", "A 25643-2023")</f>
        <v/>
      </c>
      <c r="V217">
        <f>HYPERLINK("https://klasma.github.io/Logging_2132/klagomål/A 25643-2023 FSC-klagomål.docx", "A 25643-2023")</f>
        <v/>
      </c>
      <c r="W217">
        <f>HYPERLINK("https://klasma.github.io/Logging_2132/klagomålsmail/A 25643-2023 FSC-klagomål mail.docx", "A 25643-2023")</f>
        <v/>
      </c>
      <c r="X217">
        <f>HYPERLINK("https://klasma.github.io/Logging_2132/tillsyn/A 25643-2023 tillsynsbegäran.docx", "A 25643-2023")</f>
        <v/>
      </c>
      <c r="Y217">
        <f>HYPERLINK("https://klasma.github.io/Logging_2132/tillsynsmail/A 25643-2023 tillsynsbegäran mail.docx", "A 25643-2023")</f>
        <v/>
      </c>
    </row>
    <row r="218" ht="15" customHeight="1">
      <c r="A218" t="inlineStr">
        <is>
          <t>A 31473-2023</t>
        </is>
      </c>
      <c r="B218" s="1" t="n">
        <v>45114</v>
      </c>
      <c r="C218" s="1" t="n">
        <v>45677</v>
      </c>
      <c r="D218" t="inlineStr">
        <is>
          <t>GÄVLEBORGS LÄN</t>
        </is>
      </c>
      <c r="E218" t="inlineStr">
        <is>
          <t>LJUSDAL</t>
        </is>
      </c>
      <c r="F218" t="inlineStr">
        <is>
          <t>Sveaskog</t>
        </is>
      </c>
      <c r="G218" t="n">
        <v>15.5</v>
      </c>
      <c r="H218" t="n">
        <v>1</v>
      </c>
      <c r="I218" t="n">
        <v>1</v>
      </c>
      <c r="J218" t="n">
        <v>2</v>
      </c>
      <c r="K218" t="n">
        <v>0</v>
      </c>
      <c r="L218" t="n">
        <v>0</v>
      </c>
      <c r="M218" t="n">
        <v>0</v>
      </c>
      <c r="N218" t="n">
        <v>0</v>
      </c>
      <c r="O218" t="n">
        <v>2</v>
      </c>
      <c r="P218" t="n">
        <v>0</v>
      </c>
      <c r="Q218" t="n">
        <v>3</v>
      </c>
      <c r="R218" s="2" t="inlineStr">
        <is>
          <t>Kolflarnlav
Lunglav
Plattlummer</t>
        </is>
      </c>
      <c r="S218">
        <f>HYPERLINK("https://klasma.github.io/Logging_2161/artfynd/A 31473-2023 artfynd.xlsx", "A 31473-2023")</f>
        <v/>
      </c>
      <c r="T218">
        <f>HYPERLINK("https://klasma.github.io/Logging_2161/kartor/A 31473-2023 karta.png", "A 31473-2023")</f>
        <v/>
      </c>
      <c r="V218">
        <f>HYPERLINK("https://klasma.github.io/Logging_2161/klagomål/A 31473-2023 FSC-klagomål.docx", "A 31473-2023")</f>
        <v/>
      </c>
      <c r="W218">
        <f>HYPERLINK("https://klasma.github.io/Logging_2161/klagomålsmail/A 31473-2023 FSC-klagomål mail.docx", "A 31473-2023")</f>
        <v/>
      </c>
      <c r="X218">
        <f>HYPERLINK("https://klasma.github.io/Logging_2161/tillsyn/A 31473-2023 tillsynsbegäran.docx", "A 31473-2023")</f>
        <v/>
      </c>
      <c r="Y218">
        <f>HYPERLINK("https://klasma.github.io/Logging_2161/tillsynsmail/A 31473-2023 tillsynsbegäran mail.docx", "A 31473-2023")</f>
        <v/>
      </c>
    </row>
    <row r="219" ht="15" customHeight="1">
      <c r="A219" t="inlineStr">
        <is>
          <t>A 32677-2023</t>
        </is>
      </c>
      <c r="B219" s="1" t="n">
        <v>45121</v>
      </c>
      <c r="C219" s="1" t="n">
        <v>45677</v>
      </c>
      <c r="D219" t="inlineStr">
        <is>
          <t>GÄVLEBORGS LÄN</t>
        </is>
      </c>
      <c r="E219" t="inlineStr">
        <is>
          <t>GÄVLE</t>
        </is>
      </c>
      <c r="G219" t="n">
        <v>20.7</v>
      </c>
      <c r="H219" t="n">
        <v>1</v>
      </c>
      <c r="I219" t="n">
        <v>1</v>
      </c>
      <c r="J219" t="n">
        <v>0</v>
      </c>
      <c r="K219" t="n">
        <v>1</v>
      </c>
      <c r="L219" t="n">
        <v>0</v>
      </c>
      <c r="M219" t="n">
        <v>0</v>
      </c>
      <c r="N219" t="n">
        <v>0</v>
      </c>
      <c r="O219" t="n">
        <v>1</v>
      </c>
      <c r="P219" t="n">
        <v>1</v>
      </c>
      <c r="Q219" t="n">
        <v>3</v>
      </c>
      <c r="R219" s="2" t="inlineStr">
        <is>
          <t>Glesgröe
Spädstarr
Blåsippa</t>
        </is>
      </c>
      <c r="S219">
        <f>HYPERLINK("https://klasma.github.io/Logging_2180/artfynd/A 32677-2023 artfynd.xlsx", "A 32677-2023")</f>
        <v/>
      </c>
      <c r="T219">
        <f>HYPERLINK("https://klasma.github.io/Logging_2180/kartor/A 32677-2023 karta.png", "A 32677-2023")</f>
        <v/>
      </c>
      <c r="V219">
        <f>HYPERLINK("https://klasma.github.io/Logging_2180/klagomål/A 32677-2023 FSC-klagomål.docx", "A 32677-2023")</f>
        <v/>
      </c>
      <c r="W219">
        <f>HYPERLINK("https://klasma.github.io/Logging_2180/klagomålsmail/A 32677-2023 FSC-klagomål mail.docx", "A 32677-2023")</f>
        <v/>
      </c>
      <c r="X219">
        <f>HYPERLINK("https://klasma.github.io/Logging_2180/tillsyn/A 32677-2023 tillsynsbegäran.docx", "A 32677-2023")</f>
        <v/>
      </c>
      <c r="Y219">
        <f>HYPERLINK("https://klasma.github.io/Logging_2180/tillsynsmail/A 32677-2023 tillsynsbegäran mail.docx", "A 32677-2023")</f>
        <v/>
      </c>
    </row>
    <row r="220" ht="15" customHeight="1">
      <c r="A220" t="inlineStr">
        <is>
          <t>A 33691-2023</t>
        </is>
      </c>
      <c r="B220" s="1" t="n">
        <v>45132</v>
      </c>
      <c r="C220" s="1" t="n">
        <v>45677</v>
      </c>
      <c r="D220" t="inlineStr">
        <is>
          <t>GÄVLEBORGS LÄN</t>
        </is>
      </c>
      <c r="E220" t="inlineStr">
        <is>
          <t>NORDANSTIG</t>
        </is>
      </c>
      <c r="F220" t="inlineStr">
        <is>
          <t>Holmen skog AB</t>
        </is>
      </c>
      <c r="G220" t="n">
        <v>2.7</v>
      </c>
      <c r="H220" t="n">
        <v>0</v>
      </c>
      <c r="I220" t="n">
        <v>2</v>
      </c>
      <c r="J220" t="n">
        <v>1</v>
      </c>
      <c r="K220" t="n">
        <v>0</v>
      </c>
      <c r="L220" t="n">
        <v>0</v>
      </c>
      <c r="M220" t="n">
        <v>0</v>
      </c>
      <c r="N220" t="n">
        <v>0</v>
      </c>
      <c r="O220" t="n">
        <v>1</v>
      </c>
      <c r="P220" t="n">
        <v>0</v>
      </c>
      <c r="Q220" t="n">
        <v>3</v>
      </c>
      <c r="R220" s="2" t="inlineStr">
        <is>
          <t>Ullticka
Skogshakmossa
Vågbandad barkbock</t>
        </is>
      </c>
      <c r="S220">
        <f>HYPERLINK("https://klasma.github.io/Logging_2132/artfynd/A 33691-2023 artfynd.xlsx", "A 33691-2023")</f>
        <v/>
      </c>
      <c r="T220">
        <f>HYPERLINK("https://klasma.github.io/Logging_2132/kartor/A 33691-2023 karta.png", "A 33691-2023")</f>
        <v/>
      </c>
      <c r="V220">
        <f>HYPERLINK("https://klasma.github.io/Logging_2132/klagomål/A 33691-2023 FSC-klagomål.docx", "A 33691-2023")</f>
        <v/>
      </c>
      <c r="W220">
        <f>HYPERLINK("https://klasma.github.io/Logging_2132/klagomålsmail/A 33691-2023 FSC-klagomål mail.docx", "A 33691-2023")</f>
        <v/>
      </c>
      <c r="X220">
        <f>HYPERLINK("https://klasma.github.io/Logging_2132/tillsyn/A 33691-2023 tillsynsbegäran.docx", "A 33691-2023")</f>
        <v/>
      </c>
      <c r="Y220">
        <f>HYPERLINK("https://klasma.github.io/Logging_2132/tillsynsmail/A 33691-2023 tillsynsbegäran mail.docx", "A 33691-2023")</f>
        <v/>
      </c>
    </row>
    <row r="221" ht="15" customHeight="1">
      <c r="A221" t="inlineStr">
        <is>
          <t>A 33783-2023</t>
        </is>
      </c>
      <c r="B221" s="1" t="n">
        <v>45133</v>
      </c>
      <c r="C221" s="1" t="n">
        <v>45677</v>
      </c>
      <c r="D221" t="inlineStr">
        <is>
          <t>GÄVLEBORGS LÄN</t>
        </is>
      </c>
      <c r="E221" t="inlineStr">
        <is>
          <t>HUDIKSVALL</t>
        </is>
      </c>
      <c r="F221" t="inlineStr">
        <is>
          <t>Holmen skog AB</t>
        </is>
      </c>
      <c r="G221" t="n">
        <v>2.6</v>
      </c>
      <c r="H221" t="n">
        <v>0</v>
      </c>
      <c r="I221" t="n">
        <v>1</v>
      </c>
      <c r="J221" t="n">
        <v>2</v>
      </c>
      <c r="K221" t="n">
        <v>0</v>
      </c>
      <c r="L221" t="n">
        <v>0</v>
      </c>
      <c r="M221" t="n">
        <v>0</v>
      </c>
      <c r="N221" t="n">
        <v>0</v>
      </c>
      <c r="O221" t="n">
        <v>2</v>
      </c>
      <c r="P221" t="n">
        <v>0</v>
      </c>
      <c r="Q221" t="n">
        <v>3</v>
      </c>
      <c r="R221" s="2" t="inlineStr">
        <is>
          <t>Garnlav
Lunglav
Stuplav</t>
        </is>
      </c>
      <c r="S221">
        <f>HYPERLINK("https://klasma.github.io/Logging_2184/artfynd/A 33783-2023 artfynd.xlsx", "A 33783-2023")</f>
        <v/>
      </c>
      <c r="T221">
        <f>HYPERLINK("https://klasma.github.io/Logging_2184/kartor/A 33783-2023 karta.png", "A 33783-2023")</f>
        <v/>
      </c>
      <c r="V221">
        <f>HYPERLINK("https://klasma.github.io/Logging_2184/klagomål/A 33783-2023 FSC-klagomål.docx", "A 33783-2023")</f>
        <v/>
      </c>
      <c r="W221">
        <f>HYPERLINK("https://klasma.github.io/Logging_2184/klagomålsmail/A 33783-2023 FSC-klagomål mail.docx", "A 33783-2023")</f>
        <v/>
      </c>
      <c r="X221">
        <f>HYPERLINK("https://klasma.github.io/Logging_2184/tillsyn/A 33783-2023 tillsynsbegäran.docx", "A 33783-2023")</f>
        <v/>
      </c>
      <c r="Y221">
        <f>HYPERLINK("https://klasma.github.io/Logging_2184/tillsynsmail/A 33783-2023 tillsynsbegäran mail.docx", "A 33783-2023")</f>
        <v/>
      </c>
    </row>
    <row r="222" ht="15" customHeight="1">
      <c r="A222" t="inlineStr">
        <is>
          <t>A 36196-2023</t>
        </is>
      </c>
      <c r="B222" s="1" t="n">
        <v>45149</v>
      </c>
      <c r="C222" s="1" t="n">
        <v>45677</v>
      </c>
      <c r="D222" t="inlineStr">
        <is>
          <t>GÄVLEBORGS LÄN</t>
        </is>
      </c>
      <c r="E222" t="inlineStr">
        <is>
          <t>HUDIKSVALL</t>
        </is>
      </c>
      <c r="F222" t="inlineStr">
        <is>
          <t>Holmen skog AB</t>
        </is>
      </c>
      <c r="G222" t="n">
        <v>11.8</v>
      </c>
      <c r="H222" t="n">
        <v>1</v>
      </c>
      <c r="I222" t="n">
        <v>0</v>
      </c>
      <c r="J222" t="n">
        <v>2</v>
      </c>
      <c r="K222" t="n">
        <v>1</v>
      </c>
      <c r="L222" t="n">
        <v>0</v>
      </c>
      <c r="M222" t="n">
        <v>0</v>
      </c>
      <c r="N222" t="n">
        <v>0</v>
      </c>
      <c r="O222" t="n">
        <v>3</v>
      </c>
      <c r="P222" t="n">
        <v>1</v>
      </c>
      <c r="Q222" t="n">
        <v>3</v>
      </c>
      <c r="R222" s="2" t="inlineStr">
        <is>
          <t>Knärot
Rosenticka
Ullticka</t>
        </is>
      </c>
      <c r="S222">
        <f>HYPERLINK("https://klasma.github.io/Logging_2184/artfynd/A 36196-2023 artfynd.xlsx", "A 36196-2023")</f>
        <v/>
      </c>
      <c r="T222">
        <f>HYPERLINK("https://klasma.github.io/Logging_2184/kartor/A 36196-2023 karta.png", "A 36196-2023")</f>
        <v/>
      </c>
      <c r="U222">
        <f>HYPERLINK("https://klasma.github.io/Logging_2184/knärot/A 36196-2023 karta knärot.png", "A 36196-2023")</f>
        <v/>
      </c>
      <c r="V222">
        <f>HYPERLINK("https://klasma.github.io/Logging_2184/klagomål/A 36196-2023 FSC-klagomål.docx", "A 36196-2023")</f>
        <v/>
      </c>
      <c r="W222">
        <f>HYPERLINK("https://klasma.github.io/Logging_2184/klagomålsmail/A 36196-2023 FSC-klagomål mail.docx", "A 36196-2023")</f>
        <v/>
      </c>
      <c r="X222">
        <f>HYPERLINK("https://klasma.github.io/Logging_2184/tillsyn/A 36196-2023 tillsynsbegäran.docx", "A 36196-2023")</f>
        <v/>
      </c>
      <c r="Y222">
        <f>HYPERLINK("https://klasma.github.io/Logging_2184/tillsynsmail/A 36196-2023 tillsynsbegäran mail.docx", "A 36196-2023")</f>
        <v/>
      </c>
    </row>
    <row r="223" ht="15" customHeight="1">
      <c r="A223" t="inlineStr">
        <is>
          <t>A 39885-2023</t>
        </is>
      </c>
      <c r="B223" s="1" t="n">
        <v>45168</v>
      </c>
      <c r="C223" s="1" t="n">
        <v>45677</v>
      </c>
      <c r="D223" t="inlineStr">
        <is>
          <t>GÄVLEBORGS LÄN</t>
        </is>
      </c>
      <c r="E223" t="inlineStr">
        <is>
          <t>SÖDERHAMN</t>
        </is>
      </c>
      <c r="G223" t="n">
        <v>2.9</v>
      </c>
      <c r="H223" t="n">
        <v>0</v>
      </c>
      <c r="I223" t="n">
        <v>2</v>
      </c>
      <c r="J223" t="n">
        <v>1</v>
      </c>
      <c r="K223" t="n">
        <v>0</v>
      </c>
      <c r="L223" t="n">
        <v>0</v>
      </c>
      <c r="M223" t="n">
        <v>0</v>
      </c>
      <c r="N223" t="n">
        <v>0</v>
      </c>
      <c r="O223" t="n">
        <v>1</v>
      </c>
      <c r="P223" t="n">
        <v>0</v>
      </c>
      <c r="Q223" t="n">
        <v>3</v>
      </c>
      <c r="R223" s="2" t="inlineStr">
        <is>
          <t>Hapalopilus aurantiacus
Blodticka
Sotriska</t>
        </is>
      </c>
      <c r="S223">
        <f>HYPERLINK("https://klasma.github.io/Logging_2182/artfynd/A 39885-2023 artfynd.xlsx", "A 39885-2023")</f>
        <v/>
      </c>
      <c r="T223">
        <f>HYPERLINK("https://klasma.github.io/Logging_2182/kartor/A 39885-2023 karta.png", "A 39885-2023")</f>
        <v/>
      </c>
      <c r="V223">
        <f>HYPERLINK("https://klasma.github.io/Logging_2182/klagomål/A 39885-2023 FSC-klagomål.docx", "A 39885-2023")</f>
        <v/>
      </c>
      <c r="W223">
        <f>HYPERLINK("https://klasma.github.io/Logging_2182/klagomålsmail/A 39885-2023 FSC-klagomål mail.docx", "A 39885-2023")</f>
        <v/>
      </c>
      <c r="X223">
        <f>HYPERLINK("https://klasma.github.io/Logging_2182/tillsyn/A 39885-2023 tillsynsbegäran.docx", "A 39885-2023")</f>
        <v/>
      </c>
      <c r="Y223">
        <f>HYPERLINK("https://klasma.github.io/Logging_2182/tillsynsmail/A 39885-2023 tillsynsbegäran mail.docx", "A 39885-2023")</f>
        <v/>
      </c>
    </row>
    <row r="224" ht="15" customHeight="1">
      <c r="A224" t="inlineStr">
        <is>
          <t>A 45306-2023</t>
        </is>
      </c>
      <c r="B224" s="1" t="n">
        <v>45191</v>
      </c>
      <c r="C224" s="1" t="n">
        <v>45677</v>
      </c>
      <c r="D224" t="inlineStr">
        <is>
          <t>GÄVLEBORGS LÄN</t>
        </is>
      </c>
      <c r="E224" t="inlineStr">
        <is>
          <t>HOFORS</t>
        </is>
      </c>
      <c r="F224" t="inlineStr">
        <is>
          <t>Sveaskog</t>
        </is>
      </c>
      <c r="G224" t="n">
        <v>2.9</v>
      </c>
      <c r="H224" t="n">
        <v>1</v>
      </c>
      <c r="I224" t="n">
        <v>1</v>
      </c>
      <c r="J224" t="n">
        <v>2</v>
      </c>
      <c r="K224" t="n">
        <v>0</v>
      </c>
      <c r="L224" t="n">
        <v>0</v>
      </c>
      <c r="M224" t="n">
        <v>0</v>
      </c>
      <c r="N224" t="n">
        <v>0</v>
      </c>
      <c r="O224" t="n">
        <v>2</v>
      </c>
      <c r="P224" t="n">
        <v>0</v>
      </c>
      <c r="Q224" t="n">
        <v>3</v>
      </c>
      <c r="R224" s="2" t="inlineStr">
        <is>
          <t>Motaggsvamp
Talltita
Mindre märgborre</t>
        </is>
      </c>
      <c r="S224">
        <f>HYPERLINK("https://klasma.github.io/Logging_2104/artfynd/A 45306-2023 artfynd.xlsx", "A 45306-2023")</f>
        <v/>
      </c>
      <c r="T224">
        <f>HYPERLINK("https://klasma.github.io/Logging_2104/kartor/A 45306-2023 karta.png", "A 45306-2023")</f>
        <v/>
      </c>
      <c r="V224">
        <f>HYPERLINK("https://klasma.github.io/Logging_2104/klagomål/A 45306-2023 FSC-klagomål.docx", "A 45306-2023")</f>
        <v/>
      </c>
      <c r="W224">
        <f>HYPERLINK("https://klasma.github.io/Logging_2104/klagomålsmail/A 45306-2023 FSC-klagomål mail.docx", "A 45306-2023")</f>
        <v/>
      </c>
      <c r="X224">
        <f>HYPERLINK("https://klasma.github.io/Logging_2104/tillsyn/A 45306-2023 tillsynsbegäran.docx", "A 45306-2023")</f>
        <v/>
      </c>
      <c r="Y224">
        <f>HYPERLINK("https://klasma.github.io/Logging_2104/tillsynsmail/A 45306-2023 tillsynsbegäran mail.docx", "A 45306-2023")</f>
        <v/>
      </c>
      <c r="Z224">
        <f>HYPERLINK("https://klasma.github.io/Logging_2104/fåglar/A 45306-2023 prioriterade fågelarter.docx", "A 45306-2023")</f>
        <v/>
      </c>
    </row>
    <row r="225" ht="15" customHeight="1">
      <c r="A225" t="inlineStr">
        <is>
          <t>A 50217-2023</t>
        </is>
      </c>
      <c r="B225" s="1" t="n">
        <v>45215</v>
      </c>
      <c r="C225" s="1" t="n">
        <v>45677</v>
      </c>
      <c r="D225" t="inlineStr">
        <is>
          <t>GÄVLEBORGS LÄN</t>
        </is>
      </c>
      <c r="E225" t="inlineStr">
        <is>
          <t>SÖDERHAMN</t>
        </is>
      </c>
      <c r="G225" t="n">
        <v>13.6</v>
      </c>
      <c r="H225" t="n">
        <v>0</v>
      </c>
      <c r="I225" t="n">
        <v>1</v>
      </c>
      <c r="J225" t="n">
        <v>2</v>
      </c>
      <c r="K225" t="n">
        <v>0</v>
      </c>
      <c r="L225" t="n">
        <v>0</v>
      </c>
      <c r="M225" t="n">
        <v>0</v>
      </c>
      <c r="N225" t="n">
        <v>0</v>
      </c>
      <c r="O225" t="n">
        <v>2</v>
      </c>
      <c r="P225" t="n">
        <v>0</v>
      </c>
      <c r="Q225" t="n">
        <v>3</v>
      </c>
      <c r="R225" s="2" t="inlineStr">
        <is>
          <t>Dofttaggsvamp
Gropticka
Dropptaggsvamp</t>
        </is>
      </c>
      <c r="S225">
        <f>HYPERLINK("https://klasma.github.io/Logging_2182/artfynd/A 50217-2023 artfynd.xlsx", "A 50217-2023")</f>
        <v/>
      </c>
      <c r="T225">
        <f>HYPERLINK("https://klasma.github.io/Logging_2182/kartor/A 50217-2023 karta.png", "A 50217-2023")</f>
        <v/>
      </c>
      <c r="V225">
        <f>HYPERLINK("https://klasma.github.io/Logging_2182/klagomål/A 50217-2023 FSC-klagomål.docx", "A 50217-2023")</f>
        <v/>
      </c>
      <c r="W225">
        <f>HYPERLINK("https://klasma.github.io/Logging_2182/klagomålsmail/A 50217-2023 FSC-klagomål mail.docx", "A 50217-2023")</f>
        <v/>
      </c>
      <c r="X225">
        <f>HYPERLINK("https://klasma.github.io/Logging_2182/tillsyn/A 50217-2023 tillsynsbegäran.docx", "A 50217-2023")</f>
        <v/>
      </c>
      <c r="Y225">
        <f>HYPERLINK("https://klasma.github.io/Logging_2182/tillsynsmail/A 50217-2023 tillsynsbegäran mail.docx", "A 50217-2023")</f>
        <v/>
      </c>
    </row>
    <row r="226" ht="15" customHeight="1">
      <c r="A226" t="inlineStr">
        <is>
          <t>A 56788-2023</t>
        </is>
      </c>
      <c r="B226" s="1" t="n">
        <v>45244</v>
      </c>
      <c r="C226" s="1" t="n">
        <v>45677</v>
      </c>
      <c r="D226" t="inlineStr">
        <is>
          <t>GÄVLEBORGS LÄN</t>
        </is>
      </c>
      <c r="E226" t="inlineStr">
        <is>
          <t>LJUSDAL</t>
        </is>
      </c>
      <c r="F226" t="inlineStr">
        <is>
          <t>Sveaskog</t>
        </is>
      </c>
      <c r="G226" t="n">
        <v>2.2</v>
      </c>
      <c r="H226" t="n">
        <v>2</v>
      </c>
      <c r="I226" t="n">
        <v>0</v>
      </c>
      <c r="J226" t="n">
        <v>2</v>
      </c>
      <c r="K226" t="n">
        <v>1</v>
      </c>
      <c r="L226" t="n">
        <v>0</v>
      </c>
      <c r="M226" t="n">
        <v>0</v>
      </c>
      <c r="N226" t="n">
        <v>0</v>
      </c>
      <c r="O226" t="n">
        <v>3</v>
      </c>
      <c r="P226" t="n">
        <v>1</v>
      </c>
      <c r="Q226" t="n">
        <v>3</v>
      </c>
      <c r="R226" s="2" t="inlineStr">
        <is>
          <t>Knärot
Garnlav
Järpe</t>
        </is>
      </c>
      <c r="S226">
        <f>HYPERLINK("https://klasma.github.io/Logging_2161/artfynd/A 56788-2023 artfynd.xlsx", "A 56788-2023")</f>
        <v/>
      </c>
      <c r="T226">
        <f>HYPERLINK("https://klasma.github.io/Logging_2161/kartor/A 56788-2023 karta.png", "A 56788-2023")</f>
        <v/>
      </c>
      <c r="U226">
        <f>HYPERLINK("https://klasma.github.io/Logging_2161/knärot/A 56788-2023 karta knärot.png", "A 56788-2023")</f>
        <v/>
      </c>
      <c r="V226">
        <f>HYPERLINK("https://klasma.github.io/Logging_2161/klagomål/A 56788-2023 FSC-klagomål.docx", "A 56788-2023")</f>
        <v/>
      </c>
      <c r="W226">
        <f>HYPERLINK("https://klasma.github.io/Logging_2161/klagomålsmail/A 56788-2023 FSC-klagomål mail.docx", "A 56788-2023")</f>
        <v/>
      </c>
      <c r="X226">
        <f>HYPERLINK("https://klasma.github.io/Logging_2161/tillsyn/A 56788-2023 tillsynsbegäran.docx", "A 56788-2023")</f>
        <v/>
      </c>
      <c r="Y226">
        <f>HYPERLINK("https://klasma.github.io/Logging_2161/tillsynsmail/A 56788-2023 tillsynsbegäran mail.docx", "A 56788-2023")</f>
        <v/>
      </c>
      <c r="Z226">
        <f>HYPERLINK("https://klasma.github.io/Logging_2161/fåglar/A 56788-2023 prioriterade fågelarter.docx", "A 56788-2023")</f>
        <v/>
      </c>
    </row>
    <row r="227" ht="15" customHeight="1">
      <c r="A227" t="inlineStr">
        <is>
          <t>A 64533-2023</t>
        </is>
      </c>
      <c r="B227" s="1" t="n">
        <v>45281</v>
      </c>
      <c r="C227" s="1" t="n">
        <v>45677</v>
      </c>
      <c r="D227" t="inlineStr">
        <is>
          <t>GÄVLEBORGS LÄN</t>
        </is>
      </c>
      <c r="E227" t="inlineStr">
        <is>
          <t>GÄVLE</t>
        </is>
      </c>
      <c r="G227" t="n">
        <v>1.1</v>
      </c>
      <c r="H227" t="n">
        <v>0</v>
      </c>
      <c r="I227" t="n">
        <v>2</v>
      </c>
      <c r="J227" t="n">
        <v>1</v>
      </c>
      <c r="K227" t="n">
        <v>0</v>
      </c>
      <c r="L227" t="n">
        <v>0</v>
      </c>
      <c r="M227" t="n">
        <v>0</v>
      </c>
      <c r="N227" t="n">
        <v>0</v>
      </c>
      <c r="O227" t="n">
        <v>1</v>
      </c>
      <c r="P227" t="n">
        <v>0</v>
      </c>
      <c r="Q227" t="n">
        <v>3</v>
      </c>
      <c r="R227" s="2" t="inlineStr">
        <is>
          <t>Asppraktbagge
Aspvedgnagare
Jättesvampmal</t>
        </is>
      </c>
      <c r="S227">
        <f>HYPERLINK("https://klasma.github.io/Logging_2180/artfynd/A 64533-2023 artfynd.xlsx", "A 64533-2023")</f>
        <v/>
      </c>
      <c r="T227">
        <f>HYPERLINK("https://klasma.github.io/Logging_2180/kartor/A 64533-2023 karta.png", "A 64533-2023")</f>
        <v/>
      </c>
      <c r="V227">
        <f>HYPERLINK("https://klasma.github.io/Logging_2180/klagomål/A 64533-2023 FSC-klagomål.docx", "A 64533-2023")</f>
        <v/>
      </c>
      <c r="W227">
        <f>HYPERLINK("https://klasma.github.io/Logging_2180/klagomålsmail/A 64533-2023 FSC-klagomål mail.docx", "A 64533-2023")</f>
        <v/>
      </c>
      <c r="X227">
        <f>HYPERLINK("https://klasma.github.io/Logging_2180/tillsyn/A 64533-2023 tillsynsbegäran.docx", "A 64533-2023")</f>
        <v/>
      </c>
      <c r="Y227">
        <f>HYPERLINK("https://klasma.github.io/Logging_2180/tillsynsmail/A 64533-2023 tillsynsbegäran mail.docx", "A 64533-2023")</f>
        <v/>
      </c>
    </row>
    <row r="228" ht="15" customHeight="1">
      <c r="A228" t="inlineStr">
        <is>
          <t>A 12843-2024</t>
        </is>
      </c>
      <c r="B228" s="1" t="n">
        <v>45384</v>
      </c>
      <c r="C228" s="1" t="n">
        <v>45677</v>
      </c>
      <c r="D228" t="inlineStr">
        <is>
          <t>GÄVLEBORGS LÄN</t>
        </is>
      </c>
      <c r="E228" t="inlineStr">
        <is>
          <t>HUDIKSVALL</t>
        </is>
      </c>
      <c r="F228" t="inlineStr">
        <is>
          <t>Holmen skog AB</t>
        </is>
      </c>
      <c r="G228" t="n">
        <v>23.4</v>
      </c>
      <c r="H228" t="n">
        <v>3</v>
      </c>
      <c r="I228" t="n">
        <v>1</v>
      </c>
      <c r="J228" t="n">
        <v>0</v>
      </c>
      <c r="K228" t="n">
        <v>0</v>
      </c>
      <c r="L228" t="n">
        <v>0</v>
      </c>
      <c r="M228" t="n">
        <v>0</v>
      </c>
      <c r="N228" t="n">
        <v>0</v>
      </c>
      <c r="O228" t="n">
        <v>0</v>
      </c>
      <c r="P228" t="n">
        <v>0</v>
      </c>
      <c r="Q228" t="n">
        <v>3</v>
      </c>
      <c r="R228" s="2" t="inlineStr">
        <is>
          <t>Spindelblomster
Fläcknycklar
Revlummer</t>
        </is>
      </c>
      <c r="S228">
        <f>HYPERLINK("https://klasma.github.io/Logging_2184/artfynd/A 12843-2024 artfynd.xlsx", "A 12843-2024")</f>
        <v/>
      </c>
      <c r="T228">
        <f>HYPERLINK("https://klasma.github.io/Logging_2184/kartor/A 12843-2024 karta.png", "A 12843-2024")</f>
        <v/>
      </c>
      <c r="V228">
        <f>HYPERLINK("https://klasma.github.io/Logging_2184/klagomål/A 12843-2024 FSC-klagomål.docx", "A 12843-2024")</f>
        <v/>
      </c>
      <c r="W228">
        <f>HYPERLINK("https://klasma.github.io/Logging_2184/klagomålsmail/A 12843-2024 FSC-klagomål mail.docx", "A 12843-2024")</f>
        <v/>
      </c>
      <c r="X228">
        <f>HYPERLINK("https://klasma.github.io/Logging_2184/tillsyn/A 12843-2024 tillsynsbegäran.docx", "A 12843-2024")</f>
        <v/>
      </c>
      <c r="Y228">
        <f>HYPERLINK("https://klasma.github.io/Logging_2184/tillsynsmail/A 12843-2024 tillsynsbegäran mail.docx", "A 12843-2024")</f>
        <v/>
      </c>
    </row>
    <row r="229" ht="15" customHeight="1">
      <c r="A229" t="inlineStr">
        <is>
          <t>A 14517-2024</t>
        </is>
      </c>
      <c r="B229" s="1" t="n">
        <v>45394</v>
      </c>
      <c r="C229" s="1" t="n">
        <v>45677</v>
      </c>
      <c r="D229" t="inlineStr">
        <is>
          <t>GÄVLEBORGS LÄN</t>
        </is>
      </c>
      <c r="E229" t="inlineStr">
        <is>
          <t>SANDVIKEN</t>
        </is>
      </c>
      <c r="F229" t="inlineStr">
        <is>
          <t>Kommuner</t>
        </is>
      </c>
      <c r="G229" t="n">
        <v>15.3</v>
      </c>
      <c r="H229" t="n">
        <v>2</v>
      </c>
      <c r="I229" t="n">
        <v>0</v>
      </c>
      <c r="J229" t="n">
        <v>1</v>
      </c>
      <c r="K229" t="n">
        <v>1</v>
      </c>
      <c r="L229" t="n">
        <v>0</v>
      </c>
      <c r="M229" t="n">
        <v>0</v>
      </c>
      <c r="N229" t="n">
        <v>0</v>
      </c>
      <c r="O229" t="n">
        <v>2</v>
      </c>
      <c r="P229" t="n">
        <v>1</v>
      </c>
      <c r="Q229" t="n">
        <v>3</v>
      </c>
      <c r="R229" s="2" t="inlineStr">
        <is>
          <t>Knärot
Ullticka
Nattviol</t>
        </is>
      </c>
      <c r="S229">
        <f>HYPERLINK("https://klasma.github.io/Logging_2181/artfynd/A 14517-2024 artfynd.xlsx", "A 14517-2024")</f>
        <v/>
      </c>
      <c r="T229">
        <f>HYPERLINK("https://klasma.github.io/Logging_2181/kartor/A 14517-2024 karta.png", "A 14517-2024")</f>
        <v/>
      </c>
      <c r="U229">
        <f>HYPERLINK("https://klasma.github.io/Logging_2181/knärot/A 14517-2024 karta knärot.png", "A 14517-2024")</f>
        <v/>
      </c>
      <c r="V229">
        <f>HYPERLINK("https://klasma.github.io/Logging_2181/klagomål/A 14517-2024 FSC-klagomål.docx", "A 14517-2024")</f>
        <v/>
      </c>
      <c r="W229">
        <f>HYPERLINK("https://klasma.github.io/Logging_2181/klagomålsmail/A 14517-2024 FSC-klagomål mail.docx", "A 14517-2024")</f>
        <v/>
      </c>
      <c r="X229">
        <f>HYPERLINK("https://klasma.github.io/Logging_2181/tillsyn/A 14517-2024 tillsynsbegäran.docx", "A 14517-2024")</f>
        <v/>
      </c>
      <c r="Y229">
        <f>HYPERLINK("https://klasma.github.io/Logging_2181/tillsynsmail/A 14517-2024 tillsynsbegäran mail.docx", "A 14517-2024")</f>
        <v/>
      </c>
    </row>
    <row r="230" ht="15" customHeight="1">
      <c r="A230" t="inlineStr">
        <is>
          <t>A 20312-2024</t>
        </is>
      </c>
      <c r="B230" s="1" t="n">
        <v>45435</v>
      </c>
      <c r="C230" s="1" t="n">
        <v>45677</v>
      </c>
      <c r="D230" t="inlineStr">
        <is>
          <t>GÄVLEBORGS LÄN</t>
        </is>
      </c>
      <c r="E230" t="inlineStr">
        <is>
          <t>NORDANSTIG</t>
        </is>
      </c>
      <c r="G230" t="n">
        <v>2.6</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HYPERLINK("https://klasma.github.io/Logging_2132/artfynd/A 20312-2024 artfynd.xlsx", "A 20312-2024")</f>
        <v/>
      </c>
      <c r="T230">
        <f>HYPERLINK("https://klasma.github.io/Logging_2132/kartor/A 20312-2024 karta.png", "A 20312-2024")</f>
        <v/>
      </c>
      <c r="V230">
        <f>HYPERLINK("https://klasma.github.io/Logging_2132/klagomål/A 20312-2024 FSC-klagomål.docx", "A 20312-2024")</f>
        <v/>
      </c>
      <c r="W230">
        <f>HYPERLINK("https://klasma.github.io/Logging_2132/klagomålsmail/A 20312-2024 FSC-klagomål mail.docx", "A 20312-2024")</f>
        <v/>
      </c>
      <c r="X230">
        <f>HYPERLINK("https://klasma.github.io/Logging_2132/tillsyn/A 20312-2024 tillsynsbegäran.docx", "A 20312-2024")</f>
        <v/>
      </c>
      <c r="Y230">
        <f>HYPERLINK("https://klasma.github.io/Logging_2132/tillsynsmail/A 20312-2024 tillsynsbegäran mail.docx", "A 20312-2024")</f>
        <v/>
      </c>
    </row>
    <row r="231" ht="15" customHeight="1">
      <c r="A231" t="inlineStr">
        <is>
          <t>A 21134-2024</t>
        </is>
      </c>
      <c r="B231" s="1" t="n">
        <v>45440</v>
      </c>
      <c r="C231" s="1" t="n">
        <v>45677</v>
      </c>
      <c r="D231" t="inlineStr">
        <is>
          <t>GÄVLEBORGS LÄN</t>
        </is>
      </c>
      <c r="E231" t="inlineStr">
        <is>
          <t>LJUSDAL</t>
        </is>
      </c>
      <c r="G231" t="n">
        <v>3.2</v>
      </c>
      <c r="H231" t="n">
        <v>1</v>
      </c>
      <c r="I231" t="n">
        <v>0</v>
      </c>
      <c r="J231" t="n">
        <v>2</v>
      </c>
      <c r="K231" t="n">
        <v>1</v>
      </c>
      <c r="L231" t="n">
        <v>0</v>
      </c>
      <c r="M231" t="n">
        <v>0</v>
      </c>
      <c r="N231" t="n">
        <v>0</v>
      </c>
      <c r="O231" t="n">
        <v>3</v>
      </c>
      <c r="P231" t="n">
        <v>1</v>
      </c>
      <c r="Q231" t="n">
        <v>3</v>
      </c>
      <c r="R231" s="2" t="inlineStr">
        <is>
          <t>Knärot
Kolflarnlav
Vedflamlav</t>
        </is>
      </c>
      <c r="S231">
        <f>HYPERLINK("https://klasma.github.io/Logging_2161/artfynd/A 21134-2024 artfynd.xlsx", "A 21134-2024")</f>
        <v/>
      </c>
      <c r="T231">
        <f>HYPERLINK("https://klasma.github.io/Logging_2161/kartor/A 21134-2024 karta.png", "A 21134-2024")</f>
        <v/>
      </c>
      <c r="U231">
        <f>HYPERLINK("https://klasma.github.io/Logging_2161/knärot/A 21134-2024 karta knärot.png", "A 21134-2024")</f>
        <v/>
      </c>
      <c r="V231">
        <f>HYPERLINK("https://klasma.github.io/Logging_2161/klagomål/A 21134-2024 FSC-klagomål.docx", "A 21134-2024")</f>
        <v/>
      </c>
      <c r="W231">
        <f>HYPERLINK("https://klasma.github.io/Logging_2161/klagomålsmail/A 21134-2024 FSC-klagomål mail.docx", "A 21134-2024")</f>
        <v/>
      </c>
      <c r="X231">
        <f>HYPERLINK("https://klasma.github.io/Logging_2161/tillsyn/A 21134-2024 tillsynsbegäran.docx", "A 21134-2024")</f>
        <v/>
      </c>
      <c r="Y231">
        <f>HYPERLINK("https://klasma.github.io/Logging_2161/tillsynsmail/A 21134-2024 tillsynsbegäran mail.docx", "A 21134-2024")</f>
        <v/>
      </c>
    </row>
    <row r="232" ht="15" customHeight="1">
      <c r="A232" t="inlineStr">
        <is>
          <t>A 22025-2024</t>
        </is>
      </c>
      <c r="B232" s="1" t="n">
        <v>45443</v>
      </c>
      <c r="C232" s="1" t="n">
        <v>45677</v>
      </c>
      <c r="D232" t="inlineStr">
        <is>
          <t>GÄVLEBORGS LÄN</t>
        </is>
      </c>
      <c r="E232" t="inlineStr">
        <is>
          <t>LJUSDAL</t>
        </is>
      </c>
      <c r="F232" t="inlineStr">
        <is>
          <t>Sveaskog</t>
        </is>
      </c>
      <c r="G232" t="n">
        <v>35.9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22025-2024 artfynd.xlsx", "A 22025-2024")</f>
        <v/>
      </c>
      <c r="T232">
        <f>HYPERLINK("https://klasma.github.io/Logging_2161/kartor/A 22025-2024 karta.png", "A 22025-2024")</f>
        <v/>
      </c>
      <c r="V232">
        <f>HYPERLINK("https://klasma.github.io/Logging_2161/klagomål/A 22025-2024 FSC-klagomål.docx", "A 22025-2024")</f>
        <v/>
      </c>
      <c r="W232">
        <f>HYPERLINK("https://klasma.github.io/Logging_2161/klagomålsmail/A 22025-2024 FSC-klagomål mail.docx", "A 22025-2024")</f>
        <v/>
      </c>
      <c r="X232">
        <f>HYPERLINK("https://klasma.github.io/Logging_2161/tillsyn/A 22025-2024 tillsynsbegäran.docx", "A 22025-2024")</f>
        <v/>
      </c>
      <c r="Y232">
        <f>HYPERLINK("https://klasma.github.io/Logging_2161/tillsynsmail/A 22025-2024 tillsynsbegäran mail.docx", "A 22025-2024")</f>
        <v/>
      </c>
    </row>
    <row r="233" ht="15" customHeight="1">
      <c r="A233" t="inlineStr">
        <is>
          <t>A 22229-2024</t>
        </is>
      </c>
      <c r="B233" s="1" t="n">
        <v>45446</v>
      </c>
      <c r="C233" s="1" t="n">
        <v>45677</v>
      </c>
      <c r="D233" t="inlineStr">
        <is>
          <t>GÄVLEBORGS LÄN</t>
        </is>
      </c>
      <c r="E233" t="inlineStr">
        <is>
          <t>LJUSDAL</t>
        </is>
      </c>
      <c r="F233" t="inlineStr">
        <is>
          <t>Sveaskog</t>
        </is>
      </c>
      <c r="G233" t="n">
        <v>4.2</v>
      </c>
      <c r="H233" t="n">
        <v>2</v>
      </c>
      <c r="I233" t="n">
        <v>0</v>
      </c>
      <c r="J233" t="n">
        <v>2</v>
      </c>
      <c r="K233" t="n">
        <v>1</v>
      </c>
      <c r="L233" t="n">
        <v>0</v>
      </c>
      <c r="M233" t="n">
        <v>0</v>
      </c>
      <c r="N233" t="n">
        <v>0</v>
      </c>
      <c r="O233" t="n">
        <v>3</v>
      </c>
      <c r="P233" t="n">
        <v>1</v>
      </c>
      <c r="Q233" t="n">
        <v>3</v>
      </c>
      <c r="R233" s="2" t="inlineStr">
        <is>
          <t>Topplåsbräken
Höstlåsbräken
Månlåsbräken</t>
        </is>
      </c>
      <c r="S233">
        <f>HYPERLINK("https://klasma.github.io/Logging_2161/artfynd/A 22229-2024 artfynd.xlsx", "A 22229-2024")</f>
        <v/>
      </c>
      <c r="T233">
        <f>HYPERLINK("https://klasma.github.io/Logging_2161/kartor/A 22229-2024 karta.png", "A 22229-2024")</f>
        <v/>
      </c>
      <c r="V233">
        <f>HYPERLINK("https://klasma.github.io/Logging_2161/klagomål/A 22229-2024 FSC-klagomål.docx", "A 22229-2024")</f>
        <v/>
      </c>
      <c r="W233">
        <f>HYPERLINK("https://klasma.github.io/Logging_2161/klagomålsmail/A 22229-2024 FSC-klagomål mail.docx", "A 22229-2024")</f>
        <v/>
      </c>
      <c r="X233">
        <f>HYPERLINK("https://klasma.github.io/Logging_2161/tillsyn/A 22229-2024 tillsynsbegäran.docx", "A 22229-2024")</f>
        <v/>
      </c>
      <c r="Y233">
        <f>HYPERLINK("https://klasma.github.io/Logging_2161/tillsynsmail/A 22229-2024 tillsynsbegäran mail.docx", "A 22229-2024")</f>
        <v/>
      </c>
    </row>
    <row r="234" ht="15" customHeight="1">
      <c r="A234" t="inlineStr">
        <is>
          <t>A 22239-2024</t>
        </is>
      </c>
      <c r="B234" s="1" t="n">
        <v>45446</v>
      </c>
      <c r="C234" s="1" t="n">
        <v>45677</v>
      </c>
      <c r="D234" t="inlineStr">
        <is>
          <t>GÄVLEBORGS LÄN</t>
        </is>
      </c>
      <c r="E234" t="inlineStr">
        <is>
          <t>LJUSDAL</t>
        </is>
      </c>
      <c r="F234" t="inlineStr">
        <is>
          <t>Sveaskog</t>
        </is>
      </c>
      <c r="G234" t="n">
        <v>4.4</v>
      </c>
      <c r="H234" t="n">
        <v>0</v>
      </c>
      <c r="I234" t="n">
        <v>0</v>
      </c>
      <c r="J234" t="n">
        <v>3</v>
      </c>
      <c r="K234" t="n">
        <v>0</v>
      </c>
      <c r="L234" t="n">
        <v>0</v>
      </c>
      <c r="M234" t="n">
        <v>0</v>
      </c>
      <c r="N234" t="n">
        <v>0</v>
      </c>
      <c r="O234" t="n">
        <v>3</v>
      </c>
      <c r="P234" t="n">
        <v>0</v>
      </c>
      <c r="Q234" t="n">
        <v>3</v>
      </c>
      <c r="R234" s="2" t="inlineStr">
        <is>
          <t>Kolflarnlav
Vedflamlav
Vedskivlav</t>
        </is>
      </c>
      <c r="S234">
        <f>HYPERLINK("https://klasma.github.io/Logging_2161/artfynd/A 22239-2024 artfynd.xlsx", "A 22239-2024")</f>
        <v/>
      </c>
      <c r="T234">
        <f>HYPERLINK("https://klasma.github.io/Logging_2161/kartor/A 22239-2024 karta.png", "A 22239-2024")</f>
        <v/>
      </c>
      <c r="V234">
        <f>HYPERLINK("https://klasma.github.io/Logging_2161/klagomål/A 22239-2024 FSC-klagomål.docx", "A 22239-2024")</f>
        <v/>
      </c>
      <c r="W234">
        <f>HYPERLINK("https://klasma.github.io/Logging_2161/klagomålsmail/A 22239-2024 FSC-klagomål mail.docx", "A 22239-2024")</f>
        <v/>
      </c>
      <c r="X234">
        <f>HYPERLINK("https://klasma.github.io/Logging_2161/tillsyn/A 22239-2024 tillsynsbegäran.docx", "A 22239-2024")</f>
        <v/>
      </c>
      <c r="Y234">
        <f>HYPERLINK("https://klasma.github.io/Logging_2161/tillsynsmail/A 22239-2024 tillsynsbegäran mail.docx", "A 22239-2024")</f>
        <v/>
      </c>
    </row>
    <row r="235" ht="15" customHeight="1">
      <c r="A235" t="inlineStr">
        <is>
          <t>A 22916-2024</t>
        </is>
      </c>
      <c r="B235" s="1" t="n">
        <v>45448</v>
      </c>
      <c r="C235" s="1" t="n">
        <v>45677</v>
      </c>
      <c r="D235" t="inlineStr">
        <is>
          <t>GÄVLEBORGS LÄN</t>
        </is>
      </c>
      <c r="E235" t="inlineStr">
        <is>
          <t>LJUSDAL</t>
        </is>
      </c>
      <c r="F235" t="inlineStr">
        <is>
          <t>Sveaskog</t>
        </is>
      </c>
      <c r="G235" t="n">
        <v>28.4</v>
      </c>
      <c r="H235" t="n">
        <v>0</v>
      </c>
      <c r="I235" t="n">
        <v>0</v>
      </c>
      <c r="J235" t="n">
        <v>3</v>
      </c>
      <c r="K235" t="n">
        <v>0</v>
      </c>
      <c r="L235" t="n">
        <v>0</v>
      </c>
      <c r="M235" t="n">
        <v>0</v>
      </c>
      <c r="N235" t="n">
        <v>0</v>
      </c>
      <c r="O235" t="n">
        <v>3</v>
      </c>
      <c r="P235" t="n">
        <v>0</v>
      </c>
      <c r="Q235" t="n">
        <v>3</v>
      </c>
      <c r="R235" s="2" t="inlineStr">
        <is>
          <t>Kolflarnlav
Mörk kolflarnlav
Vedflamlav</t>
        </is>
      </c>
      <c r="S235">
        <f>HYPERLINK("https://klasma.github.io/Logging_2161/artfynd/A 22916-2024 artfynd.xlsx", "A 22916-2024")</f>
        <v/>
      </c>
      <c r="T235">
        <f>HYPERLINK("https://klasma.github.io/Logging_2161/kartor/A 22916-2024 karta.png", "A 22916-2024")</f>
        <v/>
      </c>
      <c r="V235">
        <f>HYPERLINK("https://klasma.github.io/Logging_2161/klagomål/A 22916-2024 FSC-klagomål.docx", "A 22916-2024")</f>
        <v/>
      </c>
      <c r="W235">
        <f>HYPERLINK("https://klasma.github.io/Logging_2161/klagomålsmail/A 22916-2024 FSC-klagomål mail.docx", "A 22916-2024")</f>
        <v/>
      </c>
      <c r="X235">
        <f>HYPERLINK("https://klasma.github.io/Logging_2161/tillsyn/A 22916-2024 tillsynsbegäran.docx", "A 22916-2024")</f>
        <v/>
      </c>
      <c r="Y235">
        <f>HYPERLINK("https://klasma.github.io/Logging_2161/tillsynsmail/A 22916-2024 tillsynsbegäran mail.docx", "A 22916-2024")</f>
        <v/>
      </c>
    </row>
    <row r="236" ht="15" customHeight="1">
      <c r="A236" t="inlineStr">
        <is>
          <t>A 24895-2024</t>
        </is>
      </c>
      <c r="B236" s="1" t="n">
        <v>45461</v>
      </c>
      <c r="C236" s="1" t="n">
        <v>45677</v>
      </c>
      <c r="D236" t="inlineStr">
        <is>
          <t>GÄVLEBORGS LÄN</t>
        </is>
      </c>
      <c r="E236" t="inlineStr">
        <is>
          <t>OVANÅKER</t>
        </is>
      </c>
      <c r="G236" t="n">
        <v>5.1</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HYPERLINK("https://klasma.github.io/Logging_2121/artfynd/A 24895-2024 artfynd.xlsx", "A 24895-2024")</f>
        <v/>
      </c>
      <c r="T236">
        <f>HYPERLINK("https://klasma.github.io/Logging_2121/kartor/A 24895-2024 karta.png", "A 24895-2024")</f>
        <v/>
      </c>
      <c r="V236">
        <f>HYPERLINK("https://klasma.github.io/Logging_2121/klagomål/A 24895-2024 FSC-klagomål.docx", "A 24895-2024")</f>
        <v/>
      </c>
      <c r="W236">
        <f>HYPERLINK("https://klasma.github.io/Logging_2121/klagomålsmail/A 24895-2024 FSC-klagomål mail.docx", "A 24895-2024")</f>
        <v/>
      </c>
      <c r="X236">
        <f>HYPERLINK("https://klasma.github.io/Logging_2121/tillsyn/A 24895-2024 tillsynsbegäran.docx", "A 24895-2024")</f>
        <v/>
      </c>
      <c r="Y236">
        <f>HYPERLINK("https://klasma.github.io/Logging_2121/tillsynsmail/A 24895-2024 tillsynsbegäran mail.docx", "A 24895-2024")</f>
        <v/>
      </c>
    </row>
    <row r="237" ht="15" customHeight="1">
      <c r="A237" t="inlineStr">
        <is>
          <t>A 26877-2024</t>
        </is>
      </c>
      <c r="B237" s="1" t="n">
        <v>45470</v>
      </c>
      <c r="C237" s="1" t="n">
        <v>45677</v>
      </c>
      <c r="D237" t="inlineStr">
        <is>
          <t>GÄVLEBORGS LÄN</t>
        </is>
      </c>
      <c r="E237" t="inlineStr">
        <is>
          <t>LJUSDAL</t>
        </is>
      </c>
      <c r="F237" t="inlineStr">
        <is>
          <t>Sveaskog</t>
        </is>
      </c>
      <c r="G237" t="n">
        <v>2.5</v>
      </c>
      <c r="H237" t="n">
        <v>1</v>
      </c>
      <c r="I237" t="n">
        <v>0</v>
      </c>
      <c r="J237" t="n">
        <v>2</v>
      </c>
      <c r="K237" t="n">
        <v>0</v>
      </c>
      <c r="L237" t="n">
        <v>0</v>
      </c>
      <c r="M237" t="n">
        <v>0</v>
      </c>
      <c r="N237" t="n">
        <v>0</v>
      </c>
      <c r="O237" t="n">
        <v>2</v>
      </c>
      <c r="P237" t="n">
        <v>0</v>
      </c>
      <c r="Q237" t="n">
        <v>3</v>
      </c>
      <c r="R237" s="2" t="inlineStr">
        <is>
          <t>Kolflarnlav
Lunglav
Nattviol</t>
        </is>
      </c>
      <c r="S237">
        <f>HYPERLINK("https://klasma.github.io/Logging_2161/artfynd/A 26877-2024 artfynd.xlsx", "A 26877-2024")</f>
        <v/>
      </c>
      <c r="T237">
        <f>HYPERLINK("https://klasma.github.io/Logging_2161/kartor/A 26877-2024 karta.png", "A 26877-2024")</f>
        <v/>
      </c>
      <c r="V237">
        <f>HYPERLINK("https://klasma.github.io/Logging_2161/klagomål/A 26877-2024 FSC-klagomål.docx", "A 26877-2024")</f>
        <v/>
      </c>
      <c r="W237">
        <f>HYPERLINK("https://klasma.github.io/Logging_2161/klagomålsmail/A 26877-2024 FSC-klagomål mail.docx", "A 26877-2024")</f>
        <v/>
      </c>
      <c r="X237">
        <f>HYPERLINK("https://klasma.github.io/Logging_2161/tillsyn/A 26877-2024 tillsynsbegäran.docx", "A 26877-2024")</f>
        <v/>
      </c>
      <c r="Y237">
        <f>HYPERLINK("https://klasma.github.io/Logging_2161/tillsynsmail/A 26877-2024 tillsynsbegäran mail.docx", "A 26877-2024")</f>
        <v/>
      </c>
    </row>
    <row r="238" ht="15" customHeight="1">
      <c r="A238" t="inlineStr">
        <is>
          <t>A 28268-2024</t>
        </is>
      </c>
      <c r="B238" s="1" t="n">
        <v>45477</v>
      </c>
      <c r="C238" s="1" t="n">
        <v>45677</v>
      </c>
      <c r="D238" t="inlineStr">
        <is>
          <t>GÄVLEBORGS LÄN</t>
        </is>
      </c>
      <c r="E238" t="inlineStr">
        <is>
          <t>HUDIKSVALL</t>
        </is>
      </c>
      <c r="F238" t="inlineStr">
        <is>
          <t>Holmen skog AB</t>
        </is>
      </c>
      <c r="G238" t="n">
        <v>3.7</v>
      </c>
      <c r="H238" t="n">
        <v>0</v>
      </c>
      <c r="I238" t="n">
        <v>2</v>
      </c>
      <c r="J238" t="n">
        <v>1</v>
      </c>
      <c r="K238" t="n">
        <v>0</v>
      </c>
      <c r="L238" t="n">
        <v>0</v>
      </c>
      <c r="M238" t="n">
        <v>0</v>
      </c>
      <c r="N238" t="n">
        <v>0</v>
      </c>
      <c r="O238" t="n">
        <v>1</v>
      </c>
      <c r="P238" t="n">
        <v>0</v>
      </c>
      <c r="Q238" t="n">
        <v>3</v>
      </c>
      <c r="R238" s="2" t="inlineStr">
        <is>
          <t>Lunglav
Korallblylav
Skinnlav</t>
        </is>
      </c>
      <c r="S238">
        <f>HYPERLINK("https://klasma.github.io/Logging_2184/artfynd/A 28268-2024 artfynd.xlsx", "A 28268-2024")</f>
        <v/>
      </c>
      <c r="T238">
        <f>HYPERLINK("https://klasma.github.io/Logging_2184/kartor/A 28268-2024 karta.png", "A 28268-2024")</f>
        <v/>
      </c>
      <c r="V238">
        <f>HYPERLINK("https://klasma.github.io/Logging_2184/klagomål/A 28268-2024 FSC-klagomål.docx", "A 28268-2024")</f>
        <v/>
      </c>
      <c r="W238">
        <f>HYPERLINK("https://klasma.github.io/Logging_2184/klagomålsmail/A 28268-2024 FSC-klagomål mail.docx", "A 28268-2024")</f>
        <v/>
      </c>
      <c r="X238">
        <f>HYPERLINK("https://klasma.github.io/Logging_2184/tillsyn/A 28268-2024 tillsynsbegäran.docx", "A 28268-2024")</f>
        <v/>
      </c>
      <c r="Y238">
        <f>HYPERLINK("https://klasma.github.io/Logging_2184/tillsynsmail/A 28268-2024 tillsynsbegäran mail.docx", "A 28268-2024")</f>
        <v/>
      </c>
    </row>
    <row r="239" ht="15" customHeight="1">
      <c r="A239" t="inlineStr">
        <is>
          <t>A 30783-2024</t>
        </is>
      </c>
      <c r="B239" s="1" t="n">
        <v>45497</v>
      </c>
      <c r="C239" s="1" t="n">
        <v>45677</v>
      </c>
      <c r="D239" t="inlineStr">
        <is>
          <t>GÄVLEBORGS LÄN</t>
        </is>
      </c>
      <c r="E239" t="inlineStr">
        <is>
          <t>LJUSDAL</t>
        </is>
      </c>
      <c r="F239" t="inlineStr">
        <is>
          <t>SCA</t>
        </is>
      </c>
      <c r="G239" t="n">
        <v>4.8</v>
      </c>
      <c r="H239" t="n">
        <v>2</v>
      </c>
      <c r="I239" t="n">
        <v>1</v>
      </c>
      <c r="J239" t="n">
        <v>1</v>
      </c>
      <c r="K239" t="n">
        <v>0</v>
      </c>
      <c r="L239" t="n">
        <v>0</v>
      </c>
      <c r="M239" t="n">
        <v>0</v>
      </c>
      <c r="N239" t="n">
        <v>0</v>
      </c>
      <c r="O239" t="n">
        <v>1</v>
      </c>
      <c r="P239" t="n">
        <v>0</v>
      </c>
      <c r="Q239" t="n">
        <v>3</v>
      </c>
      <c r="R239" s="2" t="inlineStr">
        <is>
          <t>Garnlav
Plattlummer
Mattlummer</t>
        </is>
      </c>
      <c r="S239">
        <f>HYPERLINK("https://klasma.github.io/Logging_2161/artfynd/A 30783-2024 artfynd.xlsx", "A 30783-2024")</f>
        <v/>
      </c>
      <c r="T239">
        <f>HYPERLINK("https://klasma.github.io/Logging_2161/kartor/A 30783-2024 karta.png", "A 30783-2024")</f>
        <v/>
      </c>
      <c r="V239">
        <f>HYPERLINK("https://klasma.github.io/Logging_2161/klagomål/A 30783-2024 FSC-klagomål.docx", "A 30783-2024")</f>
        <v/>
      </c>
      <c r="W239">
        <f>HYPERLINK("https://klasma.github.io/Logging_2161/klagomålsmail/A 30783-2024 FSC-klagomål mail.docx", "A 30783-2024")</f>
        <v/>
      </c>
      <c r="X239">
        <f>HYPERLINK("https://klasma.github.io/Logging_2161/tillsyn/A 30783-2024 tillsynsbegäran.docx", "A 30783-2024")</f>
        <v/>
      </c>
      <c r="Y239">
        <f>HYPERLINK("https://klasma.github.io/Logging_2161/tillsynsmail/A 30783-2024 tillsynsbegäran mail.docx", "A 30783-2024")</f>
        <v/>
      </c>
    </row>
    <row r="240" ht="15" customHeight="1">
      <c r="A240" t="inlineStr">
        <is>
          <t>A 31054-2024</t>
        </is>
      </c>
      <c r="B240" s="1" t="n">
        <v>45502</v>
      </c>
      <c r="C240" s="1" t="n">
        <v>45677</v>
      </c>
      <c r="D240" t="inlineStr">
        <is>
          <t>GÄVLEBORGS LÄN</t>
        </is>
      </c>
      <c r="E240" t="inlineStr">
        <is>
          <t>NORDANSTIG</t>
        </is>
      </c>
      <c r="F240" t="inlineStr">
        <is>
          <t>Holmen skog AB</t>
        </is>
      </c>
      <c r="G240" t="n">
        <v>4.7</v>
      </c>
      <c r="H240" t="n">
        <v>0</v>
      </c>
      <c r="I240" t="n">
        <v>3</v>
      </c>
      <c r="J240" t="n">
        <v>0</v>
      </c>
      <c r="K240" t="n">
        <v>0</v>
      </c>
      <c r="L240" t="n">
        <v>0</v>
      </c>
      <c r="M240" t="n">
        <v>0</v>
      </c>
      <c r="N240" t="n">
        <v>0</v>
      </c>
      <c r="O240" t="n">
        <v>0</v>
      </c>
      <c r="P240" t="n">
        <v>0</v>
      </c>
      <c r="Q240" t="n">
        <v>3</v>
      </c>
      <c r="R240" s="2" t="inlineStr">
        <is>
          <t>Kamjordstjärna
Smal svampklubba
Stor aspticka</t>
        </is>
      </c>
      <c r="S240">
        <f>HYPERLINK("https://klasma.github.io/Logging_2132/artfynd/A 31054-2024 artfynd.xlsx", "A 31054-2024")</f>
        <v/>
      </c>
      <c r="T240">
        <f>HYPERLINK("https://klasma.github.io/Logging_2132/kartor/A 31054-2024 karta.png", "A 31054-2024")</f>
        <v/>
      </c>
      <c r="V240">
        <f>HYPERLINK("https://klasma.github.io/Logging_2132/klagomål/A 31054-2024 FSC-klagomål.docx", "A 31054-2024")</f>
        <v/>
      </c>
      <c r="W240">
        <f>HYPERLINK("https://klasma.github.io/Logging_2132/klagomålsmail/A 31054-2024 FSC-klagomål mail.docx", "A 31054-2024")</f>
        <v/>
      </c>
      <c r="X240">
        <f>HYPERLINK("https://klasma.github.io/Logging_2132/tillsyn/A 31054-2024 tillsynsbegäran.docx", "A 31054-2024")</f>
        <v/>
      </c>
      <c r="Y240">
        <f>HYPERLINK("https://klasma.github.io/Logging_2132/tillsynsmail/A 31054-2024 tillsynsbegäran mail.docx", "A 31054-2024")</f>
        <v/>
      </c>
    </row>
    <row r="241" ht="15" customHeight="1">
      <c r="A241" t="inlineStr">
        <is>
          <t>A 32134-2024</t>
        </is>
      </c>
      <c r="B241" s="1" t="n">
        <v>45511</v>
      </c>
      <c r="C241" s="1" t="n">
        <v>45677</v>
      </c>
      <c r="D241" t="inlineStr">
        <is>
          <t>GÄVLEBORGS LÄN</t>
        </is>
      </c>
      <c r="E241" t="inlineStr">
        <is>
          <t>LJUSDAL</t>
        </is>
      </c>
      <c r="G241" t="n">
        <v>6.5</v>
      </c>
      <c r="H241" t="n">
        <v>1</v>
      </c>
      <c r="I241" t="n">
        <v>1</v>
      </c>
      <c r="J241" t="n">
        <v>1</v>
      </c>
      <c r="K241" t="n">
        <v>1</v>
      </c>
      <c r="L241" t="n">
        <v>0</v>
      </c>
      <c r="M241" t="n">
        <v>0</v>
      </c>
      <c r="N241" t="n">
        <v>0</v>
      </c>
      <c r="O241" t="n">
        <v>2</v>
      </c>
      <c r="P241" t="n">
        <v>1</v>
      </c>
      <c r="Q241" t="n">
        <v>3</v>
      </c>
      <c r="R241" s="2" t="inlineStr">
        <is>
          <t>Knärot
Lunglav
Gulnål</t>
        </is>
      </c>
      <c r="S241">
        <f>HYPERLINK("https://klasma.github.io/Logging_2161/artfynd/A 32134-2024 artfynd.xlsx", "A 32134-2024")</f>
        <v/>
      </c>
      <c r="T241">
        <f>HYPERLINK("https://klasma.github.io/Logging_2161/kartor/A 32134-2024 karta.png", "A 32134-2024")</f>
        <v/>
      </c>
      <c r="U241">
        <f>HYPERLINK("https://klasma.github.io/Logging_2161/knärot/A 32134-2024 karta knärot.png", "A 32134-2024")</f>
        <v/>
      </c>
      <c r="V241">
        <f>HYPERLINK("https://klasma.github.io/Logging_2161/klagomål/A 32134-2024 FSC-klagomål.docx", "A 32134-2024")</f>
        <v/>
      </c>
      <c r="W241">
        <f>HYPERLINK("https://klasma.github.io/Logging_2161/klagomålsmail/A 32134-2024 FSC-klagomål mail.docx", "A 32134-2024")</f>
        <v/>
      </c>
      <c r="X241">
        <f>HYPERLINK("https://klasma.github.io/Logging_2161/tillsyn/A 32134-2024 tillsynsbegäran.docx", "A 32134-2024")</f>
        <v/>
      </c>
      <c r="Y241">
        <f>HYPERLINK("https://klasma.github.io/Logging_2161/tillsynsmail/A 32134-2024 tillsynsbegäran mail.docx", "A 32134-2024")</f>
        <v/>
      </c>
    </row>
    <row r="242" ht="15" customHeight="1">
      <c r="A242" t="inlineStr">
        <is>
          <t>A 36621-2024</t>
        </is>
      </c>
      <c r="B242" s="1" t="n">
        <v>45537</v>
      </c>
      <c r="C242" s="1" t="n">
        <v>45677</v>
      </c>
      <c r="D242" t="inlineStr">
        <is>
          <t>GÄVLEBORGS LÄN</t>
        </is>
      </c>
      <c r="E242" t="inlineStr">
        <is>
          <t>LJUSDAL</t>
        </is>
      </c>
      <c r="F242" t="inlineStr">
        <is>
          <t>Sveaskog</t>
        </is>
      </c>
      <c r="G242" t="n">
        <v>2.9</v>
      </c>
      <c r="H242" t="n">
        <v>0</v>
      </c>
      <c r="I242" t="n">
        <v>0</v>
      </c>
      <c r="J242" t="n">
        <v>3</v>
      </c>
      <c r="K242" t="n">
        <v>0</v>
      </c>
      <c r="L242" t="n">
        <v>0</v>
      </c>
      <c r="M242" t="n">
        <v>0</v>
      </c>
      <c r="N242" t="n">
        <v>0</v>
      </c>
      <c r="O242" t="n">
        <v>3</v>
      </c>
      <c r="P242" t="n">
        <v>0</v>
      </c>
      <c r="Q242" t="n">
        <v>3</v>
      </c>
      <c r="R242" s="2" t="inlineStr">
        <is>
          <t>Kolflarnlav
Lunglav
Mörk kolflarnlav</t>
        </is>
      </c>
      <c r="S242">
        <f>HYPERLINK("https://klasma.github.io/Logging_2161/artfynd/A 36621-2024 artfynd.xlsx", "A 36621-2024")</f>
        <v/>
      </c>
      <c r="T242">
        <f>HYPERLINK("https://klasma.github.io/Logging_2161/kartor/A 36621-2024 karta.png", "A 36621-2024")</f>
        <v/>
      </c>
      <c r="V242">
        <f>HYPERLINK("https://klasma.github.io/Logging_2161/klagomål/A 36621-2024 FSC-klagomål.docx", "A 36621-2024")</f>
        <v/>
      </c>
      <c r="W242">
        <f>HYPERLINK("https://klasma.github.io/Logging_2161/klagomålsmail/A 36621-2024 FSC-klagomål mail.docx", "A 36621-2024")</f>
        <v/>
      </c>
      <c r="X242">
        <f>HYPERLINK("https://klasma.github.io/Logging_2161/tillsyn/A 36621-2024 tillsynsbegäran.docx", "A 36621-2024")</f>
        <v/>
      </c>
      <c r="Y242">
        <f>HYPERLINK("https://klasma.github.io/Logging_2161/tillsynsmail/A 36621-2024 tillsynsbegäran mail.docx", "A 36621-2024")</f>
        <v/>
      </c>
    </row>
    <row r="243" ht="15" customHeight="1">
      <c r="A243" t="inlineStr">
        <is>
          <t>A 36629-2024</t>
        </is>
      </c>
      <c r="B243" s="1" t="n">
        <v>45537</v>
      </c>
      <c r="C243" s="1" t="n">
        <v>45677</v>
      </c>
      <c r="D243" t="inlineStr">
        <is>
          <t>GÄVLEBORGS LÄN</t>
        </is>
      </c>
      <c r="E243" t="inlineStr">
        <is>
          <t>LJUSDAL</t>
        </is>
      </c>
      <c r="F243" t="inlineStr">
        <is>
          <t>Sveaskog</t>
        </is>
      </c>
      <c r="G243" t="n">
        <v>1.1</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HYPERLINK("https://klasma.github.io/Logging_2161/artfynd/A 36629-2024 artfynd.xlsx", "A 36629-2024")</f>
        <v/>
      </c>
      <c r="T243">
        <f>HYPERLINK("https://klasma.github.io/Logging_2161/kartor/A 36629-2024 karta.png", "A 36629-2024")</f>
        <v/>
      </c>
      <c r="V243">
        <f>HYPERLINK("https://klasma.github.io/Logging_2161/klagomål/A 36629-2024 FSC-klagomål.docx", "A 36629-2024")</f>
        <v/>
      </c>
      <c r="W243">
        <f>HYPERLINK("https://klasma.github.io/Logging_2161/klagomålsmail/A 36629-2024 FSC-klagomål mail.docx", "A 36629-2024")</f>
        <v/>
      </c>
      <c r="X243">
        <f>HYPERLINK("https://klasma.github.io/Logging_2161/tillsyn/A 36629-2024 tillsynsbegäran.docx", "A 36629-2024")</f>
        <v/>
      </c>
      <c r="Y243">
        <f>HYPERLINK("https://klasma.github.io/Logging_2161/tillsynsmail/A 36629-2024 tillsynsbegäran mail.docx", "A 36629-2024")</f>
        <v/>
      </c>
    </row>
    <row r="244" ht="15" customHeight="1">
      <c r="A244" t="inlineStr">
        <is>
          <t>A 36623-2024</t>
        </is>
      </c>
      <c r="B244" s="1" t="n">
        <v>45537</v>
      </c>
      <c r="C244" s="1" t="n">
        <v>45677</v>
      </c>
      <c r="D244" t="inlineStr">
        <is>
          <t>GÄVLEBORGS LÄN</t>
        </is>
      </c>
      <c r="E244" t="inlineStr">
        <is>
          <t>LJUSDAL</t>
        </is>
      </c>
      <c r="F244" t="inlineStr">
        <is>
          <t>Sveaskog</t>
        </is>
      </c>
      <c r="G244" t="n">
        <v>24.7</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36623-2024 artfynd.xlsx", "A 36623-2024")</f>
        <v/>
      </c>
      <c r="T244">
        <f>HYPERLINK("https://klasma.github.io/Logging_2161/kartor/A 36623-2024 karta.png", "A 36623-2024")</f>
        <v/>
      </c>
      <c r="V244">
        <f>HYPERLINK("https://klasma.github.io/Logging_2161/klagomål/A 36623-2024 FSC-klagomål.docx", "A 36623-2024")</f>
        <v/>
      </c>
      <c r="W244">
        <f>HYPERLINK("https://klasma.github.io/Logging_2161/klagomålsmail/A 36623-2024 FSC-klagomål mail.docx", "A 36623-2024")</f>
        <v/>
      </c>
      <c r="X244">
        <f>HYPERLINK("https://klasma.github.io/Logging_2161/tillsyn/A 36623-2024 tillsynsbegäran.docx", "A 36623-2024")</f>
        <v/>
      </c>
      <c r="Y244">
        <f>HYPERLINK("https://klasma.github.io/Logging_2161/tillsynsmail/A 36623-2024 tillsynsbegäran mail.docx", "A 36623-2024")</f>
        <v/>
      </c>
    </row>
    <row r="245" ht="15" customHeight="1">
      <c r="A245" t="inlineStr">
        <is>
          <t>A 36627-2024</t>
        </is>
      </c>
      <c r="B245" s="1" t="n">
        <v>45537</v>
      </c>
      <c r="C245" s="1" t="n">
        <v>45677</v>
      </c>
      <c r="D245" t="inlineStr">
        <is>
          <t>GÄVLEBORGS LÄN</t>
        </is>
      </c>
      <c r="E245" t="inlineStr">
        <is>
          <t>LJUSDAL</t>
        </is>
      </c>
      <c r="F245" t="inlineStr">
        <is>
          <t>Sveaskog</t>
        </is>
      </c>
      <c r="G245" t="n">
        <v>11.8</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36627-2024 artfynd.xlsx", "A 36627-2024")</f>
        <v/>
      </c>
      <c r="T245">
        <f>HYPERLINK("https://klasma.github.io/Logging_2161/kartor/A 36627-2024 karta.png", "A 36627-2024")</f>
        <v/>
      </c>
      <c r="V245">
        <f>HYPERLINK("https://klasma.github.io/Logging_2161/klagomål/A 36627-2024 FSC-klagomål.docx", "A 36627-2024")</f>
        <v/>
      </c>
      <c r="W245">
        <f>HYPERLINK("https://klasma.github.io/Logging_2161/klagomålsmail/A 36627-2024 FSC-klagomål mail.docx", "A 36627-2024")</f>
        <v/>
      </c>
      <c r="X245">
        <f>HYPERLINK("https://klasma.github.io/Logging_2161/tillsyn/A 36627-2024 tillsynsbegäran.docx", "A 36627-2024")</f>
        <v/>
      </c>
      <c r="Y245">
        <f>HYPERLINK("https://klasma.github.io/Logging_2161/tillsynsmail/A 36627-2024 tillsynsbegäran mail.docx", "A 36627-2024")</f>
        <v/>
      </c>
    </row>
    <row r="246" ht="15" customHeight="1">
      <c r="A246" t="inlineStr">
        <is>
          <t>A 38141-2024</t>
        </is>
      </c>
      <c r="B246" s="1" t="n">
        <v>45545</v>
      </c>
      <c r="C246" s="1" t="n">
        <v>45677</v>
      </c>
      <c r="D246" t="inlineStr">
        <is>
          <t>GÄVLEBORGS LÄN</t>
        </is>
      </c>
      <c r="E246" t="inlineStr">
        <is>
          <t>LJUSDAL</t>
        </is>
      </c>
      <c r="F246" t="inlineStr">
        <is>
          <t>Sveaskog</t>
        </is>
      </c>
      <c r="G246" t="n">
        <v>13.5</v>
      </c>
      <c r="H246" t="n">
        <v>0</v>
      </c>
      <c r="I246" t="n">
        <v>0</v>
      </c>
      <c r="J246" t="n">
        <v>3</v>
      </c>
      <c r="K246" t="n">
        <v>0</v>
      </c>
      <c r="L246" t="n">
        <v>0</v>
      </c>
      <c r="M246" t="n">
        <v>0</v>
      </c>
      <c r="N246" t="n">
        <v>0</v>
      </c>
      <c r="O246" t="n">
        <v>3</v>
      </c>
      <c r="P246" t="n">
        <v>0</v>
      </c>
      <c r="Q246" t="n">
        <v>3</v>
      </c>
      <c r="R246" s="2" t="inlineStr">
        <is>
          <t>Kolflarnlav
Mörk kolflarnlav
Vedflamlav</t>
        </is>
      </c>
      <c r="S246">
        <f>HYPERLINK("https://klasma.github.io/Logging_2161/artfynd/A 38141-2024 artfynd.xlsx", "A 38141-2024")</f>
        <v/>
      </c>
      <c r="T246">
        <f>HYPERLINK("https://klasma.github.io/Logging_2161/kartor/A 38141-2024 karta.png", "A 38141-2024")</f>
        <v/>
      </c>
      <c r="V246">
        <f>HYPERLINK("https://klasma.github.io/Logging_2161/klagomål/A 38141-2024 FSC-klagomål.docx", "A 38141-2024")</f>
        <v/>
      </c>
      <c r="W246">
        <f>HYPERLINK("https://klasma.github.io/Logging_2161/klagomålsmail/A 38141-2024 FSC-klagomål mail.docx", "A 38141-2024")</f>
        <v/>
      </c>
      <c r="X246">
        <f>HYPERLINK("https://klasma.github.io/Logging_2161/tillsyn/A 38141-2024 tillsynsbegäran.docx", "A 38141-2024")</f>
        <v/>
      </c>
      <c r="Y246">
        <f>HYPERLINK("https://klasma.github.io/Logging_2161/tillsynsmail/A 38141-2024 tillsynsbegäran mail.docx", "A 38141-2024")</f>
        <v/>
      </c>
    </row>
    <row r="247" ht="15" customHeight="1">
      <c r="A247" t="inlineStr">
        <is>
          <t>A 44451-2024</t>
        </is>
      </c>
      <c r="B247" s="1" t="n">
        <v>45574</v>
      </c>
      <c r="C247" s="1" t="n">
        <v>45677</v>
      </c>
      <c r="D247" t="inlineStr">
        <is>
          <t>GÄVLEBORGS LÄN</t>
        </is>
      </c>
      <c r="E247" t="inlineStr">
        <is>
          <t>LJUSDAL</t>
        </is>
      </c>
      <c r="G247" t="n">
        <v>1.4</v>
      </c>
      <c r="H247" t="n">
        <v>1</v>
      </c>
      <c r="I247" t="n">
        <v>1</v>
      </c>
      <c r="J247" t="n">
        <v>2</v>
      </c>
      <c r="K247" t="n">
        <v>0</v>
      </c>
      <c r="L247" t="n">
        <v>0</v>
      </c>
      <c r="M247" t="n">
        <v>0</v>
      </c>
      <c r="N247" t="n">
        <v>0</v>
      </c>
      <c r="O247" t="n">
        <v>2</v>
      </c>
      <c r="P247" t="n">
        <v>0</v>
      </c>
      <c r="Q247" t="n">
        <v>3</v>
      </c>
      <c r="R247" s="2" t="inlineStr">
        <is>
          <t>Kolflarnlav
Vedflamlav
Plattlummer</t>
        </is>
      </c>
      <c r="S247">
        <f>HYPERLINK("https://klasma.github.io/Logging_2161/artfynd/A 44451-2024 artfynd.xlsx", "A 44451-2024")</f>
        <v/>
      </c>
      <c r="T247">
        <f>HYPERLINK("https://klasma.github.io/Logging_2161/kartor/A 44451-2024 karta.png", "A 44451-2024")</f>
        <v/>
      </c>
      <c r="V247">
        <f>HYPERLINK("https://klasma.github.io/Logging_2161/klagomål/A 44451-2024 FSC-klagomål.docx", "A 44451-2024")</f>
        <v/>
      </c>
      <c r="W247">
        <f>HYPERLINK("https://klasma.github.io/Logging_2161/klagomålsmail/A 44451-2024 FSC-klagomål mail.docx", "A 44451-2024")</f>
        <v/>
      </c>
      <c r="X247">
        <f>HYPERLINK("https://klasma.github.io/Logging_2161/tillsyn/A 44451-2024 tillsynsbegäran.docx", "A 44451-2024")</f>
        <v/>
      </c>
      <c r="Y247">
        <f>HYPERLINK("https://klasma.github.io/Logging_2161/tillsynsmail/A 44451-2024 tillsynsbegäran mail.docx", "A 44451-2024")</f>
        <v/>
      </c>
    </row>
    <row r="248" ht="15" customHeight="1">
      <c r="A248" t="inlineStr">
        <is>
          <t>A 46244-2024</t>
        </is>
      </c>
      <c r="B248" s="1" t="n">
        <v>45581</v>
      </c>
      <c r="C248" s="1" t="n">
        <v>45677</v>
      </c>
      <c r="D248" t="inlineStr">
        <is>
          <t>GÄVLEBORGS LÄN</t>
        </is>
      </c>
      <c r="E248" t="inlineStr">
        <is>
          <t>LJUSDAL</t>
        </is>
      </c>
      <c r="F248" t="inlineStr">
        <is>
          <t>Sveaskog</t>
        </is>
      </c>
      <c r="G248" t="n">
        <v>5.8</v>
      </c>
      <c r="H248" t="n">
        <v>0</v>
      </c>
      <c r="I248" t="n">
        <v>1</v>
      </c>
      <c r="J248" t="n">
        <v>2</v>
      </c>
      <c r="K248" t="n">
        <v>0</v>
      </c>
      <c r="L248" t="n">
        <v>0</v>
      </c>
      <c r="M248" t="n">
        <v>0</v>
      </c>
      <c r="N248" t="n">
        <v>0</v>
      </c>
      <c r="O248" t="n">
        <v>2</v>
      </c>
      <c r="P248" t="n">
        <v>0</v>
      </c>
      <c r="Q248" t="n">
        <v>3</v>
      </c>
      <c r="R248" s="2" t="inlineStr">
        <is>
          <t>Motaggsvamp
Skrovlig taggsvamp
Dropptaggsvamp</t>
        </is>
      </c>
      <c r="S248">
        <f>HYPERLINK("https://klasma.github.io/Logging_2161/artfynd/A 46244-2024 artfynd.xlsx", "A 46244-2024")</f>
        <v/>
      </c>
      <c r="T248">
        <f>HYPERLINK("https://klasma.github.io/Logging_2161/kartor/A 46244-2024 karta.png", "A 46244-2024")</f>
        <v/>
      </c>
      <c r="V248">
        <f>HYPERLINK("https://klasma.github.io/Logging_2161/klagomål/A 46244-2024 FSC-klagomål.docx", "A 46244-2024")</f>
        <v/>
      </c>
      <c r="W248">
        <f>HYPERLINK("https://klasma.github.io/Logging_2161/klagomålsmail/A 46244-2024 FSC-klagomål mail.docx", "A 46244-2024")</f>
        <v/>
      </c>
      <c r="X248">
        <f>HYPERLINK("https://klasma.github.io/Logging_2161/tillsyn/A 46244-2024 tillsynsbegäran.docx", "A 46244-2024")</f>
        <v/>
      </c>
      <c r="Y248">
        <f>HYPERLINK("https://klasma.github.io/Logging_2161/tillsynsmail/A 46244-2024 tillsynsbegäran mail.docx", "A 46244-2024")</f>
        <v/>
      </c>
    </row>
    <row r="249" ht="15" customHeight="1">
      <c r="A249" t="inlineStr">
        <is>
          <t>A 49162-2024</t>
        </is>
      </c>
      <c r="B249" s="1" t="n">
        <v>45594</v>
      </c>
      <c r="C249" s="1" t="n">
        <v>45677</v>
      </c>
      <c r="D249" t="inlineStr">
        <is>
          <t>GÄVLEBORGS LÄN</t>
        </is>
      </c>
      <c r="E249" t="inlineStr">
        <is>
          <t>SANDVIKEN</t>
        </is>
      </c>
      <c r="G249" t="n">
        <v>6</v>
      </c>
      <c r="H249" t="n">
        <v>0</v>
      </c>
      <c r="I249" t="n">
        <v>2</v>
      </c>
      <c r="J249" t="n">
        <v>1</v>
      </c>
      <c r="K249" t="n">
        <v>0</v>
      </c>
      <c r="L249" t="n">
        <v>0</v>
      </c>
      <c r="M249" t="n">
        <v>0</v>
      </c>
      <c r="N249" t="n">
        <v>0</v>
      </c>
      <c r="O249" t="n">
        <v>1</v>
      </c>
      <c r="P249" t="n">
        <v>0</v>
      </c>
      <c r="Q249" t="n">
        <v>3</v>
      </c>
      <c r="R249" s="2" t="inlineStr">
        <is>
          <t>Skogshare
Björksplintborre
Myskbock</t>
        </is>
      </c>
      <c r="S249">
        <f>HYPERLINK("https://klasma.github.io/Logging_2181/artfynd/A 49162-2024 artfynd.xlsx", "A 49162-2024")</f>
        <v/>
      </c>
      <c r="T249">
        <f>HYPERLINK("https://klasma.github.io/Logging_2181/kartor/A 49162-2024 karta.png", "A 49162-2024")</f>
        <v/>
      </c>
      <c r="V249">
        <f>HYPERLINK("https://klasma.github.io/Logging_2181/klagomål/A 49162-2024 FSC-klagomål.docx", "A 49162-2024")</f>
        <v/>
      </c>
      <c r="W249">
        <f>HYPERLINK("https://klasma.github.io/Logging_2181/klagomålsmail/A 49162-2024 FSC-klagomål mail.docx", "A 49162-2024")</f>
        <v/>
      </c>
      <c r="X249">
        <f>HYPERLINK("https://klasma.github.io/Logging_2181/tillsyn/A 49162-2024 tillsynsbegäran.docx", "A 49162-2024")</f>
        <v/>
      </c>
      <c r="Y249">
        <f>HYPERLINK("https://klasma.github.io/Logging_2181/tillsynsmail/A 49162-2024 tillsynsbegäran mail.docx", "A 49162-2024")</f>
        <v/>
      </c>
    </row>
    <row r="250" ht="15" customHeight="1">
      <c r="A250" t="inlineStr">
        <is>
          <t>A 58967-2024</t>
        </is>
      </c>
      <c r="B250" s="1" t="n">
        <v>45636</v>
      </c>
      <c r="C250" s="1" t="n">
        <v>45677</v>
      </c>
      <c r="D250" t="inlineStr">
        <is>
          <t>GÄVLEBORGS LÄN</t>
        </is>
      </c>
      <c r="E250" t="inlineStr">
        <is>
          <t>GÄVLE</t>
        </is>
      </c>
      <c r="F250" t="inlineStr">
        <is>
          <t>Bergvik skog väst AB</t>
        </is>
      </c>
      <c r="G250" t="n">
        <v>2.5</v>
      </c>
      <c r="H250" t="n">
        <v>3</v>
      </c>
      <c r="I250" t="n">
        <v>0</v>
      </c>
      <c r="J250" t="n">
        <v>2</v>
      </c>
      <c r="K250" t="n">
        <v>0</v>
      </c>
      <c r="L250" t="n">
        <v>0</v>
      </c>
      <c r="M250" t="n">
        <v>0</v>
      </c>
      <c r="N250" t="n">
        <v>0</v>
      </c>
      <c r="O250" t="n">
        <v>2</v>
      </c>
      <c r="P250" t="n">
        <v>0</v>
      </c>
      <c r="Q250" t="n">
        <v>3</v>
      </c>
      <c r="R250" s="2" t="inlineStr">
        <is>
          <t>Brunlångöra
Nordfladdermus
Vattenfladdermus</t>
        </is>
      </c>
      <c r="S250">
        <f>HYPERLINK("https://klasma.github.io/Logging_2180/artfynd/A 58967-2024 artfynd.xlsx", "A 58967-2024")</f>
        <v/>
      </c>
      <c r="T250">
        <f>HYPERLINK("https://klasma.github.io/Logging_2180/kartor/A 58967-2024 karta.png", "A 58967-2024")</f>
        <v/>
      </c>
      <c r="V250">
        <f>HYPERLINK("https://klasma.github.io/Logging_2180/klagomål/A 58967-2024 FSC-klagomål.docx", "A 58967-2024")</f>
        <v/>
      </c>
      <c r="W250">
        <f>HYPERLINK("https://klasma.github.io/Logging_2180/klagomålsmail/A 58967-2024 FSC-klagomål mail.docx", "A 58967-2024")</f>
        <v/>
      </c>
      <c r="X250">
        <f>HYPERLINK("https://klasma.github.io/Logging_2180/tillsyn/A 58967-2024 tillsynsbegäran.docx", "A 58967-2024")</f>
        <v/>
      </c>
      <c r="Y250">
        <f>HYPERLINK("https://klasma.github.io/Logging_2180/tillsynsmail/A 58967-2024 tillsynsbegäran mail.docx", "A 58967-2024")</f>
        <v/>
      </c>
    </row>
    <row r="251" ht="15" customHeight="1">
      <c r="A251" t="inlineStr">
        <is>
          <t>A 59016-2024</t>
        </is>
      </c>
      <c r="B251" s="1" t="n">
        <v>45636</v>
      </c>
      <c r="C251" s="1" t="n">
        <v>45677</v>
      </c>
      <c r="D251" t="inlineStr">
        <is>
          <t>GÄVLEBORGS LÄN</t>
        </is>
      </c>
      <c r="E251" t="inlineStr">
        <is>
          <t>LJUSDAL</t>
        </is>
      </c>
      <c r="G251" t="n">
        <v>2.8</v>
      </c>
      <c r="H251" t="n">
        <v>3</v>
      </c>
      <c r="I251" t="n">
        <v>0</v>
      </c>
      <c r="J251" t="n">
        <v>2</v>
      </c>
      <c r="K251" t="n">
        <v>0</v>
      </c>
      <c r="L251" t="n">
        <v>0</v>
      </c>
      <c r="M251" t="n">
        <v>0</v>
      </c>
      <c r="N251" t="n">
        <v>0</v>
      </c>
      <c r="O251" t="n">
        <v>2</v>
      </c>
      <c r="P251" t="n">
        <v>0</v>
      </c>
      <c r="Q251" t="n">
        <v>3</v>
      </c>
      <c r="R251" s="2" t="inlineStr">
        <is>
          <t>Fransfladdermus
Nordfladdermus
Vattenfladdermus</t>
        </is>
      </c>
      <c r="S251">
        <f>HYPERLINK("https://klasma.github.io/Logging_2161/artfynd/A 59016-2024 artfynd.xlsx", "A 59016-2024")</f>
        <v/>
      </c>
      <c r="T251">
        <f>HYPERLINK("https://klasma.github.io/Logging_2161/kartor/A 59016-2024 karta.png", "A 59016-2024")</f>
        <v/>
      </c>
      <c r="V251">
        <f>HYPERLINK("https://klasma.github.io/Logging_2161/klagomål/A 59016-2024 FSC-klagomål.docx", "A 59016-2024")</f>
        <v/>
      </c>
      <c r="W251">
        <f>HYPERLINK("https://klasma.github.io/Logging_2161/klagomålsmail/A 59016-2024 FSC-klagomål mail.docx", "A 59016-2024")</f>
        <v/>
      </c>
      <c r="X251">
        <f>HYPERLINK("https://klasma.github.io/Logging_2161/tillsyn/A 59016-2024 tillsynsbegäran.docx", "A 59016-2024")</f>
        <v/>
      </c>
      <c r="Y251">
        <f>HYPERLINK("https://klasma.github.io/Logging_2161/tillsynsmail/A 59016-2024 tillsynsbegäran mail.docx", "A 59016-2024")</f>
        <v/>
      </c>
    </row>
    <row r="252" ht="15" customHeight="1">
      <c r="A252" t="inlineStr">
        <is>
          <t>A 17913-2019</t>
        </is>
      </c>
      <c r="B252" s="1" t="n">
        <v>43557</v>
      </c>
      <c r="C252" s="1" t="n">
        <v>45677</v>
      </c>
      <c r="D252" t="inlineStr">
        <is>
          <t>GÄVLEBORGS LÄN</t>
        </is>
      </c>
      <c r="E252" t="inlineStr">
        <is>
          <t>NORDANSTIG</t>
        </is>
      </c>
      <c r="F252" t="inlineStr">
        <is>
          <t>Holmen skog AB</t>
        </is>
      </c>
      <c r="G252" t="n">
        <v>6.6</v>
      </c>
      <c r="H252" t="n">
        <v>1</v>
      </c>
      <c r="I252" t="n">
        <v>1</v>
      </c>
      <c r="J252" t="n">
        <v>0</v>
      </c>
      <c r="K252" t="n">
        <v>0</v>
      </c>
      <c r="L252" t="n">
        <v>0</v>
      </c>
      <c r="M252" t="n">
        <v>0</v>
      </c>
      <c r="N252" t="n">
        <v>0</v>
      </c>
      <c r="O252" t="n">
        <v>0</v>
      </c>
      <c r="P252" t="n">
        <v>0</v>
      </c>
      <c r="Q252" t="n">
        <v>2</v>
      </c>
      <c r="R252" s="2" t="inlineStr">
        <is>
          <t>Skinnlav
Fläcknycklar</t>
        </is>
      </c>
      <c r="S252">
        <f>HYPERLINK("https://klasma.github.io/Logging_2132/artfynd/A 17913-2019 artfynd.xlsx", "A 17913-2019")</f>
        <v/>
      </c>
      <c r="T252">
        <f>HYPERLINK("https://klasma.github.io/Logging_2132/kartor/A 17913-2019 karta.png", "A 17913-2019")</f>
        <v/>
      </c>
      <c r="V252">
        <f>HYPERLINK("https://klasma.github.io/Logging_2132/klagomål/A 17913-2019 FSC-klagomål.docx", "A 17913-2019")</f>
        <v/>
      </c>
      <c r="W252">
        <f>HYPERLINK("https://klasma.github.io/Logging_2132/klagomålsmail/A 17913-2019 FSC-klagomål mail.docx", "A 17913-2019")</f>
        <v/>
      </c>
      <c r="X252">
        <f>HYPERLINK("https://klasma.github.io/Logging_2132/tillsyn/A 17913-2019 tillsynsbegäran.docx", "A 17913-2019")</f>
        <v/>
      </c>
      <c r="Y252">
        <f>HYPERLINK("https://klasma.github.io/Logging_2132/tillsynsmail/A 17913-2019 tillsynsbegäran mail.docx", "A 17913-2019")</f>
        <v/>
      </c>
    </row>
    <row r="253" ht="15" customHeight="1">
      <c r="A253" t="inlineStr">
        <is>
          <t>A 19095-2019</t>
        </is>
      </c>
      <c r="B253" s="1" t="n">
        <v>43564</v>
      </c>
      <c r="C253" s="1" t="n">
        <v>45677</v>
      </c>
      <c r="D253" t="inlineStr">
        <is>
          <t>GÄVLEBORGS LÄN</t>
        </is>
      </c>
      <c r="E253" t="inlineStr">
        <is>
          <t>HOFORS</t>
        </is>
      </c>
      <c r="G253" t="n">
        <v>8</v>
      </c>
      <c r="H253" t="n">
        <v>1</v>
      </c>
      <c r="I253" t="n">
        <v>1</v>
      </c>
      <c r="J253" t="n">
        <v>0</v>
      </c>
      <c r="K253" t="n">
        <v>1</v>
      </c>
      <c r="L253" t="n">
        <v>0</v>
      </c>
      <c r="M253" t="n">
        <v>0</v>
      </c>
      <c r="N253" t="n">
        <v>0</v>
      </c>
      <c r="O253" t="n">
        <v>1</v>
      </c>
      <c r="P253" t="n">
        <v>1</v>
      </c>
      <c r="Q253" t="n">
        <v>2</v>
      </c>
      <c r="R253" s="2" t="inlineStr">
        <is>
          <t>Knärot
Mindre märgborre</t>
        </is>
      </c>
      <c r="S253">
        <f>HYPERLINK("https://klasma.github.io/Logging_2104/artfynd/A 19095-2019 artfynd.xlsx", "A 19095-2019")</f>
        <v/>
      </c>
      <c r="T253">
        <f>HYPERLINK("https://klasma.github.io/Logging_2104/kartor/A 19095-2019 karta.png", "A 19095-2019")</f>
        <v/>
      </c>
      <c r="U253">
        <f>HYPERLINK("https://klasma.github.io/Logging_2104/knärot/A 19095-2019 karta knärot.png", "A 19095-2019")</f>
        <v/>
      </c>
      <c r="V253">
        <f>HYPERLINK("https://klasma.github.io/Logging_2104/klagomål/A 19095-2019 FSC-klagomål.docx", "A 19095-2019")</f>
        <v/>
      </c>
      <c r="W253">
        <f>HYPERLINK("https://klasma.github.io/Logging_2104/klagomålsmail/A 19095-2019 FSC-klagomål mail.docx", "A 19095-2019")</f>
        <v/>
      </c>
      <c r="X253">
        <f>HYPERLINK("https://klasma.github.io/Logging_2104/tillsyn/A 19095-2019 tillsynsbegäran.docx", "A 19095-2019")</f>
        <v/>
      </c>
      <c r="Y253">
        <f>HYPERLINK("https://klasma.github.io/Logging_2104/tillsynsmail/A 19095-2019 tillsynsbegäran mail.docx", "A 19095-2019")</f>
        <v/>
      </c>
    </row>
    <row r="254" ht="15" customHeight="1">
      <c r="A254" t="inlineStr">
        <is>
          <t>A 21731-2019</t>
        </is>
      </c>
      <c r="B254" s="1" t="n">
        <v>43581</v>
      </c>
      <c r="C254" s="1" t="n">
        <v>45677</v>
      </c>
      <c r="D254" t="inlineStr">
        <is>
          <t>GÄVLEBORGS LÄN</t>
        </is>
      </c>
      <c r="E254" t="inlineStr">
        <is>
          <t>HOFORS</t>
        </is>
      </c>
      <c r="F254" t="inlineStr">
        <is>
          <t>Sveaskog</t>
        </is>
      </c>
      <c r="G254" t="n">
        <v>3.8</v>
      </c>
      <c r="H254" t="n">
        <v>2</v>
      </c>
      <c r="I254" t="n">
        <v>1</v>
      </c>
      <c r="J254" t="n">
        <v>0</v>
      </c>
      <c r="K254" t="n">
        <v>0</v>
      </c>
      <c r="L254" t="n">
        <v>0</v>
      </c>
      <c r="M254" t="n">
        <v>0</v>
      </c>
      <c r="N254" t="n">
        <v>0</v>
      </c>
      <c r="O254" t="n">
        <v>0</v>
      </c>
      <c r="P254" t="n">
        <v>0</v>
      </c>
      <c r="Q254" t="n">
        <v>2</v>
      </c>
      <c r="R254" s="2" t="inlineStr">
        <is>
          <t>Tvåblad
Revlummer</t>
        </is>
      </c>
      <c r="S254">
        <f>HYPERLINK("https://klasma.github.io/Logging_2104/artfynd/A 21731-2019 artfynd.xlsx", "A 21731-2019")</f>
        <v/>
      </c>
      <c r="T254">
        <f>HYPERLINK("https://klasma.github.io/Logging_2104/kartor/A 21731-2019 karta.png", "A 21731-2019")</f>
        <v/>
      </c>
      <c r="U254">
        <f>HYPERLINK("https://klasma.github.io/Logging_2104/knärot/A 21731-2019 karta knärot.png", "A 21731-2019")</f>
        <v/>
      </c>
      <c r="V254">
        <f>HYPERLINK("https://klasma.github.io/Logging_2104/klagomål/A 21731-2019 FSC-klagomål.docx", "A 21731-2019")</f>
        <v/>
      </c>
      <c r="W254">
        <f>HYPERLINK("https://klasma.github.io/Logging_2104/klagomålsmail/A 21731-2019 FSC-klagomål mail.docx", "A 21731-2019")</f>
        <v/>
      </c>
      <c r="X254">
        <f>HYPERLINK("https://klasma.github.io/Logging_2104/tillsyn/A 21731-2019 tillsynsbegäran.docx", "A 21731-2019")</f>
        <v/>
      </c>
      <c r="Y254">
        <f>HYPERLINK("https://klasma.github.io/Logging_2104/tillsynsmail/A 21731-2019 tillsynsbegäran mail.docx", "A 21731-2019")</f>
        <v/>
      </c>
    </row>
    <row r="255" ht="15" customHeight="1">
      <c r="A255" t="inlineStr">
        <is>
          <t>A 29812-2019</t>
        </is>
      </c>
      <c r="B255" s="1" t="n">
        <v>43629</v>
      </c>
      <c r="C255" s="1" t="n">
        <v>45677</v>
      </c>
      <c r="D255" t="inlineStr">
        <is>
          <t>GÄVLEBORGS LÄN</t>
        </is>
      </c>
      <c r="E255" t="inlineStr">
        <is>
          <t>LJUSDAL</t>
        </is>
      </c>
      <c r="F255" t="inlineStr">
        <is>
          <t>Holmen skog AB</t>
        </is>
      </c>
      <c r="G255" t="n">
        <v>2.4</v>
      </c>
      <c r="H255" t="n">
        <v>1</v>
      </c>
      <c r="I255" t="n">
        <v>1</v>
      </c>
      <c r="J255" t="n">
        <v>0</v>
      </c>
      <c r="K255" t="n">
        <v>1</v>
      </c>
      <c r="L255" t="n">
        <v>0</v>
      </c>
      <c r="M255" t="n">
        <v>0</v>
      </c>
      <c r="N255" t="n">
        <v>0</v>
      </c>
      <c r="O255" t="n">
        <v>1</v>
      </c>
      <c r="P255" t="n">
        <v>1</v>
      </c>
      <c r="Q255" t="n">
        <v>2</v>
      </c>
      <c r="R255" s="2" t="inlineStr">
        <is>
          <t>Knärot
Skinnlav</t>
        </is>
      </c>
      <c r="S255">
        <f>HYPERLINK("https://klasma.github.io/Logging_2161/artfynd/A 29812-2019 artfynd.xlsx", "A 29812-2019")</f>
        <v/>
      </c>
      <c r="T255">
        <f>HYPERLINK("https://klasma.github.io/Logging_2161/kartor/A 29812-2019 karta.png", "A 29812-2019")</f>
        <v/>
      </c>
      <c r="U255">
        <f>HYPERLINK("https://klasma.github.io/Logging_2161/knärot/A 29812-2019 karta knärot.png", "A 29812-2019")</f>
        <v/>
      </c>
      <c r="V255">
        <f>HYPERLINK("https://klasma.github.io/Logging_2161/klagomål/A 29812-2019 FSC-klagomål.docx", "A 29812-2019")</f>
        <v/>
      </c>
      <c r="W255">
        <f>HYPERLINK("https://klasma.github.io/Logging_2161/klagomålsmail/A 29812-2019 FSC-klagomål mail.docx", "A 29812-2019")</f>
        <v/>
      </c>
      <c r="X255">
        <f>HYPERLINK("https://klasma.github.io/Logging_2161/tillsyn/A 29812-2019 tillsynsbegäran.docx", "A 29812-2019")</f>
        <v/>
      </c>
      <c r="Y255">
        <f>HYPERLINK("https://klasma.github.io/Logging_2161/tillsynsmail/A 29812-2019 tillsynsbegäran mail.docx", "A 29812-2019")</f>
        <v/>
      </c>
    </row>
    <row r="256" ht="15" customHeight="1">
      <c r="A256" t="inlineStr">
        <is>
          <t>A 33547-2019</t>
        </is>
      </c>
      <c r="B256" s="1" t="n">
        <v>43651</v>
      </c>
      <c r="C256" s="1" t="n">
        <v>45677</v>
      </c>
      <c r="D256" t="inlineStr">
        <is>
          <t>GÄVLEBORGS LÄN</t>
        </is>
      </c>
      <c r="E256" t="inlineStr">
        <is>
          <t>HUDIKSVALL</t>
        </is>
      </c>
      <c r="G256" t="n">
        <v>27.7</v>
      </c>
      <c r="H256" t="n">
        <v>2</v>
      </c>
      <c r="I256" t="n">
        <v>0</v>
      </c>
      <c r="J256" t="n">
        <v>2</v>
      </c>
      <c r="K256" t="n">
        <v>0</v>
      </c>
      <c r="L256" t="n">
        <v>0</v>
      </c>
      <c r="M256" t="n">
        <v>0</v>
      </c>
      <c r="N256" t="n">
        <v>0</v>
      </c>
      <c r="O256" t="n">
        <v>2</v>
      </c>
      <c r="P256" t="n">
        <v>0</v>
      </c>
      <c r="Q256" t="n">
        <v>2</v>
      </c>
      <c r="R256" s="2" t="inlineStr">
        <is>
          <t>Blå kärrhök
Kungsörn</t>
        </is>
      </c>
      <c r="S256">
        <f>HYPERLINK("https://klasma.github.io/Logging_2184/artfynd/A 33547-2019 artfynd.xlsx", "A 33547-2019")</f>
        <v/>
      </c>
      <c r="T256">
        <f>HYPERLINK("https://klasma.github.io/Logging_2184/kartor/A 33547-2019 karta.png", "A 33547-2019")</f>
        <v/>
      </c>
      <c r="V256">
        <f>HYPERLINK("https://klasma.github.io/Logging_2184/klagomål/A 33547-2019 FSC-klagomål.docx", "A 33547-2019")</f>
        <v/>
      </c>
      <c r="W256">
        <f>HYPERLINK("https://klasma.github.io/Logging_2184/klagomålsmail/A 33547-2019 FSC-klagomål mail.docx", "A 33547-2019")</f>
        <v/>
      </c>
      <c r="X256">
        <f>HYPERLINK("https://klasma.github.io/Logging_2184/tillsyn/A 33547-2019 tillsynsbegäran.docx", "A 33547-2019")</f>
        <v/>
      </c>
      <c r="Y256">
        <f>HYPERLINK("https://klasma.github.io/Logging_2184/tillsynsmail/A 33547-2019 tillsynsbegäran mail.docx", "A 33547-2019")</f>
        <v/>
      </c>
      <c r="Z256">
        <f>HYPERLINK("https://klasma.github.io/Logging_2184/fåglar/A 33547-2019 prioriterade fågelarter.docx", "A 33547-2019")</f>
        <v/>
      </c>
    </row>
    <row r="257" ht="15" customHeight="1">
      <c r="A257" t="inlineStr">
        <is>
          <t>A 38174-2019</t>
        </is>
      </c>
      <c r="B257" s="1" t="n">
        <v>43684</v>
      </c>
      <c r="C257" s="1" t="n">
        <v>45677</v>
      </c>
      <c r="D257" t="inlineStr">
        <is>
          <t>GÄVLEBORGS LÄN</t>
        </is>
      </c>
      <c r="E257" t="inlineStr">
        <is>
          <t>HOFORS</t>
        </is>
      </c>
      <c r="G257" t="n">
        <v>14</v>
      </c>
      <c r="H257" t="n">
        <v>1</v>
      </c>
      <c r="I257" t="n">
        <v>0</v>
      </c>
      <c r="J257" t="n">
        <v>1</v>
      </c>
      <c r="K257" t="n">
        <v>0</v>
      </c>
      <c r="L257" t="n">
        <v>0</v>
      </c>
      <c r="M257" t="n">
        <v>0</v>
      </c>
      <c r="N257" t="n">
        <v>0</v>
      </c>
      <c r="O257" t="n">
        <v>1</v>
      </c>
      <c r="P257" t="n">
        <v>0</v>
      </c>
      <c r="Q257" t="n">
        <v>2</v>
      </c>
      <c r="R257" s="2" t="inlineStr">
        <is>
          <t>Ullticka
Tjäder</t>
        </is>
      </c>
      <c r="S257">
        <f>HYPERLINK("https://klasma.github.io/Logging_2104/artfynd/A 38174-2019 artfynd.xlsx", "A 38174-2019")</f>
        <v/>
      </c>
      <c r="T257">
        <f>HYPERLINK("https://klasma.github.io/Logging_2104/kartor/A 38174-2019 karta.png", "A 38174-2019")</f>
        <v/>
      </c>
      <c r="V257">
        <f>HYPERLINK("https://klasma.github.io/Logging_2104/klagomål/A 38174-2019 FSC-klagomål.docx", "A 38174-2019")</f>
        <v/>
      </c>
      <c r="W257">
        <f>HYPERLINK("https://klasma.github.io/Logging_2104/klagomålsmail/A 38174-2019 FSC-klagomål mail.docx", "A 38174-2019")</f>
        <v/>
      </c>
      <c r="X257">
        <f>HYPERLINK("https://klasma.github.io/Logging_2104/tillsyn/A 38174-2019 tillsynsbegäran.docx", "A 38174-2019")</f>
        <v/>
      </c>
      <c r="Y257">
        <f>HYPERLINK("https://klasma.github.io/Logging_2104/tillsynsmail/A 38174-2019 tillsynsbegäran mail.docx", "A 38174-2019")</f>
        <v/>
      </c>
      <c r="Z257">
        <f>HYPERLINK("https://klasma.github.io/Logging_2104/fåglar/A 38174-2019 prioriterade fågelarter.docx", "A 38174-2019")</f>
        <v/>
      </c>
    </row>
    <row r="258" ht="15" customHeight="1">
      <c r="A258" t="inlineStr">
        <is>
          <t>A 52965-2019</t>
        </is>
      </c>
      <c r="B258" s="1" t="n">
        <v>43747</v>
      </c>
      <c r="C258" s="1" t="n">
        <v>45677</v>
      </c>
      <c r="D258" t="inlineStr">
        <is>
          <t>GÄVLEBORGS LÄN</t>
        </is>
      </c>
      <c r="E258" t="inlineStr">
        <is>
          <t>OCKELBO</t>
        </is>
      </c>
      <c r="G258" t="n">
        <v>1.6</v>
      </c>
      <c r="H258" t="n">
        <v>1</v>
      </c>
      <c r="I258" t="n">
        <v>1</v>
      </c>
      <c r="J258" t="n">
        <v>0</v>
      </c>
      <c r="K258" t="n">
        <v>0</v>
      </c>
      <c r="L258" t="n">
        <v>0</v>
      </c>
      <c r="M258" t="n">
        <v>0</v>
      </c>
      <c r="N258" t="n">
        <v>0</v>
      </c>
      <c r="O258" t="n">
        <v>0</v>
      </c>
      <c r="P258" t="n">
        <v>0</v>
      </c>
      <c r="Q258" t="n">
        <v>2</v>
      </c>
      <c r="R258" s="2" t="inlineStr">
        <is>
          <t>Större träfjäril
Skogsödla</t>
        </is>
      </c>
      <c r="S258">
        <f>HYPERLINK("https://klasma.github.io/Logging_2101/artfynd/A 52965-2019 artfynd.xlsx", "A 52965-2019")</f>
        <v/>
      </c>
      <c r="T258">
        <f>HYPERLINK("https://klasma.github.io/Logging_2101/kartor/A 52965-2019 karta.png", "A 52965-2019")</f>
        <v/>
      </c>
      <c r="V258">
        <f>HYPERLINK("https://klasma.github.io/Logging_2101/klagomål/A 52965-2019 FSC-klagomål.docx", "A 52965-2019")</f>
        <v/>
      </c>
      <c r="W258">
        <f>HYPERLINK("https://klasma.github.io/Logging_2101/klagomålsmail/A 52965-2019 FSC-klagomål mail.docx", "A 52965-2019")</f>
        <v/>
      </c>
      <c r="X258">
        <f>HYPERLINK("https://klasma.github.io/Logging_2101/tillsyn/A 52965-2019 tillsynsbegäran.docx", "A 52965-2019")</f>
        <v/>
      </c>
      <c r="Y258">
        <f>HYPERLINK("https://klasma.github.io/Logging_2101/tillsynsmail/A 52965-2019 tillsynsbegäran mail.docx", "A 52965-2019")</f>
        <v/>
      </c>
    </row>
    <row r="259" ht="15" customHeight="1">
      <c r="A259" t="inlineStr">
        <is>
          <t>A 55774-2019</t>
        </is>
      </c>
      <c r="B259" s="1" t="n">
        <v>43761</v>
      </c>
      <c r="C259" s="1" t="n">
        <v>45677</v>
      </c>
      <c r="D259" t="inlineStr">
        <is>
          <t>GÄVLEBORGS LÄN</t>
        </is>
      </c>
      <c r="E259" t="inlineStr">
        <is>
          <t>GÄVLE</t>
        </is>
      </c>
      <c r="G259" t="n">
        <v>1.6</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HYPERLINK("https://klasma.github.io/Logging_2180/artfynd/A 55774-2019 artfynd.xlsx", "A 55774-2019")</f>
        <v/>
      </c>
      <c r="T259">
        <f>HYPERLINK("https://klasma.github.io/Logging_2180/kartor/A 55774-2019 karta.png", "A 55774-2019")</f>
        <v/>
      </c>
      <c r="V259">
        <f>HYPERLINK("https://klasma.github.io/Logging_2180/klagomål/A 55774-2019 FSC-klagomål.docx", "A 55774-2019")</f>
        <v/>
      </c>
      <c r="W259">
        <f>HYPERLINK("https://klasma.github.io/Logging_2180/klagomålsmail/A 55774-2019 FSC-klagomål mail.docx", "A 55774-2019")</f>
        <v/>
      </c>
      <c r="X259">
        <f>HYPERLINK("https://klasma.github.io/Logging_2180/tillsyn/A 55774-2019 tillsynsbegäran.docx", "A 55774-2019")</f>
        <v/>
      </c>
      <c r="Y259">
        <f>HYPERLINK("https://klasma.github.io/Logging_2180/tillsynsmail/A 55774-2019 tillsynsbegäran mail.docx", "A 55774-2019")</f>
        <v/>
      </c>
    </row>
    <row r="260" ht="15" customHeight="1">
      <c r="A260" t="inlineStr">
        <is>
          <t>A 59286-2019</t>
        </is>
      </c>
      <c r="B260" s="1" t="n">
        <v>43775</v>
      </c>
      <c r="C260" s="1" t="n">
        <v>45677</v>
      </c>
      <c r="D260" t="inlineStr">
        <is>
          <t>GÄVLEBORGS LÄN</t>
        </is>
      </c>
      <c r="E260" t="inlineStr">
        <is>
          <t>OCKELBO</t>
        </is>
      </c>
      <c r="G260" t="n">
        <v>2.2</v>
      </c>
      <c r="H260" t="n">
        <v>0</v>
      </c>
      <c r="I260" t="n">
        <v>0</v>
      </c>
      <c r="J260" t="n">
        <v>2</v>
      </c>
      <c r="K260" t="n">
        <v>0</v>
      </c>
      <c r="L260" t="n">
        <v>0</v>
      </c>
      <c r="M260" t="n">
        <v>0</v>
      </c>
      <c r="N260" t="n">
        <v>0</v>
      </c>
      <c r="O260" t="n">
        <v>2</v>
      </c>
      <c r="P260" t="n">
        <v>0</v>
      </c>
      <c r="Q260" t="n">
        <v>2</v>
      </c>
      <c r="R260" s="2" t="inlineStr">
        <is>
          <t>Garnlav
Koralltaggsvamp</t>
        </is>
      </c>
      <c r="S260">
        <f>HYPERLINK("https://klasma.github.io/Logging_2101/artfynd/A 59286-2019 artfynd.xlsx", "A 59286-2019")</f>
        <v/>
      </c>
      <c r="T260">
        <f>HYPERLINK("https://klasma.github.io/Logging_2101/kartor/A 59286-2019 karta.png", "A 59286-2019")</f>
        <v/>
      </c>
      <c r="V260">
        <f>HYPERLINK("https://klasma.github.io/Logging_2101/klagomål/A 59286-2019 FSC-klagomål.docx", "A 59286-2019")</f>
        <v/>
      </c>
      <c r="W260">
        <f>HYPERLINK("https://klasma.github.io/Logging_2101/klagomålsmail/A 59286-2019 FSC-klagomål mail.docx", "A 59286-2019")</f>
        <v/>
      </c>
      <c r="X260">
        <f>HYPERLINK("https://klasma.github.io/Logging_2101/tillsyn/A 59286-2019 tillsynsbegäran.docx", "A 59286-2019")</f>
        <v/>
      </c>
      <c r="Y260">
        <f>HYPERLINK("https://klasma.github.io/Logging_2101/tillsynsmail/A 59286-2019 tillsynsbegäran mail.docx", "A 59286-2019")</f>
        <v/>
      </c>
    </row>
    <row r="261" ht="15" customHeight="1">
      <c r="A261" t="inlineStr">
        <is>
          <t>A 61384-2019</t>
        </is>
      </c>
      <c r="B261" s="1" t="n">
        <v>43783</v>
      </c>
      <c r="C261" s="1" t="n">
        <v>45677</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61384-2019 artfynd.xlsx", "A 61384-2019")</f>
        <v/>
      </c>
      <c r="T261">
        <f>HYPERLINK("https://klasma.github.io/Logging_2183/kartor/A 61384-2019 karta.png", "A 61384-2019")</f>
        <v/>
      </c>
      <c r="U261">
        <f>HYPERLINK("https://klasma.github.io/Logging_2183/knärot/A 61384-2019 karta knärot.png", "A 61384-2019")</f>
        <v/>
      </c>
      <c r="V261">
        <f>HYPERLINK("https://klasma.github.io/Logging_2183/klagomål/A 61384-2019 FSC-klagomål.docx", "A 61384-2019")</f>
        <v/>
      </c>
      <c r="W261">
        <f>HYPERLINK("https://klasma.github.io/Logging_2183/klagomålsmail/A 61384-2019 FSC-klagomål mail.docx", "A 61384-2019")</f>
        <v/>
      </c>
      <c r="X261">
        <f>HYPERLINK("https://klasma.github.io/Logging_2183/tillsyn/A 61384-2019 tillsynsbegäran.docx", "A 61384-2019")</f>
        <v/>
      </c>
      <c r="Y261">
        <f>HYPERLINK("https://klasma.github.io/Logging_2183/tillsynsmail/A 61384-2019 tillsynsbegäran mail.docx", "A 61384-2019")</f>
        <v/>
      </c>
    </row>
    <row r="262" ht="15" customHeight="1">
      <c r="A262" t="inlineStr">
        <is>
          <t>A 61372-2019</t>
        </is>
      </c>
      <c r="B262" s="1" t="n">
        <v>43783</v>
      </c>
      <c r="C262" s="1" t="n">
        <v>45677</v>
      </c>
      <c r="D262" t="inlineStr">
        <is>
          <t>GÄVLEBORGS LÄN</t>
        </is>
      </c>
      <c r="E262" t="inlineStr">
        <is>
          <t>BOLLNÄS</t>
        </is>
      </c>
      <c r="F262" t="inlineStr">
        <is>
          <t>Sveaskog</t>
        </is>
      </c>
      <c r="G262" t="n">
        <v>3.2</v>
      </c>
      <c r="H262" t="n">
        <v>1</v>
      </c>
      <c r="I262" t="n">
        <v>0</v>
      </c>
      <c r="J262" t="n">
        <v>1</v>
      </c>
      <c r="K262" t="n">
        <v>1</v>
      </c>
      <c r="L262" t="n">
        <v>0</v>
      </c>
      <c r="M262" t="n">
        <v>0</v>
      </c>
      <c r="N262" t="n">
        <v>0</v>
      </c>
      <c r="O262" t="n">
        <v>2</v>
      </c>
      <c r="P262" t="n">
        <v>1</v>
      </c>
      <c r="Q262" t="n">
        <v>2</v>
      </c>
      <c r="R262" s="2" t="inlineStr">
        <is>
          <t>Knärot
Garnlav</t>
        </is>
      </c>
      <c r="S262">
        <f>HYPERLINK("https://klasma.github.io/Logging_2183/artfynd/A 61372-2019 artfynd.xlsx", "A 61372-2019")</f>
        <v/>
      </c>
      <c r="T262">
        <f>HYPERLINK("https://klasma.github.io/Logging_2183/kartor/A 61372-2019 karta.png", "A 61372-2019")</f>
        <v/>
      </c>
      <c r="U262">
        <f>HYPERLINK("https://klasma.github.io/Logging_2183/knärot/A 61372-2019 karta knärot.png", "A 61372-2019")</f>
        <v/>
      </c>
      <c r="V262">
        <f>HYPERLINK("https://klasma.github.io/Logging_2183/klagomål/A 61372-2019 FSC-klagomål.docx", "A 61372-2019")</f>
        <v/>
      </c>
      <c r="W262">
        <f>HYPERLINK("https://klasma.github.io/Logging_2183/klagomålsmail/A 61372-2019 FSC-klagomål mail.docx", "A 61372-2019")</f>
        <v/>
      </c>
      <c r="X262">
        <f>HYPERLINK("https://klasma.github.io/Logging_2183/tillsyn/A 61372-2019 tillsynsbegäran.docx", "A 61372-2019")</f>
        <v/>
      </c>
      <c r="Y262">
        <f>HYPERLINK("https://klasma.github.io/Logging_2183/tillsynsmail/A 61372-2019 tillsynsbegäran mail.docx", "A 61372-2019")</f>
        <v/>
      </c>
    </row>
    <row r="263" ht="15" customHeight="1">
      <c r="A263" t="inlineStr">
        <is>
          <t>A 61380-2019</t>
        </is>
      </c>
      <c r="B263" s="1" t="n">
        <v>43783</v>
      </c>
      <c r="C263" s="1" t="n">
        <v>45677</v>
      </c>
      <c r="D263" t="inlineStr">
        <is>
          <t>GÄVLEBORGS LÄN</t>
        </is>
      </c>
      <c r="E263" t="inlineStr">
        <is>
          <t>BOLLNÄS</t>
        </is>
      </c>
      <c r="F263" t="inlineStr">
        <is>
          <t>Sveaskog</t>
        </is>
      </c>
      <c r="G263" t="n">
        <v>6</v>
      </c>
      <c r="H263" t="n">
        <v>1</v>
      </c>
      <c r="I263" t="n">
        <v>1</v>
      </c>
      <c r="J263" t="n">
        <v>0</v>
      </c>
      <c r="K263" t="n">
        <v>1</v>
      </c>
      <c r="L263" t="n">
        <v>0</v>
      </c>
      <c r="M263" t="n">
        <v>0</v>
      </c>
      <c r="N263" t="n">
        <v>0</v>
      </c>
      <c r="O263" t="n">
        <v>1</v>
      </c>
      <c r="P263" t="n">
        <v>1</v>
      </c>
      <c r="Q263" t="n">
        <v>2</v>
      </c>
      <c r="R263" s="2" t="inlineStr">
        <is>
          <t>Knärot
Tibast</t>
        </is>
      </c>
      <c r="S263">
        <f>HYPERLINK("https://klasma.github.io/Logging_2183/artfynd/A 61380-2019 artfynd.xlsx", "A 61380-2019")</f>
        <v/>
      </c>
      <c r="T263">
        <f>HYPERLINK("https://klasma.github.io/Logging_2183/kartor/A 61380-2019 karta.png", "A 61380-2019")</f>
        <v/>
      </c>
      <c r="U263">
        <f>HYPERLINK("https://klasma.github.io/Logging_2183/knärot/A 61380-2019 karta knärot.png", "A 61380-2019")</f>
        <v/>
      </c>
      <c r="V263">
        <f>HYPERLINK("https://klasma.github.io/Logging_2183/klagomål/A 61380-2019 FSC-klagomål.docx", "A 61380-2019")</f>
        <v/>
      </c>
      <c r="W263">
        <f>HYPERLINK("https://klasma.github.io/Logging_2183/klagomålsmail/A 61380-2019 FSC-klagomål mail.docx", "A 61380-2019")</f>
        <v/>
      </c>
      <c r="X263">
        <f>HYPERLINK("https://klasma.github.io/Logging_2183/tillsyn/A 61380-2019 tillsynsbegäran.docx", "A 61380-2019")</f>
        <v/>
      </c>
      <c r="Y263">
        <f>HYPERLINK("https://klasma.github.io/Logging_2183/tillsynsmail/A 61380-2019 tillsynsbegäran mail.docx", "A 61380-2019")</f>
        <v/>
      </c>
    </row>
    <row r="264" ht="15" customHeight="1">
      <c r="A264" t="inlineStr">
        <is>
          <t>A 64630-2019</t>
        </is>
      </c>
      <c r="B264" s="1" t="n">
        <v>43798</v>
      </c>
      <c r="C264" s="1" t="n">
        <v>45677</v>
      </c>
      <c r="D264" t="inlineStr">
        <is>
          <t>GÄVLEBORGS LÄN</t>
        </is>
      </c>
      <c r="E264" t="inlineStr">
        <is>
          <t>SÖDERHAMN</t>
        </is>
      </c>
      <c r="G264" t="n">
        <v>8.300000000000001</v>
      </c>
      <c r="H264" t="n">
        <v>0</v>
      </c>
      <c r="I264" t="n">
        <v>1</v>
      </c>
      <c r="J264" t="n">
        <v>0</v>
      </c>
      <c r="K264" t="n">
        <v>1</v>
      </c>
      <c r="L264" t="n">
        <v>0</v>
      </c>
      <c r="M264" t="n">
        <v>0</v>
      </c>
      <c r="N264" t="n">
        <v>0</v>
      </c>
      <c r="O264" t="n">
        <v>1</v>
      </c>
      <c r="P264" t="n">
        <v>1</v>
      </c>
      <c r="Q264" t="n">
        <v>2</v>
      </c>
      <c r="R264" s="2" t="inlineStr">
        <is>
          <t>Violgubbe
Skarp dropptaggsvamp</t>
        </is>
      </c>
      <c r="S264">
        <f>HYPERLINK("https://klasma.github.io/Logging_2182/artfynd/A 64630-2019 artfynd.xlsx", "A 64630-2019")</f>
        <v/>
      </c>
      <c r="T264">
        <f>HYPERLINK("https://klasma.github.io/Logging_2182/kartor/A 64630-2019 karta.png", "A 64630-2019")</f>
        <v/>
      </c>
      <c r="V264">
        <f>HYPERLINK("https://klasma.github.io/Logging_2182/klagomål/A 64630-2019 FSC-klagomål.docx", "A 64630-2019")</f>
        <v/>
      </c>
      <c r="W264">
        <f>HYPERLINK("https://klasma.github.io/Logging_2182/klagomålsmail/A 64630-2019 FSC-klagomål mail.docx", "A 64630-2019")</f>
        <v/>
      </c>
      <c r="X264">
        <f>HYPERLINK("https://klasma.github.io/Logging_2182/tillsyn/A 64630-2019 tillsynsbegäran.docx", "A 64630-2019")</f>
        <v/>
      </c>
      <c r="Y264">
        <f>HYPERLINK("https://klasma.github.io/Logging_2182/tillsynsmail/A 64630-2019 tillsynsbegäran mail.docx", "A 64630-2019")</f>
        <v/>
      </c>
    </row>
    <row r="265" ht="15" customHeight="1">
      <c r="A265" t="inlineStr">
        <is>
          <t>A 67418-2019</t>
        </is>
      </c>
      <c r="B265" s="1" t="n">
        <v>43812</v>
      </c>
      <c r="C265" s="1" t="n">
        <v>45677</v>
      </c>
      <c r="D265" t="inlineStr">
        <is>
          <t>GÄVLEBORGS LÄN</t>
        </is>
      </c>
      <c r="E265" t="inlineStr">
        <is>
          <t>GÄVLE</t>
        </is>
      </c>
      <c r="F265" t="inlineStr">
        <is>
          <t>Kommuner</t>
        </is>
      </c>
      <c r="G265" t="n">
        <v>7.4</v>
      </c>
      <c r="H265" t="n">
        <v>0</v>
      </c>
      <c r="I265" t="n">
        <v>1</v>
      </c>
      <c r="J265" t="n">
        <v>1</v>
      </c>
      <c r="K265" t="n">
        <v>0</v>
      </c>
      <c r="L265" t="n">
        <v>0</v>
      </c>
      <c r="M265" t="n">
        <v>0</v>
      </c>
      <c r="N265" t="n">
        <v>0</v>
      </c>
      <c r="O265" t="n">
        <v>1</v>
      </c>
      <c r="P265" t="n">
        <v>0</v>
      </c>
      <c r="Q265" t="n">
        <v>2</v>
      </c>
      <c r="R265" s="2" t="inlineStr">
        <is>
          <t>Motaggsvamp
Vågbandad barkbock</t>
        </is>
      </c>
      <c r="S265">
        <f>HYPERLINK("https://klasma.github.io/Logging_2180/artfynd/A 67418-2019 artfynd.xlsx", "A 67418-2019")</f>
        <v/>
      </c>
      <c r="T265">
        <f>HYPERLINK("https://klasma.github.io/Logging_2180/kartor/A 67418-2019 karta.png", "A 67418-2019")</f>
        <v/>
      </c>
      <c r="V265">
        <f>HYPERLINK("https://klasma.github.io/Logging_2180/klagomål/A 67418-2019 FSC-klagomål.docx", "A 67418-2019")</f>
        <v/>
      </c>
      <c r="W265">
        <f>HYPERLINK("https://klasma.github.io/Logging_2180/klagomålsmail/A 67418-2019 FSC-klagomål mail.docx", "A 67418-2019")</f>
        <v/>
      </c>
      <c r="X265">
        <f>HYPERLINK("https://klasma.github.io/Logging_2180/tillsyn/A 67418-2019 tillsynsbegäran.docx", "A 67418-2019")</f>
        <v/>
      </c>
      <c r="Y265">
        <f>HYPERLINK("https://klasma.github.io/Logging_2180/tillsynsmail/A 67418-2019 tillsynsbegäran mail.docx", "A 67418-2019")</f>
        <v/>
      </c>
    </row>
    <row r="266" ht="15" customHeight="1">
      <c r="A266" t="inlineStr">
        <is>
          <t>A 116-2020</t>
        </is>
      </c>
      <c r="B266" s="1" t="n">
        <v>43832</v>
      </c>
      <c r="C266" s="1" t="n">
        <v>45677</v>
      </c>
      <c r="D266" t="inlineStr">
        <is>
          <t>GÄVLEBORGS LÄN</t>
        </is>
      </c>
      <c r="E266" t="inlineStr">
        <is>
          <t>HUDIKSVALL</t>
        </is>
      </c>
      <c r="G266" t="n">
        <v>7.1</v>
      </c>
      <c r="H266" t="n">
        <v>2</v>
      </c>
      <c r="I266" t="n">
        <v>0</v>
      </c>
      <c r="J266" t="n">
        <v>0</v>
      </c>
      <c r="K266" t="n">
        <v>0</v>
      </c>
      <c r="L266" t="n">
        <v>1</v>
      </c>
      <c r="M266" t="n">
        <v>0</v>
      </c>
      <c r="N266" t="n">
        <v>0</v>
      </c>
      <c r="O266" t="n">
        <v>1</v>
      </c>
      <c r="P266" t="n">
        <v>1</v>
      </c>
      <c r="Q266" t="n">
        <v>2</v>
      </c>
      <c r="R266" s="2" t="inlineStr">
        <is>
          <t>Tornseglare
Gråkråka</t>
        </is>
      </c>
      <c r="S266">
        <f>HYPERLINK("https://klasma.github.io/Logging_2184/artfynd/A 116-2020 artfynd.xlsx", "A 116-2020")</f>
        <v/>
      </c>
      <c r="T266">
        <f>HYPERLINK("https://klasma.github.io/Logging_2184/kartor/A 116-2020 karta.png", "A 116-2020")</f>
        <v/>
      </c>
      <c r="V266">
        <f>HYPERLINK("https://klasma.github.io/Logging_2184/klagomål/A 116-2020 FSC-klagomål.docx", "A 116-2020")</f>
        <v/>
      </c>
      <c r="W266">
        <f>HYPERLINK("https://klasma.github.io/Logging_2184/klagomålsmail/A 116-2020 FSC-klagomål mail.docx", "A 116-2020")</f>
        <v/>
      </c>
      <c r="X266">
        <f>HYPERLINK("https://klasma.github.io/Logging_2184/tillsyn/A 116-2020 tillsynsbegäran.docx", "A 116-2020")</f>
        <v/>
      </c>
      <c r="Y266">
        <f>HYPERLINK("https://klasma.github.io/Logging_2184/tillsynsmail/A 116-2020 tillsynsbegäran mail.docx", "A 116-2020")</f>
        <v/>
      </c>
      <c r="Z266">
        <f>HYPERLINK("https://klasma.github.io/Logging_2184/fåglar/A 116-2020 prioriterade fågelarter.docx", "A 116-2020")</f>
        <v/>
      </c>
    </row>
    <row r="267" ht="15" customHeight="1">
      <c r="A267" t="inlineStr">
        <is>
          <t>A 14255-2020</t>
        </is>
      </c>
      <c r="B267" s="1" t="n">
        <v>43907</v>
      </c>
      <c r="C267" s="1" t="n">
        <v>45677</v>
      </c>
      <c r="D267" t="inlineStr">
        <is>
          <t>GÄVLEBORGS LÄN</t>
        </is>
      </c>
      <c r="E267" t="inlineStr">
        <is>
          <t>HUDIKSVALL</t>
        </is>
      </c>
      <c r="F267" t="inlineStr">
        <is>
          <t>Holmen skog AB</t>
        </is>
      </c>
      <c r="G267" t="n">
        <v>14.2</v>
      </c>
      <c r="H267" t="n">
        <v>2</v>
      </c>
      <c r="I267" t="n">
        <v>0</v>
      </c>
      <c r="J267" t="n">
        <v>0</v>
      </c>
      <c r="K267" t="n">
        <v>0</v>
      </c>
      <c r="L267" t="n">
        <v>0</v>
      </c>
      <c r="M267" t="n">
        <v>0</v>
      </c>
      <c r="N267" t="n">
        <v>0</v>
      </c>
      <c r="O267" t="n">
        <v>0</v>
      </c>
      <c r="P267" t="n">
        <v>0</v>
      </c>
      <c r="Q267" t="n">
        <v>2</v>
      </c>
      <c r="R267" s="2" t="inlineStr">
        <is>
          <t>Fläcknycklar
Myggblomster</t>
        </is>
      </c>
      <c r="S267">
        <f>HYPERLINK("https://klasma.github.io/Logging_2184/artfynd/A 14255-2020 artfynd.xlsx", "A 14255-2020")</f>
        <v/>
      </c>
      <c r="T267">
        <f>HYPERLINK("https://klasma.github.io/Logging_2184/kartor/A 14255-2020 karta.png", "A 14255-2020")</f>
        <v/>
      </c>
      <c r="V267">
        <f>HYPERLINK("https://klasma.github.io/Logging_2184/klagomål/A 14255-2020 FSC-klagomål.docx", "A 14255-2020")</f>
        <v/>
      </c>
      <c r="W267">
        <f>HYPERLINK("https://klasma.github.io/Logging_2184/klagomålsmail/A 14255-2020 FSC-klagomål mail.docx", "A 14255-2020")</f>
        <v/>
      </c>
      <c r="X267">
        <f>HYPERLINK("https://klasma.github.io/Logging_2184/tillsyn/A 14255-2020 tillsynsbegäran.docx", "A 14255-2020")</f>
        <v/>
      </c>
      <c r="Y267">
        <f>HYPERLINK("https://klasma.github.io/Logging_2184/tillsynsmail/A 14255-2020 tillsynsbegäran mail.docx", "A 14255-2020")</f>
        <v/>
      </c>
    </row>
    <row r="268" ht="15" customHeight="1">
      <c r="A268" t="inlineStr">
        <is>
          <t>A 24617-2020</t>
        </is>
      </c>
      <c r="B268" s="1" t="n">
        <v>43977</v>
      </c>
      <c r="C268" s="1" t="n">
        <v>45677</v>
      </c>
      <c r="D268" t="inlineStr">
        <is>
          <t>GÄVLEBORGS LÄN</t>
        </is>
      </c>
      <c r="E268" t="inlineStr">
        <is>
          <t>LJUSDAL</t>
        </is>
      </c>
      <c r="F268" t="inlineStr">
        <is>
          <t>Sveaskog</t>
        </is>
      </c>
      <c r="G268" t="n">
        <v>9.300000000000001</v>
      </c>
      <c r="H268" t="n">
        <v>0</v>
      </c>
      <c r="I268" t="n">
        <v>1</v>
      </c>
      <c r="J268" t="n">
        <v>1</v>
      </c>
      <c r="K268" t="n">
        <v>0</v>
      </c>
      <c r="L268" t="n">
        <v>0</v>
      </c>
      <c r="M268" t="n">
        <v>0</v>
      </c>
      <c r="N268" t="n">
        <v>0</v>
      </c>
      <c r="O268" t="n">
        <v>1</v>
      </c>
      <c r="P268" t="n">
        <v>0</v>
      </c>
      <c r="Q268" t="n">
        <v>2</v>
      </c>
      <c r="R268" s="2" t="inlineStr">
        <is>
          <t>Kolflarnlav
Dropptaggsvamp</t>
        </is>
      </c>
      <c r="S268">
        <f>HYPERLINK("https://klasma.github.io/Logging_2161/artfynd/A 24617-2020 artfynd.xlsx", "A 24617-2020")</f>
        <v/>
      </c>
      <c r="T268">
        <f>HYPERLINK("https://klasma.github.io/Logging_2161/kartor/A 24617-2020 karta.png", "A 24617-2020")</f>
        <v/>
      </c>
      <c r="V268">
        <f>HYPERLINK("https://klasma.github.io/Logging_2161/klagomål/A 24617-2020 FSC-klagomål.docx", "A 24617-2020")</f>
        <v/>
      </c>
      <c r="W268">
        <f>HYPERLINK("https://klasma.github.io/Logging_2161/klagomålsmail/A 24617-2020 FSC-klagomål mail.docx", "A 24617-2020")</f>
        <v/>
      </c>
      <c r="X268">
        <f>HYPERLINK("https://klasma.github.io/Logging_2161/tillsyn/A 24617-2020 tillsynsbegäran.docx", "A 24617-2020")</f>
        <v/>
      </c>
      <c r="Y268">
        <f>HYPERLINK("https://klasma.github.io/Logging_2161/tillsynsmail/A 24617-2020 tillsynsbegäran mail.docx", "A 24617-2020")</f>
        <v/>
      </c>
    </row>
    <row r="269" ht="15" customHeight="1">
      <c r="A269" t="inlineStr">
        <is>
          <t>A 28704-2020</t>
        </is>
      </c>
      <c r="B269" s="1" t="n">
        <v>43999</v>
      </c>
      <c r="C269" s="1" t="n">
        <v>45677</v>
      </c>
      <c r="D269" t="inlineStr">
        <is>
          <t>GÄVLEBORGS LÄN</t>
        </is>
      </c>
      <c r="E269" t="inlineStr">
        <is>
          <t>BOLLNÄS</t>
        </is>
      </c>
      <c r="F269" t="inlineStr">
        <is>
          <t>Sveaskog</t>
        </is>
      </c>
      <c r="G269" t="n">
        <v>2.2</v>
      </c>
      <c r="H269" t="n">
        <v>0</v>
      </c>
      <c r="I269" t="n">
        <v>0</v>
      </c>
      <c r="J269" t="n">
        <v>2</v>
      </c>
      <c r="K269" t="n">
        <v>0</v>
      </c>
      <c r="L269" t="n">
        <v>0</v>
      </c>
      <c r="M269" t="n">
        <v>0</v>
      </c>
      <c r="N269" t="n">
        <v>0</v>
      </c>
      <c r="O269" t="n">
        <v>2</v>
      </c>
      <c r="P269" t="n">
        <v>0</v>
      </c>
      <c r="Q269" t="n">
        <v>2</v>
      </c>
      <c r="R269" s="2" t="inlineStr">
        <is>
          <t>Gammelgransskål
Tallticka</t>
        </is>
      </c>
      <c r="S269">
        <f>HYPERLINK("https://klasma.github.io/Logging_2183/artfynd/A 28704-2020 artfynd.xlsx", "A 28704-2020")</f>
        <v/>
      </c>
      <c r="T269">
        <f>HYPERLINK("https://klasma.github.io/Logging_2183/kartor/A 28704-2020 karta.png", "A 28704-2020")</f>
        <v/>
      </c>
      <c r="V269">
        <f>HYPERLINK("https://klasma.github.io/Logging_2183/klagomål/A 28704-2020 FSC-klagomål.docx", "A 28704-2020")</f>
        <v/>
      </c>
      <c r="W269">
        <f>HYPERLINK("https://klasma.github.io/Logging_2183/klagomålsmail/A 28704-2020 FSC-klagomål mail.docx", "A 28704-2020")</f>
        <v/>
      </c>
      <c r="X269">
        <f>HYPERLINK("https://klasma.github.io/Logging_2183/tillsyn/A 28704-2020 tillsynsbegäran.docx", "A 28704-2020")</f>
        <v/>
      </c>
      <c r="Y269">
        <f>HYPERLINK("https://klasma.github.io/Logging_2183/tillsynsmail/A 28704-2020 tillsynsbegäran mail.docx", "A 28704-2020")</f>
        <v/>
      </c>
    </row>
    <row r="270" ht="15" customHeight="1">
      <c r="A270" t="inlineStr">
        <is>
          <t>A 30147-2020</t>
        </is>
      </c>
      <c r="B270" s="1" t="n">
        <v>44007</v>
      </c>
      <c r="C270" s="1" t="n">
        <v>45677</v>
      </c>
      <c r="D270" t="inlineStr">
        <is>
          <t>GÄVLEBORGS LÄN</t>
        </is>
      </c>
      <c r="E270" t="inlineStr">
        <is>
          <t>SANDVIKEN</t>
        </is>
      </c>
      <c r="G270" t="n">
        <v>3.7</v>
      </c>
      <c r="H270" t="n">
        <v>1</v>
      </c>
      <c r="I270" t="n">
        <v>1</v>
      </c>
      <c r="J270" t="n">
        <v>0</v>
      </c>
      <c r="K270" t="n">
        <v>0</v>
      </c>
      <c r="L270" t="n">
        <v>0</v>
      </c>
      <c r="M270" t="n">
        <v>0</v>
      </c>
      <c r="N270" t="n">
        <v>0</v>
      </c>
      <c r="O270" t="n">
        <v>0</v>
      </c>
      <c r="P270" t="n">
        <v>0</v>
      </c>
      <c r="Q270" t="n">
        <v>2</v>
      </c>
      <c r="R270" s="2" t="inlineStr">
        <is>
          <t>Strutbräken
Revlummer</t>
        </is>
      </c>
      <c r="S270">
        <f>HYPERLINK("https://klasma.github.io/Logging_2181/artfynd/A 30147-2020 artfynd.xlsx", "A 30147-2020")</f>
        <v/>
      </c>
      <c r="T270">
        <f>HYPERLINK("https://klasma.github.io/Logging_2181/kartor/A 30147-2020 karta.png", "A 30147-2020")</f>
        <v/>
      </c>
      <c r="V270">
        <f>HYPERLINK("https://klasma.github.io/Logging_2181/klagomål/A 30147-2020 FSC-klagomål.docx", "A 30147-2020")</f>
        <v/>
      </c>
      <c r="W270">
        <f>HYPERLINK("https://klasma.github.io/Logging_2181/klagomålsmail/A 30147-2020 FSC-klagomål mail.docx", "A 30147-2020")</f>
        <v/>
      </c>
      <c r="X270">
        <f>HYPERLINK("https://klasma.github.io/Logging_2181/tillsyn/A 30147-2020 tillsynsbegäran.docx", "A 30147-2020")</f>
        <v/>
      </c>
      <c r="Y270">
        <f>HYPERLINK("https://klasma.github.io/Logging_2181/tillsynsmail/A 30147-2020 tillsynsbegäran mail.docx", "A 30147-2020")</f>
        <v/>
      </c>
    </row>
    <row r="271" ht="15" customHeight="1">
      <c r="A271" t="inlineStr">
        <is>
          <t>A 30620-2020</t>
        </is>
      </c>
      <c r="B271" s="1" t="n">
        <v>44008</v>
      </c>
      <c r="C271" s="1" t="n">
        <v>45677</v>
      </c>
      <c r="D271" t="inlineStr">
        <is>
          <t>GÄVLEBORGS LÄN</t>
        </is>
      </c>
      <c r="E271" t="inlineStr">
        <is>
          <t>NORDANSTIG</t>
        </is>
      </c>
      <c r="G271" t="n">
        <v>19.5</v>
      </c>
      <c r="H271" t="n">
        <v>2</v>
      </c>
      <c r="I271" t="n">
        <v>0</v>
      </c>
      <c r="J271" t="n">
        <v>2</v>
      </c>
      <c r="K271" t="n">
        <v>0</v>
      </c>
      <c r="L271" t="n">
        <v>0</v>
      </c>
      <c r="M271" t="n">
        <v>0</v>
      </c>
      <c r="N271" t="n">
        <v>0</v>
      </c>
      <c r="O271" t="n">
        <v>2</v>
      </c>
      <c r="P271" t="n">
        <v>0</v>
      </c>
      <c r="Q271" t="n">
        <v>2</v>
      </c>
      <c r="R271" s="2" t="inlineStr">
        <is>
          <t>Duvhök
Havsörn</t>
        </is>
      </c>
      <c r="S271">
        <f>HYPERLINK("https://klasma.github.io/Logging_2132/artfynd/A 30620-2020 artfynd.xlsx", "A 30620-2020")</f>
        <v/>
      </c>
      <c r="T271">
        <f>HYPERLINK("https://klasma.github.io/Logging_2132/kartor/A 30620-2020 karta.png", "A 30620-2020")</f>
        <v/>
      </c>
      <c r="V271">
        <f>HYPERLINK("https://klasma.github.io/Logging_2132/klagomål/A 30620-2020 FSC-klagomål.docx", "A 30620-2020")</f>
        <v/>
      </c>
      <c r="W271">
        <f>HYPERLINK("https://klasma.github.io/Logging_2132/klagomålsmail/A 30620-2020 FSC-klagomål mail.docx", "A 30620-2020")</f>
        <v/>
      </c>
      <c r="X271">
        <f>HYPERLINK("https://klasma.github.io/Logging_2132/tillsyn/A 30620-2020 tillsynsbegäran.docx", "A 30620-2020")</f>
        <v/>
      </c>
      <c r="Y271">
        <f>HYPERLINK("https://klasma.github.io/Logging_2132/tillsynsmail/A 30620-2020 tillsynsbegäran mail.docx", "A 30620-2020")</f>
        <v/>
      </c>
      <c r="Z271">
        <f>HYPERLINK("https://klasma.github.io/Logging_2132/fåglar/A 30620-2020 prioriterade fågelarter.docx", "A 30620-2020")</f>
        <v/>
      </c>
    </row>
    <row r="272" ht="15" customHeight="1">
      <c r="A272" t="inlineStr">
        <is>
          <t>A 33136-2020</t>
        </is>
      </c>
      <c r="B272" s="1" t="n">
        <v>44021</v>
      </c>
      <c r="C272" s="1" t="n">
        <v>45677</v>
      </c>
      <c r="D272" t="inlineStr">
        <is>
          <t>GÄVLEBORGS LÄN</t>
        </is>
      </c>
      <c r="E272" t="inlineStr">
        <is>
          <t>NORDANSTIG</t>
        </is>
      </c>
      <c r="F272" t="inlineStr">
        <is>
          <t>Holmen skog AB</t>
        </is>
      </c>
      <c r="G272" t="n">
        <v>6</v>
      </c>
      <c r="H272" t="n">
        <v>0</v>
      </c>
      <c r="I272" t="n">
        <v>0</v>
      </c>
      <c r="J272" t="n">
        <v>2</v>
      </c>
      <c r="K272" t="n">
        <v>0</v>
      </c>
      <c r="L272" t="n">
        <v>0</v>
      </c>
      <c r="M272" t="n">
        <v>0</v>
      </c>
      <c r="N272" t="n">
        <v>0</v>
      </c>
      <c r="O272" t="n">
        <v>2</v>
      </c>
      <c r="P272" t="n">
        <v>0</v>
      </c>
      <c r="Q272" t="n">
        <v>2</v>
      </c>
      <c r="R272" s="2" t="inlineStr">
        <is>
          <t>Motaggsvamp
Reliktbock</t>
        </is>
      </c>
      <c r="S272">
        <f>HYPERLINK("https://klasma.github.io/Logging_2132/artfynd/A 33136-2020 artfynd.xlsx", "A 33136-2020")</f>
        <v/>
      </c>
      <c r="T272">
        <f>HYPERLINK("https://klasma.github.io/Logging_2132/kartor/A 33136-2020 karta.png", "A 33136-2020")</f>
        <v/>
      </c>
      <c r="V272">
        <f>HYPERLINK("https://klasma.github.io/Logging_2132/klagomål/A 33136-2020 FSC-klagomål.docx", "A 33136-2020")</f>
        <v/>
      </c>
      <c r="W272">
        <f>HYPERLINK("https://klasma.github.io/Logging_2132/klagomålsmail/A 33136-2020 FSC-klagomål mail.docx", "A 33136-2020")</f>
        <v/>
      </c>
      <c r="X272">
        <f>HYPERLINK("https://klasma.github.io/Logging_2132/tillsyn/A 33136-2020 tillsynsbegäran.docx", "A 33136-2020")</f>
        <v/>
      </c>
      <c r="Y272">
        <f>HYPERLINK("https://klasma.github.io/Logging_2132/tillsynsmail/A 33136-2020 tillsynsbegäran mail.docx", "A 33136-2020")</f>
        <v/>
      </c>
    </row>
    <row r="273" ht="15" customHeight="1">
      <c r="A273" t="inlineStr">
        <is>
          <t>A 35427-2020</t>
        </is>
      </c>
      <c r="B273" s="1" t="n">
        <v>44042</v>
      </c>
      <c r="C273" s="1" t="n">
        <v>45677</v>
      </c>
      <c r="D273" t="inlineStr">
        <is>
          <t>GÄVLEBORGS LÄN</t>
        </is>
      </c>
      <c r="E273" t="inlineStr">
        <is>
          <t>HUDIKSVALL</t>
        </is>
      </c>
      <c r="F273" t="inlineStr">
        <is>
          <t>Holmen skog AB</t>
        </is>
      </c>
      <c r="G273" t="n">
        <v>1.4</v>
      </c>
      <c r="H273" t="n">
        <v>1</v>
      </c>
      <c r="I273" t="n">
        <v>0</v>
      </c>
      <c r="J273" t="n">
        <v>1</v>
      </c>
      <c r="K273" t="n">
        <v>0</v>
      </c>
      <c r="L273" t="n">
        <v>0</v>
      </c>
      <c r="M273" t="n">
        <v>0</v>
      </c>
      <c r="N273" t="n">
        <v>0</v>
      </c>
      <c r="O273" t="n">
        <v>1</v>
      </c>
      <c r="P273" t="n">
        <v>0</v>
      </c>
      <c r="Q273" t="n">
        <v>2</v>
      </c>
      <c r="R273" s="2" t="inlineStr">
        <is>
          <t>Garnlav
Revlummer</t>
        </is>
      </c>
      <c r="S273">
        <f>HYPERLINK("https://klasma.github.io/Logging_2184/artfynd/A 35427-2020 artfynd.xlsx", "A 35427-2020")</f>
        <v/>
      </c>
      <c r="T273">
        <f>HYPERLINK("https://klasma.github.io/Logging_2184/kartor/A 35427-2020 karta.png", "A 35427-2020")</f>
        <v/>
      </c>
      <c r="V273">
        <f>HYPERLINK("https://klasma.github.io/Logging_2184/klagomål/A 35427-2020 FSC-klagomål.docx", "A 35427-2020")</f>
        <v/>
      </c>
      <c r="W273">
        <f>HYPERLINK("https://klasma.github.io/Logging_2184/klagomålsmail/A 35427-2020 FSC-klagomål mail.docx", "A 35427-2020")</f>
        <v/>
      </c>
      <c r="X273">
        <f>HYPERLINK("https://klasma.github.io/Logging_2184/tillsyn/A 35427-2020 tillsynsbegäran.docx", "A 35427-2020")</f>
        <v/>
      </c>
      <c r="Y273">
        <f>HYPERLINK("https://klasma.github.io/Logging_2184/tillsynsmail/A 35427-2020 tillsynsbegäran mail.docx", "A 35427-2020")</f>
        <v/>
      </c>
    </row>
    <row r="274" ht="15" customHeight="1">
      <c r="A274" t="inlineStr">
        <is>
          <t>A 43503-2020</t>
        </is>
      </c>
      <c r="B274" s="1" t="n">
        <v>44077</v>
      </c>
      <c r="C274" s="1" t="n">
        <v>45677</v>
      </c>
      <c r="D274" t="inlineStr">
        <is>
          <t>GÄVLEBORGS LÄN</t>
        </is>
      </c>
      <c r="E274" t="inlineStr">
        <is>
          <t>HUDIKSVALL</t>
        </is>
      </c>
      <c r="G274" t="n">
        <v>3.3</v>
      </c>
      <c r="H274" t="n">
        <v>1</v>
      </c>
      <c r="I274" t="n">
        <v>0</v>
      </c>
      <c r="J274" t="n">
        <v>1</v>
      </c>
      <c r="K274" t="n">
        <v>1</v>
      </c>
      <c r="L274" t="n">
        <v>0</v>
      </c>
      <c r="M274" t="n">
        <v>0</v>
      </c>
      <c r="N274" t="n">
        <v>0</v>
      </c>
      <c r="O274" t="n">
        <v>2</v>
      </c>
      <c r="P274" t="n">
        <v>1</v>
      </c>
      <c r="Q274" t="n">
        <v>2</v>
      </c>
      <c r="R274" s="2" t="inlineStr">
        <is>
          <t>Knärot
Garnlav</t>
        </is>
      </c>
      <c r="S274">
        <f>HYPERLINK("https://klasma.github.io/Logging_2184/artfynd/A 43503-2020 artfynd.xlsx", "A 43503-2020")</f>
        <v/>
      </c>
      <c r="T274">
        <f>HYPERLINK("https://klasma.github.io/Logging_2184/kartor/A 43503-2020 karta.png", "A 43503-2020")</f>
        <v/>
      </c>
      <c r="U274">
        <f>HYPERLINK("https://klasma.github.io/Logging_2184/knärot/A 43503-2020 karta knärot.png", "A 43503-2020")</f>
        <v/>
      </c>
      <c r="V274">
        <f>HYPERLINK("https://klasma.github.io/Logging_2184/klagomål/A 43503-2020 FSC-klagomål.docx", "A 43503-2020")</f>
        <v/>
      </c>
      <c r="W274">
        <f>HYPERLINK("https://klasma.github.io/Logging_2184/klagomålsmail/A 43503-2020 FSC-klagomål mail.docx", "A 43503-2020")</f>
        <v/>
      </c>
      <c r="X274">
        <f>HYPERLINK("https://klasma.github.io/Logging_2184/tillsyn/A 43503-2020 tillsynsbegäran.docx", "A 43503-2020")</f>
        <v/>
      </c>
      <c r="Y274">
        <f>HYPERLINK("https://klasma.github.io/Logging_2184/tillsynsmail/A 43503-2020 tillsynsbegäran mail.docx", "A 43503-2020")</f>
        <v/>
      </c>
    </row>
    <row r="275" ht="15" customHeight="1">
      <c r="A275" t="inlineStr">
        <is>
          <t>A 49073-2020</t>
        </is>
      </c>
      <c r="B275" s="1" t="n">
        <v>44104</v>
      </c>
      <c r="C275" s="1" t="n">
        <v>45677</v>
      </c>
      <c r="D275" t="inlineStr">
        <is>
          <t>GÄVLEBORGS LÄN</t>
        </is>
      </c>
      <c r="E275" t="inlineStr">
        <is>
          <t>LJUSDAL</t>
        </is>
      </c>
      <c r="F275" t="inlineStr">
        <is>
          <t>Sveaskog</t>
        </is>
      </c>
      <c r="G275" t="n">
        <v>15.1</v>
      </c>
      <c r="H275" t="n">
        <v>2</v>
      </c>
      <c r="I275" t="n">
        <v>0</v>
      </c>
      <c r="J275" t="n">
        <v>0</v>
      </c>
      <c r="K275" t="n">
        <v>1</v>
      </c>
      <c r="L275" t="n">
        <v>0</v>
      </c>
      <c r="M275" t="n">
        <v>0</v>
      </c>
      <c r="N275" t="n">
        <v>0</v>
      </c>
      <c r="O275" t="n">
        <v>1</v>
      </c>
      <c r="P275" t="n">
        <v>1</v>
      </c>
      <c r="Q275" t="n">
        <v>2</v>
      </c>
      <c r="R275" s="2" t="inlineStr">
        <is>
          <t>Knärot
Fläcknycklar</t>
        </is>
      </c>
      <c r="S275">
        <f>HYPERLINK("https://klasma.github.io/Logging_2161/artfynd/A 49073-2020 artfynd.xlsx", "A 49073-2020")</f>
        <v/>
      </c>
      <c r="T275">
        <f>HYPERLINK("https://klasma.github.io/Logging_2161/kartor/A 49073-2020 karta.png", "A 49073-2020")</f>
        <v/>
      </c>
      <c r="U275">
        <f>HYPERLINK("https://klasma.github.io/Logging_2161/knärot/A 49073-2020 karta knärot.png", "A 49073-2020")</f>
        <v/>
      </c>
      <c r="V275">
        <f>HYPERLINK("https://klasma.github.io/Logging_2161/klagomål/A 49073-2020 FSC-klagomål.docx", "A 49073-2020")</f>
        <v/>
      </c>
      <c r="W275">
        <f>HYPERLINK("https://klasma.github.io/Logging_2161/klagomålsmail/A 49073-2020 FSC-klagomål mail.docx", "A 49073-2020")</f>
        <v/>
      </c>
      <c r="X275">
        <f>HYPERLINK("https://klasma.github.io/Logging_2161/tillsyn/A 49073-2020 tillsynsbegäran.docx", "A 49073-2020")</f>
        <v/>
      </c>
      <c r="Y275">
        <f>HYPERLINK("https://klasma.github.io/Logging_2161/tillsynsmail/A 49073-2020 tillsynsbegäran mail.docx", "A 49073-2020")</f>
        <v/>
      </c>
    </row>
    <row r="276" ht="15" customHeight="1">
      <c r="A276" t="inlineStr">
        <is>
          <t>A 13261-2021</t>
        </is>
      </c>
      <c r="B276" s="1" t="n">
        <v>44272</v>
      </c>
      <c r="C276" s="1" t="n">
        <v>45677</v>
      </c>
      <c r="D276" t="inlineStr">
        <is>
          <t>GÄVLEBORGS LÄN</t>
        </is>
      </c>
      <c r="E276" t="inlineStr">
        <is>
          <t>GÄVLE</t>
        </is>
      </c>
      <c r="G276" t="n">
        <v>4.7</v>
      </c>
      <c r="H276" t="n">
        <v>1</v>
      </c>
      <c r="I276" t="n">
        <v>0</v>
      </c>
      <c r="J276" t="n">
        <v>1</v>
      </c>
      <c r="K276" t="n">
        <v>0</v>
      </c>
      <c r="L276" t="n">
        <v>0</v>
      </c>
      <c r="M276" t="n">
        <v>0</v>
      </c>
      <c r="N276" t="n">
        <v>0</v>
      </c>
      <c r="O276" t="n">
        <v>1</v>
      </c>
      <c r="P276" t="n">
        <v>0</v>
      </c>
      <c r="Q276" t="n">
        <v>2</v>
      </c>
      <c r="R276" s="2" t="inlineStr">
        <is>
          <t>Motaggsvamp
Blåsippa</t>
        </is>
      </c>
      <c r="S276">
        <f>HYPERLINK("https://klasma.github.io/Logging_2180/artfynd/A 13261-2021 artfynd.xlsx", "A 13261-2021")</f>
        <v/>
      </c>
      <c r="T276">
        <f>HYPERLINK("https://klasma.github.io/Logging_2180/kartor/A 13261-2021 karta.png", "A 13261-2021")</f>
        <v/>
      </c>
      <c r="V276">
        <f>HYPERLINK("https://klasma.github.io/Logging_2180/klagomål/A 13261-2021 FSC-klagomål.docx", "A 13261-2021")</f>
        <v/>
      </c>
      <c r="W276">
        <f>HYPERLINK("https://klasma.github.io/Logging_2180/klagomålsmail/A 13261-2021 FSC-klagomål mail.docx", "A 13261-2021")</f>
        <v/>
      </c>
      <c r="X276">
        <f>HYPERLINK("https://klasma.github.io/Logging_2180/tillsyn/A 13261-2021 tillsynsbegäran.docx", "A 13261-2021")</f>
        <v/>
      </c>
      <c r="Y276">
        <f>HYPERLINK("https://klasma.github.io/Logging_2180/tillsynsmail/A 13261-2021 tillsynsbegäran mail.docx", "A 13261-2021")</f>
        <v/>
      </c>
    </row>
    <row r="277" ht="15" customHeight="1">
      <c r="A277" t="inlineStr">
        <is>
          <t>A 20198-2021</t>
        </is>
      </c>
      <c r="B277" s="1" t="n">
        <v>44314</v>
      </c>
      <c r="C277" s="1" t="n">
        <v>45677</v>
      </c>
      <c r="D277" t="inlineStr">
        <is>
          <t>GÄVLEBORGS LÄN</t>
        </is>
      </c>
      <c r="E277" t="inlineStr">
        <is>
          <t>GÄVLE</t>
        </is>
      </c>
      <c r="F277" t="inlineStr">
        <is>
          <t>Bergvik skog öst AB</t>
        </is>
      </c>
      <c r="G277" t="n">
        <v>4.5</v>
      </c>
      <c r="H277" t="n">
        <v>1</v>
      </c>
      <c r="I277" t="n">
        <v>2</v>
      </c>
      <c r="J277" t="n">
        <v>0</v>
      </c>
      <c r="K277" t="n">
        <v>0</v>
      </c>
      <c r="L277" t="n">
        <v>0</v>
      </c>
      <c r="M277" t="n">
        <v>0</v>
      </c>
      <c r="N277" t="n">
        <v>0</v>
      </c>
      <c r="O277" t="n">
        <v>0</v>
      </c>
      <c r="P277" t="n">
        <v>0</v>
      </c>
      <c r="Q277" t="n">
        <v>2</v>
      </c>
      <c r="R277" s="2" t="inlineStr">
        <is>
          <t>Anisspindling
Skogsknipprot</t>
        </is>
      </c>
      <c r="S277">
        <f>HYPERLINK("https://klasma.github.io/Logging_2180/artfynd/A 20198-2021 artfynd.xlsx", "A 20198-2021")</f>
        <v/>
      </c>
      <c r="T277">
        <f>HYPERLINK("https://klasma.github.io/Logging_2180/kartor/A 20198-2021 karta.png", "A 20198-2021")</f>
        <v/>
      </c>
      <c r="V277">
        <f>HYPERLINK("https://klasma.github.io/Logging_2180/klagomål/A 20198-2021 FSC-klagomål.docx", "A 20198-2021")</f>
        <v/>
      </c>
      <c r="W277">
        <f>HYPERLINK("https://klasma.github.io/Logging_2180/klagomålsmail/A 20198-2021 FSC-klagomål mail.docx", "A 20198-2021")</f>
        <v/>
      </c>
      <c r="X277">
        <f>HYPERLINK("https://klasma.github.io/Logging_2180/tillsyn/A 20198-2021 tillsynsbegäran.docx", "A 20198-2021")</f>
        <v/>
      </c>
      <c r="Y277">
        <f>HYPERLINK("https://klasma.github.io/Logging_2180/tillsynsmail/A 20198-2021 tillsynsbegäran mail.docx", "A 20198-2021")</f>
        <v/>
      </c>
    </row>
    <row r="278" ht="15" customHeight="1">
      <c r="A278" t="inlineStr">
        <is>
          <t>A 21765-2021</t>
        </is>
      </c>
      <c r="B278" s="1" t="n">
        <v>44322</v>
      </c>
      <c r="C278" s="1" t="n">
        <v>45677</v>
      </c>
      <c r="D278" t="inlineStr">
        <is>
          <t>GÄVLEBORGS LÄN</t>
        </is>
      </c>
      <c r="E278" t="inlineStr">
        <is>
          <t>LJUSDAL</t>
        </is>
      </c>
      <c r="F278" t="inlineStr">
        <is>
          <t>Sveaskog</t>
        </is>
      </c>
      <c r="G278" t="n">
        <v>1</v>
      </c>
      <c r="H278" t="n">
        <v>2</v>
      </c>
      <c r="I278" t="n">
        <v>0</v>
      </c>
      <c r="J278" t="n">
        <v>2</v>
      </c>
      <c r="K278" t="n">
        <v>0</v>
      </c>
      <c r="L278" t="n">
        <v>0</v>
      </c>
      <c r="M278" t="n">
        <v>0</v>
      </c>
      <c r="N278" t="n">
        <v>0</v>
      </c>
      <c r="O278" t="n">
        <v>2</v>
      </c>
      <c r="P278" t="n">
        <v>0</v>
      </c>
      <c r="Q278" t="n">
        <v>2</v>
      </c>
      <c r="R278" s="2" t="inlineStr">
        <is>
          <t>Stenfalk
Ärtsångare</t>
        </is>
      </c>
      <c r="S278">
        <f>HYPERLINK("https://klasma.github.io/Logging_2161/artfynd/A 21765-2021 artfynd.xlsx", "A 21765-2021")</f>
        <v/>
      </c>
      <c r="T278">
        <f>HYPERLINK("https://klasma.github.io/Logging_2161/kartor/A 21765-2021 karta.png", "A 21765-2021")</f>
        <v/>
      </c>
      <c r="V278">
        <f>HYPERLINK("https://klasma.github.io/Logging_2161/klagomål/A 21765-2021 FSC-klagomål.docx", "A 21765-2021")</f>
        <v/>
      </c>
      <c r="W278">
        <f>HYPERLINK("https://klasma.github.io/Logging_2161/klagomålsmail/A 21765-2021 FSC-klagomål mail.docx", "A 21765-2021")</f>
        <v/>
      </c>
      <c r="X278">
        <f>HYPERLINK("https://klasma.github.io/Logging_2161/tillsyn/A 21765-2021 tillsynsbegäran.docx", "A 21765-2021")</f>
        <v/>
      </c>
      <c r="Y278">
        <f>HYPERLINK("https://klasma.github.io/Logging_2161/tillsynsmail/A 21765-2021 tillsynsbegäran mail.docx", "A 21765-2021")</f>
        <v/>
      </c>
      <c r="Z278">
        <f>HYPERLINK("https://klasma.github.io/Logging_2161/fåglar/A 21765-2021 prioriterade fågelarter.docx", "A 21765-2021")</f>
        <v/>
      </c>
    </row>
    <row r="279" ht="15" customHeight="1">
      <c r="A279" t="inlineStr">
        <is>
          <t>A 22073-2021</t>
        </is>
      </c>
      <c r="B279" s="1" t="n">
        <v>44323</v>
      </c>
      <c r="C279" s="1" t="n">
        <v>45677</v>
      </c>
      <c r="D279" t="inlineStr">
        <is>
          <t>GÄVLEBORGS LÄN</t>
        </is>
      </c>
      <c r="E279" t="inlineStr">
        <is>
          <t>GÄVLE</t>
        </is>
      </c>
      <c r="F279" t="inlineStr">
        <is>
          <t>Bergvik skog öst AB</t>
        </is>
      </c>
      <c r="G279" t="n">
        <v>0.5</v>
      </c>
      <c r="H279" t="n">
        <v>2</v>
      </c>
      <c r="I279" t="n">
        <v>0</v>
      </c>
      <c r="J279" t="n">
        <v>2</v>
      </c>
      <c r="K279" t="n">
        <v>0</v>
      </c>
      <c r="L279" t="n">
        <v>0</v>
      </c>
      <c r="M279" t="n">
        <v>0</v>
      </c>
      <c r="N279" t="n">
        <v>0</v>
      </c>
      <c r="O279" t="n">
        <v>2</v>
      </c>
      <c r="P279" t="n">
        <v>0</v>
      </c>
      <c r="Q279" t="n">
        <v>2</v>
      </c>
      <c r="R279" s="2" t="inlineStr">
        <is>
          <t>Blå kärrhök
Havsörn</t>
        </is>
      </c>
      <c r="S279">
        <f>HYPERLINK("https://klasma.github.io/Logging_2180/artfynd/A 22073-2021 artfynd.xlsx", "A 22073-2021")</f>
        <v/>
      </c>
      <c r="T279">
        <f>HYPERLINK("https://klasma.github.io/Logging_2180/kartor/A 22073-2021 karta.png", "A 22073-2021")</f>
        <v/>
      </c>
      <c r="V279">
        <f>HYPERLINK("https://klasma.github.io/Logging_2180/klagomål/A 22073-2021 FSC-klagomål.docx", "A 22073-2021")</f>
        <v/>
      </c>
      <c r="W279">
        <f>HYPERLINK("https://klasma.github.io/Logging_2180/klagomålsmail/A 22073-2021 FSC-klagomål mail.docx", "A 22073-2021")</f>
        <v/>
      </c>
      <c r="X279">
        <f>HYPERLINK("https://klasma.github.io/Logging_2180/tillsyn/A 22073-2021 tillsynsbegäran.docx", "A 22073-2021")</f>
        <v/>
      </c>
      <c r="Y279">
        <f>HYPERLINK("https://klasma.github.io/Logging_2180/tillsynsmail/A 22073-2021 tillsynsbegäran mail.docx", "A 22073-2021")</f>
        <v/>
      </c>
      <c r="Z279">
        <f>HYPERLINK("https://klasma.github.io/Logging_2180/fåglar/A 22073-2021 prioriterade fågelarter.docx", "A 22073-2021")</f>
        <v/>
      </c>
    </row>
    <row r="280" ht="15" customHeight="1">
      <c r="A280" t="inlineStr">
        <is>
          <t>A 28727-2021</t>
        </is>
      </c>
      <c r="B280" s="1" t="n">
        <v>44357</v>
      </c>
      <c r="C280" s="1" t="n">
        <v>45677</v>
      </c>
      <c r="D280" t="inlineStr">
        <is>
          <t>GÄVLEBORGS LÄN</t>
        </is>
      </c>
      <c r="E280" t="inlineStr">
        <is>
          <t>LJUSDAL</t>
        </is>
      </c>
      <c r="F280" t="inlineStr">
        <is>
          <t>Sveaskog</t>
        </is>
      </c>
      <c r="G280" t="n">
        <v>45.9</v>
      </c>
      <c r="H280" t="n">
        <v>2</v>
      </c>
      <c r="I280" t="n">
        <v>1</v>
      </c>
      <c r="J280" t="n">
        <v>0</v>
      </c>
      <c r="K280" t="n">
        <v>0</v>
      </c>
      <c r="L280" t="n">
        <v>0</v>
      </c>
      <c r="M280" t="n">
        <v>0</v>
      </c>
      <c r="N280" t="n">
        <v>0</v>
      </c>
      <c r="O280" t="n">
        <v>0</v>
      </c>
      <c r="P280" t="n">
        <v>0</v>
      </c>
      <c r="Q280" t="n">
        <v>2</v>
      </c>
      <c r="R280" s="2" t="inlineStr">
        <is>
          <t>Plattlummer
Nattviol</t>
        </is>
      </c>
      <c r="S280">
        <f>HYPERLINK("https://klasma.github.io/Logging_2161/artfynd/A 28727-2021 artfynd.xlsx", "A 28727-2021")</f>
        <v/>
      </c>
      <c r="T280">
        <f>HYPERLINK("https://klasma.github.io/Logging_2161/kartor/A 28727-2021 karta.png", "A 28727-2021")</f>
        <v/>
      </c>
      <c r="V280">
        <f>HYPERLINK("https://klasma.github.io/Logging_2161/klagomål/A 28727-2021 FSC-klagomål.docx", "A 28727-2021")</f>
        <v/>
      </c>
      <c r="W280">
        <f>HYPERLINK("https://klasma.github.io/Logging_2161/klagomålsmail/A 28727-2021 FSC-klagomål mail.docx", "A 28727-2021")</f>
        <v/>
      </c>
      <c r="X280">
        <f>HYPERLINK("https://klasma.github.io/Logging_2161/tillsyn/A 28727-2021 tillsynsbegäran.docx", "A 28727-2021")</f>
        <v/>
      </c>
      <c r="Y280">
        <f>HYPERLINK("https://klasma.github.io/Logging_2161/tillsynsmail/A 28727-2021 tillsynsbegäran mail.docx", "A 28727-2021")</f>
        <v/>
      </c>
    </row>
    <row r="281" ht="15" customHeight="1">
      <c r="A281" t="inlineStr">
        <is>
          <t>A 37642-2021</t>
        </is>
      </c>
      <c r="B281" s="1" t="n">
        <v>44400</v>
      </c>
      <c r="C281" s="1" t="n">
        <v>45677</v>
      </c>
      <c r="D281" t="inlineStr">
        <is>
          <t>GÄVLEBORGS LÄN</t>
        </is>
      </c>
      <c r="E281" t="inlineStr">
        <is>
          <t>LJUSDAL</t>
        </is>
      </c>
      <c r="F281" t="inlineStr">
        <is>
          <t>Sveaskog</t>
        </is>
      </c>
      <c r="G281" t="n">
        <v>1.9</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37642-2021 artfynd.xlsx", "A 37642-2021")</f>
        <v/>
      </c>
      <c r="T281">
        <f>HYPERLINK("https://klasma.github.io/Logging_2161/kartor/A 37642-2021 karta.png", "A 37642-2021")</f>
        <v/>
      </c>
      <c r="U281">
        <f>HYPERLINK("https://klasma.github.io/Logging_2161/knärot/A 37642-2021 karta knärot.png", "A 37642-2021")</f>
        <v/>
      </c>
      <c r="V281">
        <f>HYPERLINK("https://klasma.github.io/Logging_2161/klagomål/A 37642-2021 FSC-klagomål.docx", "A 37642-2021")</f>
        <v/>
      </c>
      <c r="W281">
        <f>HYPERLINK("https://klasma.github.io/Logging_2161/klagomålsmail/A 37642-2021 FSC-klagomål mail.docx", "A 37642-2021")</f>
        <v/>
      </c>
      <c r="X281">
        <f>HYPERLINK("https://klasma.github.io/Logging_2161/tillsyn/A 37642-2021 tillsynsbegäran.docx", "A 37642-2021")</f>
        <v/>
      </c>
      <c r="Y281">
        <f>HYPERLINK("https://klasma.github.io/Logging_2161/tillsynsmail/A 37642-2021 tillsynsbegäran mail.docx", "A 37642-2021")</f>
        <v/>
      </c>
    </row>
    <row r="282" ht="15" customHeight="1">
      <c r="A282" t="inlineStr">
        <is>
          <t>A 39528-2021</t>
        </is>
      </c>
      <c r="B282" s="1" t="n">
        <v>44415</v>
      </c>
      <c r="C282" s="1" t="n">
        <v>45677</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44692-2021</t>
        </is>
      </c>
      <c r="B283" s="1" t="n">
        <v>44438</v>
      </c>
      <c r="C283" s="1" t="n">
        <v>45677</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45677</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45677</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45677</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45677</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45677</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45677</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45677</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45677</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45677</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45677</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45677</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45677</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45677</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45677</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45677</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54108-2022</t>
        </is>
      </c>
      <c r="B299" s="1" t="n">
        <v>44881</v>
      </c>
      <c r="C299" s="1" t="n">
        <v>45677</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56538-2022</t>
        </is>
      </c>
      <c r="B300" s="1" t="n">
        <v>44887</v>
      </c>
      <c r="C300" s="1" t="n">
        <v>45677</v>
      </c>
      <c r="D300" t="inlineStr">
        <is>
          <t>GÄVLEBORGS LÄN</t>
        </is>
      </c>
      <c r="E300" t="inlineStr">
        <is>
          <t>GÄVLE</t>
        </is>
      </c>
      <c r="F300" t="inlineStr">
        <is>
          <t>Bergvik skog väst AB</t>
        </is>
      </c>
      <c r="G300" t="n">
        <v>2.1</v>
      </c>
      <c r="H300" t="n">
        <v>1</v>
      </c>
      <c r="I300" t="n">
        <v>1</v>
      </c>
      <c r="J300" t="n">
        <v>0</v>
      </c>
      <c r="K300" t="n">
        <v>0</v>
      </c>
      <c r="L300" t="n">
        <v>0</v>
      </c>
      <c r="M300" t="n">
        <v>0</v>
      </c>
      <c r="N300" t="n">
        <v>0</v>
      </c>
      <c r="O300" t="n">
        <v>0</v>
      </c>
      <c r="P300" t="n">
        <v>0</v>
      </c>
      <c r="Q300" t="n">
        <v>2</v>
      </c>
      <c r="R300" s="2" t="inlineStr">
        <is>
          <t>Dropptaggsvamp
Blåsippa</t>
        </is>
      </c>
      <c r="S300">
        <f>HYPERLINK("https://klasma.github.io/Logging_2180/artfynd/A 56538-2022 artfynd.xlsx", "A 56538-2022")</f>
        <v/>
      </c>
      <c r="T300">
        <f>HYPERLINK("https://klasma.github.io/Logging_2180/kartor/A 56538-2022 karta.png", "A 56538-2022")</f>
        <v/>
      </c>
      <c r="V300">
        <f>HYPERLINK("https://klasma.github.io/Logging_2180/klagomål/A 56538-2022 FSC-klagomål.docx", "A 56538-2022")</f>
        <v/>
      </c>
      <c r="W300">
        <f>HYPERLINK("https://klasma.github.io/Logging_2180/klagomålsmail/A 56538-2022 FSC-klagomål mail.docx", "A 56538-2022")</f>
        <v/>
      </c>
      <c r="X300">
        <f>HYPERLINK("https://klasma.github.io/Logging_2180/tillsyn/A 56538-2022 tillsynsbegäran.docx", "A 56538-2022")</f>
        <v/>
      </c>
      <c r="Y300">
        <f>HYPERLINK("https://klasma.github.io/Logging_2180/tillsynsmail/A 56538-2022 tillsynsbegäran mail.docx", "A 56538-2022")</f>
        <v/>
      </c>
    </row>
    <row r="301" ht="15" customHeight="1">
      <c r="A301" t="inlineStr">
        <is>
          <t>A 7608-2023</t>
        </is>
      </c>
      <c r="B301" s="1" t="n">
        <v>44972</v>
      </c>
      <c r="C301" s="1" t="n">
        <v>45677</v>
      </c>
      <c r="D301" t="inlineStr">
        <is>
          <t>GÄVLEBORGS LÄN</t>
        </is>
      </c>
      <c r="E301" t="inlineStr">
        <is>
          <t>NORDANSTIG</t>
        </is>
      </c>
      <c r="F301" t="inlineStr">
        <is>
          <t>Holmen skog AB</t>
        </is>
      </c>
      <c r="G301" t="n">
        <v>13</v>
      </c>
      <c r="H301" t="n">
        <v>0</v>
      </c>
      <c r="I301" t="n">
        <v>1</v>
      </c>
      <c r="J301" t="n">
        <v>1</v>
      </c>
      <c r="K301" t="n">
        <v>0</v>
      </c>
      <c r="L301" t="n">
        <v>0</v>
      </c>
      <c r="M301" t="n">
        <v>0</v>
      </c>
      <c r="N301" t="n">
        <v>0</v>
      </c>
      <c r="O301" t="n">
        <v>1</v>
      </c>
      <c r="P301" t="n">
        <v>0</v>
      </c>
      <c r="Q301" t="n">
        <v>2</v>
      </c>
      <c r="R301" s="2" t="inlineStr">
        <is>
          <t>Tallticka
Mindre märgborre</t>
        </is>
      </c>
      <c r="S301">
        <f>HYPERLINK("https://klasma.github.io/Logging_2132/artfynd/A 7608-2023 artfynd.xlsx", "A 7608-2023")</f>
        <v/>
      </c>
      <c r="T301">
        <f>HYPERLINK("https://klasma.github.io/Logging_2132/kartor/A 7608-2023 karta.png", "A 7608-2023")</f>
        <v/>
      </c>
      <c r="V301">
        <f>HYPERLINK("https://klasma.github.io/Logging_2132/klagomål/A 7608-2023 FSC-klagomål.docx", "A 7608-2023")</f>
        <v/>
      </c>
      <c r="W301">
        <f>HYPERLINK("https://klasma.github.io/Logging_2132/klagomålsmail/A 7608-2023 FSC-klagomål mail.docx", "A 7608-2023")</f>
        <v/>
      </c>
      <c r="X301">
        <f>HYPERLINK("https://klasma.github.io/Logging_2132/tillsyn/A 7608-2023 tillsynsbegäran.docx", "A 7608-2023")</f>
        <v/>
      </c>
      <c r="Y301">
        <f>HYPERLINK("https://klasma.github.io/Logging_2132/tillsynsmail/A 7608-2023 tillsynsbegäran mail.docx", "A 7608-2023")</f>
        <v/>
      </c>
    </row>
    <row r="302" ht="15" customHeight="1">
      <c r="A302" t="inlineStr">
        <is>
          <t>A 10637-2023</t>
        </is>
      </c>
      <c r="B302" s="1" t="n">
        <v>44988</v>
      </c>
      <c r="C302" s="1" t="n">
        <v>45677</v>
      </c>
      <c r="D302" t="inlineStr">
        <is>
          <t>GÄVLEBORGS LÄN</t>
        </is>
      </c>
      <c r="E302" t="inlineStr">
        <is>
          <t>LJUSDAL</t>
        </is>
      </c>
      <c r="G302" t="n">
        <v>8.9</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10637-2023 artfynd.xlsx", "A 10637-2023")</f>
        <v/>
      </c>
      <c r="T302">
        <f>HYPERLINK("https://klasma.github.io/Logging_2161/kartor/A 10637-2023 karta.png", "A 10637-2023")</f>
        <v/>
      </c>
      <c r="V302">
        <f>HYPERLINK("https://klasma.github.io/Logging_2161/klagomål/A 10637-2023 FSC-klagomål.docx", "A 10637-2023")</f>
        <v/>
      </c>
      <c r="W302">
        <f>HYPERLINK("https://klasma.github.io/Logging_2161/klagomålsmail/A 10637-2023 FSC-klagomål mail.docx", "A 10637-2023")</f>
        <v/>
      </c>
      <c r="X302">
        <f>HYPERLINK("https://klasma.github.io/Logging_2161/tillsyn/A 10637-2023 tillsynsbegäran.docx", "A 10637-2023")</f>
        <v/>
      </c>
      <c r="Y302">
        <f>HYPERLINK("https://klasma.github.io/Logging_2161/tillsynsmail/A 10637-2023 tillsynsbegäran mail.docx", "A 10637-2023")</f>
        <v/>
      </c>
    </row>
    <row r="303" ht="15" customHeight="1">
      <c r="A303" t="inlineStr">
        <is>
          <t>A 15365-2023</t>
        </is>
      </c>
      <c r="B303" s="1" t="n">
        <v>45019</v>
      </c>
      <c r="C303" s="1" t="n">
        <v>45677</v>
      </c>
      <c r="D303" t="inlineStr">
        <is>
          <t>GÄVLEBORGS LÄN</t>
        </is>
      </c>
      <c r="E303" t="inlineStr">
        <is>
          <t>GÄVLE</t>
        </is>
      </c>
      <c r="G303" t="n">
        <v>55.2</v>
      </c>
      <c r="H303" t="n">
        <v>2</v>
      </c>
      <c r="I303" t="n">
        <v>0</v>
      </c>
      <c r="J303" t="n">
        <v>0</v>
      </c>
      <c r="K303" t="n">
        <v>1</v>
      </c>
      <c r="L303" t="n">
        <v>0</v>
      </c>
      <c r="M303" t="n">
        <v>0</v>
      </c>
      <c r="N303" t="n">
        <v>0</v>
      </c>
      <c r="O303" t="n">
        <v>1</v>
      </c>
      <c r="P303" t="n">
        <v>1</v>
      </c>
      <c r="Q303" t="n">
        <v>2</v>
      </c>
      <c r="R303" s="2" t="inlineStr">
        <is>
          <t>Knärot
Kopparödla</t>
        </is>
      </c>
      <c r="S303">
        <f>HYPERLINK("https://klasma.github.io/Logging_2180/artfynd/A 15365-2023 artfynd.xlsx", "A 15365-2023")</f>
        <v/>
      </c>
      <c r="T303">
        <f>HYPERLINK("https://klasma.github.io/Logging_2180/kartor/A 15365-2023 karta.png", "A 15365-2023")</f>
        <v/>
      </c>
      <c r="U303">
        <f>HYPERLINK("https://klasma.github.io/Logging_2180/knärot/A 15365-2023 karta knärot.png", "A 15365-2023")</f>
        <v/>
      </c>
      <c r="V303">
        <f>HYPERLINK("https://klasma.github.io/Logging_2180/klagomål/A 15365-2023 FSC-klagomål.docx", "A 15365-2023")</f>
        <v/>
      </c>
      <c r="W303">
        <f>HYPERLINK("https://klasma.github.io/Logging_2180/klagomålsmail/A 15365-2023 FSC-klagomål mail.docx", "A 15365-2023")</f>
        <v/>
      </c>
      <c r="X303">
        <f>HYPERLINK("https://klasma.github.io/Logging_2180/tillsyn/A 15365-2023 tillsynsbegäran.docx", "A 15365-2023")</f>
        <v/>
      </c>
      <c r="Y303">
        <f>HYPERLINK("https://klasma.github.io/Logging_2180/tillsynsmail/A 15365-2023 tillsynsbegäran mail.docx", "A 15365-2023")</f>
        <v/>
      </c>
    </row>
    <row r="304" ht="15" customHeight="1">
      <c r="A304" t="inlineStr">
        <is>
          <t>A 15573-2023</t>
        </is>
      </c>
      <c r="B304" s="1" t="n">
        <v>45020</v>
      </c>
      <c r="C304" s="1" t="n">
        <v>45677</v>
      </c>
      <c r="D304" t="inlineStr">
        <is>
          <t>GÄVLEBORGS LÄN</t>
        </is>
      </c>
      <c r="E304" t="inlineStr">
        <is>
          <t>SANDVIKEN</t>
        </is>
      </c>
      <c r="G304" t="n">
        <v>1.5</v>
      </c>
      <c r="H304" t="n">
        <v>1</v>
      </c>
      <c r="I304" t="n">
        <v>1</v>
      </c>
      <c r="J304" t="n">
        <v>0</v>
      </c>
      <c r="K304" t="n">
        <v>1</v>
      </c>
      <c r="L304" t="n">
        <v>0</v>
      </c>
      <c r="M304" t="n">
        <v>0</v>
      </c>
      <c r="N304" t="n">
        <v>0</v>
      </c>
      <c r="O304" t="n">
        <v>1</v>
      </c>
      <c r="P304" t="n">
        <v>1</v>
      </c>
      <c r="Q304" t="n">
        <v>2</v>
      </c>
      <c r="R304" s="2" t="inlineStr">
        <is>
          <t>Knärot
Grönpyrola</t>
        </is>
      </c>
      <c r="S304">
        <f>HYPERLINK("https://klasma.github.io/Logging_2181/artfynd/A 15573-2023 artfynd.xlsx", "A 15573-2023")</f>
        <v/>
      </c>
      <c r="T304">
        <f>HYPERLINK("https://klasma.github.io/Logging_2181/kartor/A 15573-2023 karta.png", "A 15573-2023")</f>
        <v/>
      </c>
      <c r="U304">
        <f>HYPERLINK("https://klasma.github.io/Logging_2181/knärot/A 15573-2023 karta knärot.png", "A 15573-2023")</f>
        <v/>
      </c>
      <c r="V304">
        <f>HYPERLINK("https://klasma.github.io/Logging_2181/klagomål/A 15573-2023 FSC-klagomål.docx", "A 15573-2023")</f>
        <v/>
      </c>
      <c r="W304">
        <f>HYPERLINK("https://klasma.github.io/Logging_2181/klagomålsmail/A 15573-2023 FSC-klagomål mail.docx", "A 15573-2023")</f>
        <v/>
      </c>
      <c r="X304">
        <f>HYPERLINK("https://klasma.github.io/Logging_2181/tillsyn/A 15573-2023 tillsynsbegäran.docx", "A 15573-2023")</f>
        <v/>
      </c>
      <c r="Y304">
        <f>HYPERLINK("https://klasma.github.io/Logging_2181/tillsynsmail/A 15573-2023 tillsynsbegäran mail.docx", "A 15573-2023")</f>
        <v/>
      </c>
    </row>
    <row r="305" ht="15" customHeight="1">
      <c r="A305" t="inlineStr">
        <is>
          <t>A 16499-2023</t>
        </is>
      </c>
      <c r="B305" s="1" t="n">
        <v>45029</v>
      </c>
      <c r="C305" s="1" t="n">
        <v>45677</v>
      </c>
      <c r="D305" t="inlineStr">
        <is>
          <t>GÄVLEBORGS LÄN</t>
        </is>
      </c>
      <c r="E305" t="inlineStr">
        <is>
          <t>GÄVLE</t>
        </is>
      </c>
      <c r="F305" t="inlineStr">
        <is>
          <t>Bergvik skog öst AB</t>
        </is>
      </c>
      <c r="G305" t="n">
        <v>41.8</v>
      </c>
      <c r="H305" t="n">
        <v>1</v>
      </c>
      <c r="I305" t="n">
        <v>1</v>
      </c>
      <c r="J305" t="n">
        <v>0</v>
      </c>
      <c r="K305" t="n">
        <v>0</v>
      </c>
      <c r="L305" t="n">
        <v>1</v>
      </c>
      <c r="M305" t="n">
        <v>0</v>
      </c>
      <c r="N305" t="n">
        <v>0</v>
      </c>
      <c r="O305" t="n">
        <v>1</v>
      </c>
      <c r="P305" t="n">
        <v>1</v>
      </c>
      <c r="Q305" t="n">
        <v>2</v>
      </c>
      <c r="R305" s="2" t="inlineStr">
        <is>
          <t>Bredgentiana
Granbräken</t>
        </is>
      </c>
      <c r="S305">
        <f>HYPERLINK("https://klasma.github.io/Logging_2180/artfynd/A 16499-2023 artfynd.xlsx", "A 16499-2023")</f>
        <v/>
      </c>
      <c r="T305">
        <f>HYPERLINK("https://klasma.github.io/Logging_2180/kartor/A 16499-2023 karta.png", "A 16499-2023")</f>
        <v/>
      </c>
      <c r="V305">
        <f>HYPERLINK("https://klasma.github.io/Logging_2180/klagomål/A 16499-2023 FSC-klagomål.docx", "A 16499-2023")</f>
        <v/>
      </c>
      <c r="W305">
        <f>HYPERLINK("https://klasma.github.io/Logging_2180/klagomålsmail/A 16499-2023 FSC-klagomål mail.docx", "A 16499-2023")</f>
        <v/>
      </c>
      <c r="X305">
        <f>HYPERLINK("https://klasma.github.io/Logging_2180/tillsyn/A 16499-2023 tillsynsbegäran.docx", "A 16499-2023")</f>
        <v/>
      </c>
      <c r="Y305">
        <f>HYPERLINK("https://klasma.github.io/Logging_2180/tillsynsmail/A 16499-2023 tillsynsbegäran mail.docx", "A 16499-2023")</f>
        <v/>
      </c>
    </row>
    <row r="306" ht="15" customHeight="1">
      <c r="A306" t="inlineStr">
        <is>
          <t>A 18332-2023</t>
        </is>
      </c>
      <c r="B306" s="1" t="n">
        <v>45041</v>
      </c>
      <c r="C306" s="1" t="n">
        <v>45677</v>
      </c>
      <c r="D306" t="inlineStr">
        <is>
          <t>GÄVLEBORGS LÄN</t>
        </is>
      </c>
      <c r="E306" t="inlineStr">
        <is>
          <t>GÄVLE</t>
        </is>
      </c>
      <c r="F306" t="inlineStr">
        <is>
          <t>Bergvik skog öst AB</t>
        </is>
      </c>
      <c r="G306" t="n">
        <v>16.1</v>
      </c>
      <c r="H306" t="n">
        <v>0</v>
      </c>
      <c r="I306" t="n">
        <v>0</v>
      </c>
      <c r="J306" t="n">
        <v>1</v>
      </c>
      <c r="K306" t="n">
        <v>0</v>
      </c>
      <c r="L306" t="n">
        <v>1</v>
      </c>
      <c r="M306" t="n">
        <v>0</v>
      </c>
      <c r="N306" t="n">
        <v>0</v>
      </c>
      <c r="O306" t="n">
        <v>2</v>
      </c>
      <c r="P306" t="n">
        <v>1</v>
      </c>
      <c r="Q306" t="n">
        <v>2</v>
      </c>
      <c r="R306" s="2" t="inlineStr">
        <is>
          <t>Ryl
Skogsklocka</t>
        </is>
      </c>
      <c r="S306">
        <f>HYPERLINK("https://klasma.github.io/Logging_2180/artfynd/A 18332-2023 artfynd.xlsx", "A 18332-2023")</f>
        <v/>
      </c>
      <c r="T306">
        <f>HYPERLINK("https://klasma.github.io/Logging_2180/kartor/A 18332-2023 karta.png", "A 18332-2023")</f>
        <v/>
      </c>
      <c r="V306">
        <f>HYPERLINK("https://klasma.github.io/Logging_2180/klagomål/A 18332-2023 FSC-klagomål.docx", "A 18332-2023")</f>
        <v/>
      </c>
      <c r="W306">
        <f>HYPERLINK("https://klasma.github.io/Logging_2180/klagomålsmail/A 18332-2023 FSC-klagomål mail.docx", "A 18332-2023")</f>
        <v/>
      </c>
      <c r="X306">
        <f>HYPERLINK("https://klasma.github.io/Logging_2180/tillsyn/A 18332-2023 tillsynsbegäran.docx", "A 18332-2023")</f>
        <v/>
      </c>
      <c r="Y306">
        <f>HYPERLINK("https://klasma.github.io/Logging_2180/tillsynsmail/A 18332-2023 tillsynsbegäran mail.docx", "A 18332-2023")</f>
        <v/>
      </c>
    </row>
    <row r="307" ht="15" customHeight="1">
      <c r="A307" t="inlineStr">
        <is>
          <t>A 19549-2023</t>
        </is>
      </c>
      <c r="B307" s="1" t="n">
        <v>45050</v>
      </c>
      <c r="C307" s="1" t="n">
        <v>45677</v>
      </c>
      <c r="D307" t="inlineStr">
        <is>
          <t>GÄVLEBORGS LÄN</t>
        </is>
      </c>
      <c r="E307" t="inlineStr">
        <is>
          <t>HOFORS</t>
        </is>
      </c>
      <c r="G307" t="n">
        <v>3.2</v>
      </c>
      <c r="H307" t="n">
        <v>1</v>
      </c>
      <c r="I307" t="n">
        <v>1</v>
      </c>
      <c r="J307" t="n">
        <v>0</v>
      </c>
      <c r="K307" t="n">
        <v>0</v>
      </c>
      <c r="L307" t="n">
        <v>0</v>
      </c>
      <c r="M307" t="n">
        <v>0</v>
      </c>
      <c r="N307" t="n">
        <v>0</v>
      </c>
      <c r="O307" t="n">
        <v>0</v>
      </c>
      <c r="P307" t="n">
        <v>0</v>
      </c>
      <c r="Q307" t="n">
        <v>2</v>
      </c>
      <c r="R307" s="2" t="inlineStr">
        <is>
          <t>Svavelriska
Blåsippa</t>
        </is>
      </c>
      <c r="S307">
        <f>HYPERLINK("https://klasma.github.io/Logging_2104/artfynd/A 19549-2023 artfynd.xlsx", "A 19549-2023")</f>
        <v/>
      </c>
      <c r="T307">
        <f>HYPERLINK("https://klasma.github.io/Logging_2104/kartor/A 19549-2023 karta.png", "A 19549-2023")</f>
        <v/>
      </c>
      <c r="V307">
        <f>HYPERLINK("https://klasma.github.io/Logging_2104/klagomål/A 19549-2023 FSC-klagomål.docx", "A 19549-2023")</f>
        <v/>
      </c>
      <c r="W307">
        <f>HYPERLINK("https://klasma.github.io/Logging_2104/klagomålsmail/A 19549-2023 FSC-klagomål mail.docx", "A 19549-2023")</f>
        <v/>
      </c>
      <c r="X307">
        <f>HYPERLINK("https://klasma.github.io/Logging_2104/tillsyn/A 19549-2023 tillsynsbegäran.docx", "A 19549-2023")</f>
        <v/>
      </c>
      <c r="Y307">
        <f>HYPERLINK("https://klasma.github.io/Logging_2104/tillsynsmail/A 19549-2023 tillsynsbegäran mail.docx", "A 19549-2023")</f>
        <v/>
      </c>
    </row>
    <row r="308" ht="15" customHeight="1">
      <c r="A308" t="inlineStr">
        <is>
          <t>A 20232-2023</t>
        </is>
      </c>
      <c r="B308" s="1" t="n">
        <v>45055</v>
      </c>
      <c r="C308" s="1" t="n">
        <v>45677</v>
      </c>
      <c r="D308" t="inlineStr">
        <is>
          <t>GÄVLEBORGS LÄN</t>
        </is>
      </c>
      <c r="E308" t="inlineStr">
        <is>
          <t>GÄVLE</t>
        </is>
      </c>
      <c r="F308" t="inlineStr">
        <is>
          <t>Bergvik skog öst AB</t>
        </is>
      </c>
      <c r="G308" t="n">
        <v>12.7</v>
      </c>
      <c r="H308" t="n">
        <v>2</v>
      </c>
      <c r="I308" t="n">
        <v>0</v>
      </c>
      <c r="J308" t="n">
        <v>0</v>
      </c>
      <c r="K308" t="n">
        <v>1</v>
      </c>
      <c r="L308" t="n">
        <v>0</v>
      </c>
      <c r="M308" t="n">
        <v>0</v>
      </c>
      <c r="N308" t="n">
        <v>0</v>
      </c>
      <c r="O308" t="n">
        <v>1</v>
      </c>
      <c r="P308" t="n">
        <v>1</v>
      </c>
      <c r="Q308" t="n">
        <v>2</v>
      </c>
      <c r="R308" s="2" t="inlineStr">
        <is>
          <t>Stor låsbräken
Sparvuggla</t>
        </is>
      </c>
      <c r="S308">
        <f>HYPERLINK("https://klasma.github.io/Logging_2180/artfynd/A 20232-2023 artfynd.xlsx", "A 20232-2023")</f>
        <v/>
      </c>
      <c r="T308">
        <f>HYPERLINK("https://klasma.github.io/Logging_2180/kartor/A 20232-2023 karta.png", "A 20232-2023")</f>
        <v/>
      </c>
      <c r="V308">
        <f>HYPERLINK("https://klasma.github.io/Logging_2180/klagomål/A 20232-2023 FSC-klagomål.docx", "A 20232-2023")</f>
        <v/>
      </c>
      <c r="W308">
        <f>HYPERLINK("https://klasma.github.io/Logging_2180/klagomålsmail/A 20232-2023 FSC-klagomål mail.docx", "A 20232-2023")</f>
        <v/>
      </c>
      <c r="X308">
        <f>HYPERLINK("https://klasma.github.io/Logging_2180/tillsyn/A 20232-2023 tillsynsbegäran.docx", "A 20232-2023")</f>
        <v/>
      </c>
      <c r="Y308">
        <f>HYPERLINK("https://klasma.github.io/Logging_2180/tillsynsmail/A 20232-2023 tillsynsbegäran mail.docx", "A 20232-2023")</f>
        <v/>
      </c>
      <c r="Z308">
        <f>HYPERLINK("https://klasma.github.io/Logging_2180/fåglar/A 20232-2023 prioriterade fågelarter.docx", "A 20232-2023")</f>
        <v/>
      </c>
    </row>
    <row r="309" ht="15" customHeight="1">
      <c r="A309" t="inlineStr">
        <is>
          <t>A 20710-2023</t>
        </is>
      </c>
      <c r="B309" s="1" t="n">
        <v>45058</v>
      </c>
      <c r="C309" s="1" t="n">
        <v>45677</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21956-2023</t>
        </is>
      </c>
      <c r="B310" s="1" t="n">
        <v>45068</v>
      </c>
      <c r="C310" s="1" t="n">
        <v>45677</v>
      </c>
      <c r="D310" t="inlineStr">
        <is>
          <t>GÄVLEBORGS LÄN</t>
        </is>
      </c>
      <c r="E310" t="inlineStr">
        <is>
          <t>OCKELBO</t>
        </is>
      </c>
      <c r="F310" t="inlineStr">
        <is>
          <t>Bergvik skog väst AB</t>
        </is>
      </c>
      <c r="G310" t="n">
        <v>12.2</v>
      </c>
      <c r="H310" t="n">
        <v>1</v>
      </c>
      <c r="I310" t="n">
        <v>1</v>
      </c>
      <c r="J310" t="n">
        <v>0</v>
      </c>
      <c r="K310" t="n">
        <v>0</v>
      </c>
      <c r="L310" t="n">
        <v>0</v>
      </c>
      <c r="M310" t="n">
        <v>0</v>
      </c>
      <c r="N310" t="n">
        <v>0</v>
      </c>
      <c r="O310" t="n">
        <v>0</v>
      </c>
      <c r="P310" t="n">
        <v>0</v>
      </c>
      <c r="Q310" t="n">
        <v>2</v>
      </c>
      <c r="R310" s="2" t="inlineStr">
        <is>
          <t>Grönpyrola
Mattlummer</t>
        </is>
      </c>
      <c r="S310">
        <f>HYPERLINK("https://klasma.github.io/Logging_2101/artfynd/A 21956-2023 artfynd.xlsx", "A 21956-2023")</f>
        <v/>
      </c>
      <c r="T310">
        <f>HYPERLINK("https://klasma.github.io/Logging_2101/kartor/A 21956-2023 karta.png", "A 21956-2023")</f>
        <v/>
      </c>
      <c r="V310">
        <f>HYPERLINK("https://klasma.github.io/Logging_2101/klagomål/A 21956-2023 FSC-klagomål.docx", "A 21956-2023")</f>
        <v/>
      </c>
      <c r="W310">
        <f>HYPERLINK("https://klasma.github.io/Logging_2101/klagomålsmail/A 21956-2023 FSC-klagomål mail.docx", "A 21956-2023")</f>
        <v/>
      </c>
      <c r="X310">
        <f>HYPERLINK("https://klasma.github.io/Logging_2101/tillsyn/A 21956-2023 tillsynsbegäran.docx", "A 21956-2023")</f>
        <v/>
      </c>
      <c r="Y310">
        <f>HYPERLINK("https://klasma.github.io/Logging_2101/tillsynsmail/A 21956-2023 tillsynsbegäran mail.docx", "A 21956-2023")</f>
        <v/>
      </c>
    </row>
    <row r="311" ht="15" customHeight="1">
      <c r="A311" t="inlineStr">
        <is>
          <t>A 23504-2023</t>
        </is>
      </c>
      <c r="B311" s="1" t="n">
        <v>45076</v>
      </c>
      <c r="C311" s="1" t="n">
        <v>45677</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23838-2023</t>
        </is>
      </c>
      <c r="B312" s="1" t="n">
        <v>45078</v>
      </c>
      <c r="C312" s="1" t="n">
        <v>45677</v>
      </c>
      <c r="D312" t="inlineStr">
        <is>
          <t>GÄVLEBORGS LÄN</t>
        </is>
      </c>
      <c r="E312" t="inlineStr">
        <is>
          <t>HUDIKSVALL</t>
        </is>
      </c>
      <c r="F312" t="inlineStr">
        <is>
          <t>Holmen skog AB</t>
        </is>
      </c>
      <c r="G312" t="n">
        <v>2.7</v>
      </c>
      <c r="H312" t="n">
        <v>0</v>
      </c>
      <c r="I312" t="n">
        <v>2</v>
      </c>
      <c r="J312" t="n">
        <v>0</v>
      </c>
      <c r="K312" t="n">
        <v>0</v>
      </c>
      <c r="L312" t="n">
        <v>0</v>
      </c>
      <c r="M312" t="n">
        <v>0</v>
      </c>
      <c r="N312" t="n">
        <v>0</v>
      </c>
      <c r="O312" t="n">
        <v>0</v>
      </c>
      <c r="P312" t="n">
        <v>0</v>
      </c>
      <c r="Q312" t="n">
        <v>2</v>
      </c>
      <c r="R312" s="2" t="inlineStr">
        <is>
          <t>Skinnlav
Stor aspticka</t>
        </is>
      </c>
      <c r="S312">
        <f>HYPERLINK("https://klasma.github.io/Logging_2184/artfynd/A 23838-2023 artfynd.xlsx", "A 23838-2023")</f>
        <v/>
      </c>
      <c r="T312">
        <f>HYPERLINK("https://klasma.github.io/Logging_2184/kartor/A 23838-2023 karta.png", "A 23838-2023")</f>
        <v/>
      </c>
      <c r="V312">
        <f>HYPERLINK("https://klasma.github.io/Logging_2184/klagomål/A 23838-2023 FSC-klagomål.docx", "A 23838-2023")</f>
        <v/>
      </c>
      <c r="W312">
        <f>HYPERLINK("https://klasma.github.io/Logging_2184/klagomålsmail/A 23838-2023 FSC-klagomål mail.docx", "A 23838-2023")</f>
        <v/>
      </c>
      <c r="X312">
        <f>HYPERLINK("https://klasma.github.io/Logging_2184/tillsyn/A 23838-2023 tillsynsbegäran.docx", "A 23838-2023")</f>
        <v/>
      </c>
      <c r="Y312">
        <f>HYPERLINK("https://klasma.github.io/Logging_2184/tillsynsmail/A 23838-2023 tillsynsbegäran mail.docx", "A 23838-2023")</f>
        <v/>
      </c>
    </row>
    <row r="313" ht="15" customHeight="1">
      <c r="A313" t="inlineStr">
        <is>
          <t>A 26325-2023</t>
        </is>
      </c>
      <c r="B313" s="1" t="n">
        <v>45091</v>
      </c>
      <c r="C313" s="1" t="n">
        <v>45677</v>
      </c>
      <c r="D313" t="inlineStr">
        <is>
          <t>GÄVLEBORGS LÄN</t>
        </is>
      </c>
      <c r="E313" t="inlineStr">
        <is>
          <t>NORDANSTIG</t>
        </is>
      </c>
      <c r="F313" t="inlineStr">
        <is>
          <t>Holmen skog AB</t>
        </is>
      </c>
      <c r="G313" t="n">
        <v>9.9</v>
      </c>
      <c r="H313" t="n">
        <v>0</v>
      </c>
      <c r="I313" t="n">
        <v>0</v>
      </c>
      <c r="J313" t="n">
        <v>1</v>
      </c>
      <c r="K313" t="n">
        <v>1</v>
      </c>
      <c r="L313" t="n">
        <v>0</v>
      </c>
      <c r="M313" t="n">
        <v>0</v>
      </c>
      <c r="N313" t="n">
        <v>0</v>
      </c>
      <c r="O313" t="n">
        <v>2</v>
      </c>
      <c r="P313" t="n">
        <v>1</v>
      </c>
      <c r="Q313" t="n">
        <v>2</v>
      </c>
      <c r="R313" s="2" t="inlineStr">
        <is>
          <t>Ringlav
Rosenticka</t>
        </is>
      </c>
      <c r="S313">
        <f>HYPERLINK("https://klasma.github.io/Logging_2132/artfynd/A 26325-2023 artfynd.xlsx", "A 26325-2023")</f>
        <v/>
      </c>
      <c r="T313">
        <f>HYPERLINK("https://klasma.github.io/Logging_2132/kartor/A 26325-2023 karta.png", "A 26325-2023")</f>
        <v/>
      </c>
      <c r="V313">
        <f>HYPERLINK("https://klasma.github.io/Logging_2132/klagomål/A 26325-2023 FSC-klagomål.docx", "A 26325-2023")</f>
        <v/>
      </c>
      <c r="W313">
        <f>HYPERLINK("https://klasma.github.io/Logging_2132/klagomålsmail/A 26325-2023 FSC-klagomål mail.docx", "A 26325-2023")</f>
        <v/>
      </c>
      <c r="X313">
        <f>HYPERLINK("https://klasma.github.io/Logging_2132/tillsyn/A 26325-2023 tillsynsbegäran.docx", "A 26325-2023")</f>
        <v/>
      </c>
      <c r="Y313">
        <f>HYPERLINK("https://klasma.github.io/Logging_2132/tillsynsmail/A 26325-2023 tillsynsbegäran mail.docx", "A 26325-2023")</f>
        <v/>
      </c>
    </row>
    <row r="314" ht="15" customHeight="1">
      <c r="A314" t="inlineStr">
        <is>
          <t>A 26487-2023</t>
        </is>
      </c>
      <c r="B314" s="1" t="n">
        <v>45092</v>
      </c>
      <c r="C314" s="1" t="n">
        <v>45677</v>
      </c>
      <c r="D314" t="inlineStr">
        <is>
          <t>GÄVLEBORGS LÄN</t>
        </is>
      </c>
      <c r="E314" t="inlineStr">
        <is>
          <t>LJUSDAL</t>
        </is>
      </c>
      <c r="F314" t="inlineStr">
        <is>
          <t>Sveaskog</t>
        </is>
      </c>
      <c r="G314" t="n">
        <v>11.2</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26487-2023 artfynd.xlsx", "A 26487-2023")</f>
        <v/>
      </c>
      <c r="T314">
        <f>HYPERLINK("https://klasma.github.io/Logging_2161/kartor/A 26487-2023 karta.png", "A 26487-2023")</f>
        <v/>
      </c>
      <c r="V314">
        <f>HYPERLINK("https://klasma.github.io/Logging_2161/klagomål/A 26487-2023 FSC-klagomål.docx", "A 26487-2023")</f>
        <v/>
      </c>
      <c r="W314">
        <f>HYPERLINK("https://klasma.github.io/Logging_2161/klagomålsmail/A 26487-2023 FSC-klagomål mail.docx", "A 26487-2023")</f>
        <v/>
      </c>
      <c r="X314">
        <f>HYPERLINK("https://klasma.github.io/Logging_2161/tillsyn/A 26487-2023 tillsynsbegäran.docx", "A 26487-2023")</f>
        <v/>
      </c>
      <c r="Y314">
        <f>HYPERLINK("https://klasma.github.io/Logging_2161/tillsynsmail/A 26487-2023 tillsynsbegäran mail.docx", "A 26487-2023")</f>
        <v/>
      </c>
    </row>
    <row r="315" ht="15" customHeight="1">
      <c r="A315" t="inlineStr">
        <is>
          <t>A 26522-2023</t>
        </is>
      </c>
      <c r="B315" s="1" t="n">
        <v>45092</v>
      </c>
      <c r="C315" s="1" t="n">
        <v>45677</v>
      </c>
      <c r="D315" t="inlineStr">
        <is>
          <t>GÄVLEBORGS LÄN</t>
        </is>
      </c>
      <c r="E315" t="inlineStr">
        <is>
          <t>BOLLNÄS</t>
        </is>
      </c>
      <c r="F315" t="inlineStr">
        <is>
          <t>Bergvik skog väst AB</t>
        </is>
      </c>
      <c r="G315" t="n">
        <v>8.6</v>
      </c>
      <c r="H315" t="n">
        <v>2</v>
      </c>
      <c r="I315" t="n">
        <v>0</v>
      </c>
      <c r="J315" t="n">
        <v>1</v>
      </c>
      <c r="K315" t="n">
        <v>0</v>
      </c>
      <c r="L315" t="n">
        <v>0</v>
      </c>
      <c r="M315" t="n">
        <v>0</v>
      </c>
      <c r="N315" t="n">
        <v>0</v>
      </c>
      <c r="O315" t="n">
        <v>1</v>
      </c>
      <c r="P315" t="n">
        <v>0</v>
      </c>
      <c r="Q315" t="n">
        <v>2</v>
      </c>
      <c r="R315" s="2" t="inlineStr">
        <is>
          <t>Smålom
Huggorm</t>
        </is>
      </c>
      <c r="S315">
        <f>HYPERLINK("https://klasma.github.io/Logging_2183/artfynd/A 26522-2023 artfynd.xlsx", "A 26522-2023")</f>
        <v/>
      </c>
      <c r="T315">
        <f>HYPERLINK("https://klasma.github.io/Logging_2183/kartor/A 26522-2023 karta.png", "A 26522-2023")</f>
        <v/>
      </c>
      <c r="V315">
        <f>HYPERLINK("https://klasma.github.io/Logging_2183/klagomål/A 26522-2023 FSC-klagomål.docx", "A 26522-2023")</f>
        <v/>
      </c>
      <c r="W315">
        <f>HYPERLINK("https://klasma.github.io/Logging_2183/klagomålsmail/A 26522-2023 FSC-klagomål mail.docx", "A 26522-2023")</f>
        <v/>
      </c>
      <c r="X315">
        <f>HYPERLINK("https://klasma.github.io/Logging_2183/tillsyn/A 26522-2023 tillsynsbegäran.docx", "A 26522-2023")</f>
        <v/>
      </c>
      <c r="Y315">
        <f>HYPERLINK("https://klasma.github.io/Logging_2183/tillsynsmail/A 26522-2023 tillsynsbegäran mail.docx", "A 26522-2023")</f>
        <v/>
      </c>
      <c r="Z315">
        <f>HYPERLINK("https://klasma.github.io/Logging_2183/fåglar/A 26522-2023 prioriterade fågelarter.docx", "A 26522-2023")</f>
        <v/>
      </c>
    </row>
    <row r="316" ht="15" customHeight="1">
      <c r="A316" t="inlineStr">
        <is>
          <t>A 30237-2023</t>
        </is>
      </c>
      <c r="B316" s="1" t="n">
        <v>45110</v>
      </c>
      <c r="C316" s="1" t="n">
        <v>45677</v>
      </c>
      <c r="D316" t="inlineStr">
        <is>
          <t>GÄVLEBORGS LÄN</t>
        </is>
      </c>
      <c r="E316" t="inlineStr">
        <is>
          <t>LJUSDAL</t>
        </is>
      </c>
      <c r="F316" t="inlineStr">
        <is>
          <t>Sveaskog</t>
        </is>
      </c>
      <c r="G316" t="n">
        <v>1.7</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30237-2023 artfynd.xlsx", "A 30237-2023")</f>
        <v/>
      </c>
      <c r="T316">
        <f>HYPERLINK("https://klasma.github.io/Logging_2161/kartor/A 30237-2023 karta.png", "A 30237-2023")</f>
        <v/>
      </c>
      <c r="V316">
        <f>HYPERLINK("https://klasma.github.io/Logging_2161/klagomål/A 30237-2023 FSC-klagomål.docx", "A 30237-2023")</f>
        <v/>
      </c>
      <c r="W316">
        <f>HYPERLINK("https://klasma.github.io/Logging_2161/klagomålsmail/A 30237-2023 FSC-klagomål mail.docx", "A 30237-2023")</f>
        <v/>
      </c>
      <c r="X316">
        <f>HYPERLINK("https://klasma.github.io/Logging_2161/tillsyn/A 30237-2023 tillsynsbegäran.docx", "A 30237-2023")</f>
        <v/>
      </c>
      <c r="Y316">
        <f>HYPERLINK("https://klasma.github.io/Logging_2161/tillsynsmail/A 30237-2023 tillsynsbegäran mail.docx", "A 30237-2023")</f>
        <v/>
      </c>
    </row>
    <row r="317" ht="15" customHeight="1">
      <c r="A317" t="inlineStr">
        <is>
          <t>A 31123-2023</t>
        </is>
      </c>
      <c r="B317" s="1" t="n">
        <v>45113</v>
      </c>
      <c r="C317" s="1" t="n">
        <v>45677</v>
      </c>
      <c r="D317" t="inlineStr">
        <is>
          <t>GÄVLEBORGS LÄN</t>
        </is>
      </c>
      <c r="E317" t="inlineStr">
        <is>
          <t>LJUSDAL</t>
        </is>
      </c>
      <c r="F317" t="inlineStr">
        <is>
          <t>Sveaskog</t>
        </is>
      </c>
      <c r="G317" t="n">
        <v>10.2</v>
      </c>
      <c r="H317" t="n">
        <v>0</v>
      </c>
      <c r="I317" t="n">
        <v>0</v>
      </c>
      <c r="J317" t="n">
        <v>1</v>
      </c>
      <c r="K317" t="n">
        <v>1</v>
      </c>
      <c r="L317" t="n">
        <v>0</v>
      </c>
      <c r="M317" t="n">
        <v>0</v>
      </c>
      <c r="N317" t="n">
        <v>0</v>
      </c>
      <c r="O317" t="n">
        <v>2</v>
      </c>
      <c r="P317" t="n">
        <v>1</v>
      </c>
      <c r="Q317" t="n">
        <v>2</v>
      </c>
      <c r="R317" s="2" t="inlineStr">
        <is>
          <t>Norsk näverlav
Kolflarnlav</t>
        </is>
      </c>
      <c r="S317">
        <f>HYPERLINK("https://klasma.github.io/Logging_2161/artfynd/A 31123-2023 artfynd.xlsx", "A 31123-2023")</f>
        <v/>
      </c>
      <c r="T317">
        <f>HYPERLINK("https://klasma.github.io/Logging_2161/kartor/A 31123-2023 karta.png", "A 31123-2023")</f>
        <v/>
      </c>
      <c r="V317">
        <f>HYPERLINK("https://klasma.github.io/Logging_2161/klagomål/A 31123-2023 FSC-klagomål.docx", "A 31123-2023")</f>
        <v/>
      </c>
      <c r="W317">
        <f>HYPERLINK("https://klasma.github.io/Logging_2161/klagomålsmail/A 31123-2023 FSC-klagomål mail.docx", "A 31123-2023")</f>
        <v/>
      </c>
      <c r="X317">
        <f>HYPERLINK("https://klasma.github.io/Logging_2161/tillsyn/A 31123-2023 tillsynsbegäran.docx", "A 31123-2023")</f>
        <v/>
      </c>
      <c r="Y317">
        <f>HYPERLINK("https://klasma.github.io/Logging_2161/tillsynsmail/A 31123-2023 tillsynsbegäran mail.docx", "A 31123-2023")</f>
        <v/>
      </c>
    </row>
    <row r="318" ht="15" customHeight="1">
      <c r="A318" t="inlineStr">
        <is>
          <t>A 31541-2023</t>
        </is>
      </c>
      <c r="B318" s="1" t="n">
        <v>45117</v>
      </c>
      <c r="C318" s="1" t="n">
        <v>45677</v>
      </c>
      <c r="D318" t="inlineStr">
        <is>
          <t>GÄVLEBORGS LÄN</t>
        </is>
      </c>
      <c r="E318" t="inlineStr">
        <is>
          <t>GÄVLE</t>
        </is>
      </c>
      <c r="F318" t="inlineStr">
        <is>
          <t>Bergvik skog väst AB</t>
        </is>
      </c>
      <c r="G318" t="n">
        <v>8.300000000000001</v>
      </c>
      <c r="H318" t="n">
        <v>1</v>
      </c>
      <c r="I318" t="n">
        <v>1</v>
      </c>
      <c r="J318" t="n">
        <v>0</v>
      </c>
      <c r="K318" t="n">
        <v>0</v>
      </c>
      <c r="L318" t="n">
        <v>0</v>
      </c>
      <c r="M318" t="n">
        <v>0</v>
      </c>
      <c r="N318" t="n">
        <v>0</v>
      </c>
      <c r="O318" t="n">
        <v>0</v>
      </c>
      <c r="P318" t="n">
        <v>0</v>
      </c>
      <c r="Q318" t="n">
        <v>2</v>
      </c>
      <c r="R318" s="2" t="inlineStr">
        <is>
          <t>Vårärt
Mattlummer</t>
        </is>
      </c>
      <c r="S318">
        <f>HYPERLINK("https://klasma.github.io/Logging_2180/artfynd/A 31541-2023 artfynd.xlsx", "A 31541-2023")</f>
        <v/>
      </c>
      <c r="T318">
        <f>HYPERLINK("https://klasma.github.io/Logging_2180/kartor/A 31541-2023 karta.png", "A 31541-2023")</f>
        <v/>
      </c>
      <c r="V318">
        <f>HYPERLINK("https://klasma.github.io/Logging_2180/klagomål/A 31541-2023 FSC-klagomål.docx", "A 31541-2023")</f>
        <v/>
      </c>
      <c r="W318">
        <f>HYPERLINK("https://klasma.github.io/Logging_2180/klagomålsmail/A 31541-2023 FSC-klagomål mail.docx", "A 31541-2023")</f>
        <v/>
      </c>
      <c r="X318">
        <f>HYPERLINK("https://klasma.github.io/Logging_2180/tillsyn/A 31541-2023 tillsynsbegäran.docx", "A 31541-2023")</f>
        <v/>
      </c>
      <c r="Y318">
        <f>HYPERLINK("https://klasma.github.io/Logging_2180/tillsynsmail/A 31541-2023 tillsynsbegäran mail.docx", "A 31541-2023")</f>
        <v/>
      </c>
    </row>
    <row r="319" ht="15" customHeight="1">
      <c r="A319" t="inlineStr">
        <is>
          <t>A 32502-2023</t>
        </is>
      </c>
      <c r="B319" s="1" t="n">
        <v>45121</v>
      </c>
      <c r="C319" s="1" t="n">
        <v>45677</v>
      </c>
      <c r="D319" t="inlineStr">
        <is>
          <t>GÄVLEBORGS LÄN</t>
        </is>
      </c>
      <c r="E319" t="inlineStr">
        <is>
          <t>LJUSDAL</t>
        </is>
      </c>
      <c r="F319" t="inlineStr">
        <is>
          <t>Sveaskog</t>
        </is>
      </c>
      <c r="G319" t="n">
        <v>9.199999999999999</v>
      </c>
      <c r="H319" t="n">
        <v>0</v>
      </c>
      <c r="I319" t="n">
        <v>1</v>
      </c>
      <c r="J319" t="n">
        <v>1</v>
      </c>
      <c r="K319" t="n">
        <v>0</v>
      </c>
      <c r="L319" t="n">
        <v>0</v>
      </c>
      <c r="M319" t="n">
        <v>0</v>
      </c>
      <c r="N319" t="n">
        <v>0</v>
      </c>
      <c r="O319" t="n">
        <v>1</v>
      </c>
      <c r="P319" t="n">
        <v>0</v>
      </c>
      <c r="Q319" t="n">
        <v>2</v>
      </c>
      <c r="R319" s="2" t="inlineStr">
        <is>
          <t>Garnlav
Dropptaggsvamp</t>
        </is>
      </c>
      <c r="S319">
        <f>HYPERLINK("https://klasma.github.io/Logging_2161/artfynd/A 32502-2023 artfynd.xlsx", "A 32502-2023")</f>
        <v/>
      </c>
      <c r="T319">
        <f>HYPERLINK("https://klasma.github.io/Logging_2161/kartor/A 32502-2023 karta.png", "A 32502-2023")</f>
        <v/>
      </c>
      <c r="V319">
        <f>HYPERLINK("https://klasma.github.io/Logging_2161/klagomål/A 32502-2023 FSC-klagomål.docx", "A 32502-2023")</f>
        <v/>
      </c>
      <c r="W319">
        <f>HYPERLINK("https://klasma.github.io/Logging_2161/klagomålsmail/A 32502-2023 FSC-klagomål mail.docx", "A 32502-2023")</f>
        <v/>
      </c>
      <c r="X319">
        <f>HYPERLINK("https://klasma.github.io/Logging_2161/tillsyn/A 32502-2023 tillsynsbegäran.docx", "A 32502-2023")</f>
        <v/>
      </c>
      <c r="Y319">
        <f>HYPERLINK("https://klasma.github.io/Logging_2161/tillsynsmail/A 32502-2023 tillsynsbegäran mail.docx", "A 32502-2023")</f>
        <v/>
      </c>
    </row>
    <row r="320" ht="15" customHeight="1">
      <c r="A320" t="inlineStr">
        <is>
          <t>A 36586-2023</t>
        </is>
      </c>
      <c r="B320" s="1" t="n">
        <v>45153</v>
      </c>
      <c r="C320" s="1" t="n">
        <v>45677</v>
      </c>
      <c r="D320" t="inlineStr">
        <is>
          <t>GÄVLEBORGS LÄN</t>
        </is>
      </c>
      <c r="E320" t="inlineStr">
        <is>
          <t>LJUSDAL</t>
        </is>
      </c>
      <c r="F320" t="inlineStr">
        <is>
          <t>Bergvik skog väst AB</t>
        </is>
      </c>
      <c r="G320" t="n">
        <v>27</v>
      </c>
      <c r="H320" t="n">
        <v>1</v>
      </c>
      <c r="I320" t="n">
        <v>0</v>
      </c>
      <c r="J320" t="n">
        <v>2</v>
      </c>
      <c r="K320" t="n">
        <v>0</v>
      </c>
      <c r="L320" t="n">
        <v>0</v>
      </c>
      <c r="M320" t="n">
        <v>0</v>
      </c>
      <c r="N320" t="n">
        <v>0</v>
      </c>
      <c r="O320" t="n">
        <v>2</v>
      </c>
      <c r="P320" t="n">
        <v>0</v>
      </c>
      <c r="Q320" t="n">
        <v>2</v>
      </c>
      <c r="R320" s="2" t="inlineStr">
        <is>
          <t>Lunglav
Tretåig hackspett</t>
        </is>
      </c>
      <c r="S320">
        <f>HYPERLINK("https://klasma.github.io/Logging_2161/artfynd/A 36586-2023 artfynd.xlsx", "A 36586-2023")</f>
        <v/>
      </c>
      <c r="T320">
        <f>HYPERLINK("https://klasma.github.io/Logging_2161/kartor/A 36586-2023 karta.png", "A 36586-2023")</f>
        <v/>
      </c>
      <c r="U320">
        <f>HYPERLINK("https://klasma.github.io/Logging_2161/knärot/A 36586-2023 karta knärot.png", "A 36586-2023")</f>
        <v/>
      </c>
      <c r="V320">
        <f>HYPERLINK("https://klasma.github.io/Logging_2161/klagomål/A 36586-2023 FSC-klagomål.docx", "A 36586-2023")</f>
        <v/>
      </c>
      <c r="W320">
        <f>HYPERLINK("https://klasma.github.io/Logging_2161/klagomålsmail/A 36586-2023 FSC-klagomål mail.docx", "A 36586-2023")</f>
        <v/>
      </c>
      <c r="X320">
        <f>HYPERLINK("https://klasma.github.io/Logging_2161/tillsyn/A 36586-2023 tillsynsbegäran.docx", "A 36586-2023")</f>
        <v/>
      </c>
      <c r="Y320">
        <f>HYPERLINK("https://klasma.github.io/Logging_2161/tillsynsmail/A 36586-2023 tillsynsbegäran mail.docx", "A 36586-2023")</f>
        <v/>
      </c>
      <c r="Z320">
        <f>HYPERLINK("https://klasma.github.io/Logging_2161/fåglar/A 36586-2023 prioriterade fågelarter.docx", "A 36586-2023")</f>
        <v/>
      </c>
    </row>
    <row r="321" ht="15" customHeight="1">
      <c r="A321" t="inlineStr">
        <is>
          <t>A 39002-2023</t>
        </is>
      </c>
      <c r="B321" s="1" t="n">
        <v>45163</v>
      </c>
      <c r="C321" s="1" t="n">
        <v>45677</v>
      </c>
      <c r="D321" t="inlineStr">
        <is>
          <t>GÄVLEBORGS LÄN</t>
        </is>
      </c>
      <c r="E321" t="inlineStr">
        <is>
          <t>HOFORS</t>
        </is>
      </c>
      <c r="F321" t="inlineStr">
        <is>
          <t>Sveaskog</t>
        </is>
      </c>
      <c r="G321" t="n">
        <v>2.5</v>
      </c>
      <c r="H321" t="n">
        <v>1</v>
      </c>
      <c r="I321" t="n">
        <v>1</v>
      </c>
      <c r="J321" t="n">
        <v>0</v>
      </c>
      <c r="K321" t="n">
        <v>0</v>
      </c>
      <c r="L321" t="n">
        <v>0</v>
      </c>
      <c r="M321" t="n">
        <v>0</v>
      </c>
      <c r="N321" t="n">
        <v>0</v>
      </c>
      <c r="O321" t="n">
        <v>0</v>
      </c>
      <c r="P321" t="n">
        <v>0</v>
      </c>
      <c r="Q321" t="n">
        <v>2</v>
      </c>
      <c r="R321" s="2" t="inlineStr">
        <is>
          <t>Gräsull
Blåsippa</t>
        </is>
      </c>
      <c r="S321">
        <f>HYPERLINK("https://klasma.github.io/Logging_2104/artfynd/A 39002-2023 artfynd.xlsx", "A 39002-2023")</f>
        <v/>
      </c>
      <c r="T321">
        <f>HYPERLINK("https://klasma.github.io/Logging_2104/kartor/A 39002-2023 karta.png", "A 39002-2023")</f>
        <v/>
      </c>
      <c r="V321">
        <f>HYPERLINK("https://klasma.github.io/Logging_2104/klagomål/A 39002-2023 FSC-klagomål.docx", "A 39002-2023")</f>
        <v/>
      </c>
      <c r="W321">
        <f>HYPERLINK("https://klasma.github.io/Logging_2104/klagomålsmail/A 39002-2023 FSC-klagomål mail.docx", "A 39002-2023")</f>
        <v/>
      </c>
      <c r="X321">
        <f>HYPERLINK("https://klasma.github.io/Logging_2104/tillsyn/A 39002-2023 tillsynsbegäran.docx", "A 39002-2023")</f>
        <v/>
      </c>
      <c r="Y321">
        <f>HYPERLINK("https://klasma.github.io/Logging_2104/tillsynsmail/A 39002-2023 tillsynsbegäran mail.docx", "A 39002-2023")</f>
        <v/>
      </c>
    </row>
    <row r="322" ht="15" customHeight="1">
      <c r="A322" t="inlineStr">
        <is>
          <t>A 40743-2023</t>
        </is>
      </c>
      <c r="B322" s="1" t="n">
        <v>45170</v>
      </c>
      <c r="C322" s="1" t="n">
        <v>45677</v>
      </c>
      <c r="D322" t="inlineStr">
        <is>
          <t>GÄVLEBORGS LÄN</t>
        </is>
      </c>
      <c r="E322" t="inlineStr">
        <is>
          <t>LJUSDAL</t>
        </is>
      </c>
      <c r="F322" t="inlineStr">
        <is>
          <t>Sveaskog</t>
        </is>
      </c>
      <c r="G322" t="n">
        <v>12.2</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40743-2023 artfynd.xlsx", "A 40743-2023")</f>
        <v/>
      </c>
      <c r="T322">
        <f>HYPERLINK("https://klasma.github.io/Logging_2161/kartor/A 40743-2023 karta.png", "A 40743-2023")</f>
        <v/>
      </c>
      <c r="V322">
        <f>HYPERLINK("https://klasma.github.io/Logging_2161/klagomål/A 40743-2023 FSC-klagomål.docx", "A 40743-2023")</f>
        <v/>
      </c>
      <c r="W322">
        <f>HYPERLINK("https://klasma.github.io/Logging_2161/klagomålsmail/A 40743-2023 FSC-klagomål mail.docx", "A 40743-2023")</f>
        <v/>
      </c>
      <c r="X322">
        <f>HYPERLINK("https://klasma.github.io/Logging_2161/tillsyn/A 40743-2023 tillsynsbegäran.docx", "A 40743-2023")</f>
        <v/>
      </c>
      <c r="Y322">
        <f>HYPERLINK("https://klasma.github.io/Logging_2161/tillsynsmail/A 40743-2023 tillsynsbegäran mail.docx", "A 40743-2023")</f>
        <v/>
      </c>
    </row>
    <row r="323" ht="15" customHeight="1">
      <c r="A323" t="inlineStr">
        <is>
          <t>A 41221-2023</t>
        </is>
      </c>
      <c r="B323" s="1" t="n">
        <v>45174</v>
      </c>
      <c r="C323" s="1" t="n">
        <v>45677</v>
      </c>
      <c r="D323" t="inlineStr">
        <is>
          <t>GÄVLEBORGS LÄN</t>
        </is>
      </c>
      <c r="E323" t="inlineStr">
        <is>
          <t>NORDANSTIG</t>
        </is>
      </c>
      <c r="F323" t="inlineStr">
        <is>
          <t>Holmen skog AB</t>
        </is>
      </c>
      <c r="G323" t="n">
        <v>13.1</v>
      </c>
      <c r="H323" t="n">
        <v>0</v>
      </c>
      <c r="I323" t="n">
        <v>1</v>
      </c>
      <c r="J323" t="n">
        <v>1</v>
      </c>
      <c r="K323" t="n">
        <v>0</v>
      </c>
      <c r="L323" t="n">
        <v>0</v>
      </c>
      <c r="M323" t="n">
        <v>0</v>
      </c>
      <c r="N323" t="n">
        <v>0</v>
      </c>
      <c r="O323" t="n">
        <v>1</v>
      </c>
      <c r="P323" t="n">
        <v>0</v>
      </c>
      <c r="Q323" t="n">
        <v>2</v>
      </c>
      <c r="R323" s="2" t="inlineStr">
        <is>
          <t>Lunglav
Dropptaggsvamp</t>
        </is>
      </c>
      <c r="S323">
        <f>HYPERLINK("https://klasma.github.io/Logging_2132/artfynd/A 41221-2023 artfynd.xlsx", "A 41221-2023")</f>
        <v/>
      </c>
      <c r="T323">
        <f>HYPERLINK("https://klasma.github.io/Logging_2132/kartor/A 41221-2023 karta.png", "A 41221-2023")</f>
        <v/>
      </c>
      <c r="V323">
        <f>HYPERLINK("https://klasma.github.io/Logging_2132/klagomål/A 41221-2023 FSC-klagomål.docx", "A 41221-2023")</f>
        <v/>
      </c>
      <c r="W323">
        <f>HYPERLINK("https://klasma.github.io/Logging_2132/klagomålsmail/A 41221-2023 FSC-klagomål mail.docx", "A 41221-2023")</f>
        <v/>
      </c>
      <c r="X323">
        <f>HYPERLINK("https://klasma.github.io/Logging_2132/tillsyn/A 41221-2023 tillsynsbegäran.docx", "A 41221-2023")</f>
        <v/>
      </c>
      <c r="Y323">
        <f>HYPERLINK("https://klasma.github.io/Logging_2132/tillsynsmail/A 41221-2023 tillsynsbegäran mail.docx", "A 41221-2023")</f>
        <v/>
      </c>
    </row>
    <row r="324" ht="15" customHeight="1">
      <c r="A324" t="inlineStr">
        <is>
          <t>A 42123-2023</t>
        </is>
      </c>
      <c r="B324" s="1" t="n">
        <v>45177</v>
      </c>
      <c r="C324" s="1" t="n">
        <v>45677</v>
      </c>
      <c r="D324" t="inlineStr">
        <is>
          <t>GÄVLEBORGS LÄN</t>
        </is>
      </c>
      <c r="E324" t="inlineStr">
        <is>
          <t>LJUSDAL</t>
        </is>
      </c>
      <c r="F324" t="inlineStr">
        <is>
          <t>Sveaskog</t>
        </is>
      </c>
      <c r="G324" t="n">
        <v>19.7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42123-2023 artfynd.xlsx", "A 42123-2023")</f>
        <v/>
      </c>
      <c r="T324">
        <f>HYPERLINK("https://klasma.github.io/Logging_2161/kartor/A 42123-2023 karta.png", "A 42123-2023")</f>
        <v/>
      </c>
      <c r="V324">
        <f>HYPERLINK("https://klasma.github.io/Logging_2161/klagomål/A 42123-2023 FSC-klagomål.docx", "A 42123-2023")</f>
        <v/>
      </c>
      <c r="W324">
        <f>HYPERLINK("https://klasma.github.io/Logging_2161/klagomålsmail/A 42123-2023 FSC-klagomål mail.docx", "A 42123-2023")</f>
        <v/>
      </c>
      <c r="X324">
        <f>HYPERLINK("https://klasma.github.io/Logging_2161/tillsyn/A 42123-2023 tillsynsbegäran.docx", "A 42123-2023")</f>
        <v/>
      </c>
      <c r="Y324">
        <f>HYPERLINK("https://klasma.github.io/Logging_2161/tillsynsmail/A 42123-2023 tillsynsbegäran mail.docx", "A 42123-2023")</f>
        <v/>
      </c>
    </row>
    <row r="325" ht="15" customHeight="1">
      <c r="A325" t="inlineStr">
        <is>
          <t>A 42056-2023</t>
        </is>
      </c>
      <c r="B325" s="1" t="n">
        <v>45177</v>
      </c>
      <c r="C325" s="1" t="n">
        <v>45677</v>
      </c>
      <c r="D325" t="inlineStr">
        <is>
          <t>GÄVLEBORGS LÄN</t>
        </is>
      </c>
      <c r="E325" t="inlineStr">
        <is>
          <t>OVANÅKER</t>
        </is>
      </c>
      <c r="G325" t="n">
        <v>14.7</v>
      </c>
      <c r="H325" t="n">
        <v>0</v>
      </c>
      <c r="I325" t="n">
        <v>1</v>
      </c>
      <c r="J325" t="n">
        <v>1</v>
      </c>
      <c r="K325" t="n">
        <v>0</v>
      </c>
      <c r="L325" t="n">
        <v>0</v>
      </c>
      <c r="M325" t="n">
        <v>0</v>
      </c>
      <c r="N325" t="n">
        <v>0</v>
      </c>
      <c r="O325" t="n">
        <v>1</v>
      </c>
      <c r="P325" t="n">
        <v>0</v>
      </c>
      <c r="Q325" t="n">
        <v>2</v>
      </c>
      <c r="R325" s="2" t="inlineStr">
        <is>
          <t>Lunglav
Korallblylav</t>
        </is>
      </c>
      <c r="S325">
        <f>HYPERLINK("https://klasma.github.io/Logging_2121/artfynd/A 42056-2023 artfynd.xlsx", "A 42056-2023")</f>
        <v/>
      </c>
      <c r="T325">
        <f>HYPERLINK("https://klasma.github.io/Logging_2121/kartor/A 42056-2023 karta.png", "A 42056-2023")</f>
        <v/>
      </c>
      <c r="V325">
        <f>HYPERLINK("https://klasma.github.io/Logging_2121/klagomål/A 42056-2023 FSC-klagomål.docx", "A 42056-2023")</f>
        <v/>
      </c>
      <c r="W325">
        <f>HYPERLINK("https://klasma.github.io/Logging_2121/klagomålsmail/A 42056-2023 FSC-klagomål mail.docx", "A 42056-2023")</f>
        <v/>
      </c>
      <c r="X325">
        <f>HYPERLINK("https://klasma.github.io/Logging_2121/tillsyn/A 42056-2023 tillsynsbegäran.docx", "A 42056-2023")</f>
        <v/>
      </c>
      <c r="Y325">
        <f>HYPERLINK("https://klasma.github.io/Logging_2121/tillsynsmail/A 42056-2023 tillsynsbegäran mail.docx", "A 42056-2023")</f>
        <v/>
      </c>
    </row>
    <row r="326" ht="15" customHeight="1">
      <c r="A326" t="inlineStr">
        <is>
          <t>A 43723-2023</t>
        </is>
      </c>
      <c r="B326" s="1" t="n">
        <v>45187</v>
      </c>
      <c r="C326" s="1" t="n">
        <v>45677</v>
      </c>
      <c r="D326" t="inlineStr">
        <is>
          <t>GÄVLEBORGS LÄN</t>
        </is>
      </c>
      <c r="E326" t="inlineStr">
        <is>
          <t>LJUSDAL</t>
        </is>
      </c>
      <c r="F326" t="inlineStr">
        <is>
          <t>Sveaskog</t>
        </is>
      </c>
      <c r="G326" t="n">
        <v>5.1</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43723-2023 artfynd.xlsx", "A 43723-2023")</f>
        <v/>
      </c>
      <c r="T326">
        <f>HYPERLINK("https://klasma.github.io/Logging_2161/kartor/A 43723-2023 karta.png", "A 43723-2023")</f>
        <v/>
      </c>
      <c r="V326">
        <f>HYPERLINK("https://klasma.github.io/Logging_2161/klagomål/A 43723-2023 FSC-klagomål.docx", "A 43723-2023")</f>
        <v/>
      </c>
      <c r="W326">
        <f>HYPERLINK("https://klasma.github.io/Logging_2161/klagomålsmail/A 43723-2023 FSC-klagomål mail.docx", "A 43723-2023")</f>
        <v/>
      </c>
      <c r="X326">
        <f>HYPERLINK("https://klasma.github.io/Logging_2161/tillsyn/A 43723-2023 tillsynsbegäran.docx", "A 43723-2023")</f>
        <v/>
      </c>
      <c r="Y326">
        <f>HYPERLINK("https://klasma.github.io/Logging_2161/tillsynsmail/A 43723-2023 tillsynsbegäran mail.docx", "A 43723-2023")</f>
        <v/>
      </c>
    </row>
    <row r="327" ht="15" customHeight="1">
      <c r="A327" t="inlineStr">
        <is>
          <t>A 45153-2023</t>
        </is>
      </c>
      <c r="B327" s="1" t="n">
        <v>45191</v>
      </c>
      <c r="C327" s="1" t="n">
        <v>45677</v>
      </c>
      <c r="D327" t="inlineStr">
        <is>
          <t>GÄVLEBORGS LÄN</t>
        </is>
      </c>
      <c r="E327" t="inlineStr">
        <is>
          <t>HUDIKSVALL</t>
        </is>
      </c>
      <c r="G327" t="n">
        <v>0.6</v>
      </c>
      <c r="H327" t="n">
        <v>1</v>
      </c>
      <c r="I327" t="n">
        <v>1</v>
      </c>
      <c r="J327" t="n">
        <v>0</v>
      </c>
      <c r="K327" t="n">
        <v>0</v>
      </c>
      <c r="L327" t="n">
        <v>0</v>
      </c>
      <c r="M327" t="n">
        <v>0</v>
      </c>
      <c r="N327" t="n">
        <v>0</v>
      </c>
      <c r="O327" t="n">
        <v>0</v>
      </c>
      <c r="P327" t="n">
        <v>0</v>
      </c>
      <c r="Q327" t="n">
        <v>2</v>
      </c>
      <c r="R327" s="2" t="inlineStr">
        <is>
          <t>Tibast
Skogsödla</t>
        </is>
      </c>
      <c r="S327">
        <f>HYPERLINK("https://klasma.github.io/Logging_2184/artfynd/A 45153-2023 artfynd.xlsx", "A 45153-2023")</f>
        <v/>
      </c>
      <c r="T327">
        <f>HYPERLINK("https://klasma.github.io/Logging_2184/kartor/A 45153-2023 karta.png", "A 45153-2023")</f>
        <v/>
      </c>
      <c r="V327">
        <f>HYPERLINK("https://klasma.github.io/Logging_2184/klagomål/A 45153-2023 FSC-klagomål.docx", "A 45153-2023")</f>
        <v/>
      </c>
      <c r="W327">
        <f>HYPERLINK("https://klasma.github.io/Logging_2184/klagomålsmail/A 45153-2023 FSC-klagomål mail.docx", "A 45153-2023")</f>
        <v/>
      </c>
      <c r="X327">
        <f>HYPERLINK("https://klasma.github.io/Logging_2184/tillsyn/A 45153-2023 tillsynsbegäran.docx", "A 45153-2023")</f>
        <v/>
      </c>
      <c r="Y327">
        <f>HYPERLINK("https://klasma.github.io/Logging_2184/tillsynsmail/A 45153-2023 tillsynsbegäran mail.docx", "A 45153-2023")</f>
        <v/>
      </c>
    </row>
    <row r="328" ht="15" customHeight="1">
      <c r="A328" t="inlineStr">
        <is>
          <t>A 45876-2023</t>
        </is>
      </c>
      <c r="B328" s="1" t="n">
        <v>45195</v>
      </c>
      <c r="C328" s="1" t="n">
        <v>45677</v>
      </c>
      <c r="D328" t="inlineStr">
        <is>
          <t>GÄVLEBORGS LÄN</t>
        </is>
      </c>
      <c r="E328" t="inlineStr">
        <is>
          <t>HUDIKSVALL</t>
        </is>
      </c>
      <c r="G328" t="n">
        <v>3.9</v>
      </c>
      <c r="H328" t="n">
        <v>2</v>
      </c>
      <c r="I328" t="n">
        <v>0</v>
      </c>
      <c r="J328" t="n">
        <v>0</v>
      </c>
      <c r="K328" t="n">
        <v>0</v>
      </c>
      <c r="L328" t="n">
        <v>0</v>
      </c>
      <c r="M328" t="n">
        <v>0</v>
      </c>
      <c r="N328" t="n">
        <v>0</v>
      </c>
      <c r="O328" t="n">
        <v>0</v>
      </c>
      <c r="P328" t="n">
        <v>0</v>
      </c>
      <c r="Q328" t="n">
        <v>2</v>
      </c>
      <c r="R328" s="2" t="inlineStr">
        <is>
          <t>Blåsippa
Revlummer</t>
        </is>
      </c>
      <c r="S328">
        <f>HYPERLINK("https://klasma.github.io/Logging_2184/artfynd/A 45876-2023 artfynd.xlsx", "A 45876-2023")</f>
        <v/>
      </c>
      <c r="T328">
        <f>HYPERLINK("https://klasma.github.io/Logging_2184/kartor/A 45876-2023 karta.png", "A 45876-2023")</f>
        <v/>
      </c>
      <c r="V328">
        <f>HYPERLINK("https://klasma.github.io/Logging_2184/klagomål/A 45876-2023 FSC-klagomål.docx", "A 45876-2023")</f>
        <v/>
      </c>
      <c r="W328">
        <f>HYPERLINK("https://klasma.github.io/Logging_2184/klagomålsmail/A 45876-2023 FSC-klagomål mail.docx", "A 45876-2023")</f>
        <v/>
      </c>
      <c r="X328">
        <f>HYPERLINK("https://klasma.github.io/Logging_2184/tillsyn/A 45876-2023 tillsynsbegäran.docx", "A 45876-2023")</f>
        <v/>
      </c>
      <c r="Y328">
        <f>HYPERLINK("https://klasma.github.io/Logging_2184/tillsynsmail/A 45876-2023 tillsynsbegäran mail.docx", "A 45876-2023")</f>
        <v/>
      </c>
    </row>
    <row r="329" ht="15" customHeight="1">
      <c r="A329" t="inlineStr">
        <is>
          <t>A 47719-2023</t>
        </is>
      </c>
      <c r="B329" s="1" t="n">
        <v>45203</v>
      </c>
      <c r="C329" s="1" t="n">
        <v>45677</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Orange taggsvamp</t>
        </is>
      </c>
      <c r="S329">
        <f>HYPERLINK("https://klasma.github.io/Logging_2161/artfynd/A 47719-2023 artfynd.xlsx", "A 47719-2023")</f>
        <v/>
      </c>
      <c r="T329">
        <f>HYPERLINK("https://klasma.github.io/Logging_2161/kartor/A 47719-2023 karta.png", "A 47719-2023")</f>
        <v/>
      </c>
      <c r="V329">
        <f>HYPERLINK("https://klasma.github.io/Logging_2161/klagomål/A 47719-2023 FSC-klagomål.docx", "A 47719-2023")</f>
        <v/>
      </c>
      <c r="W329">
        <f>HYPERLINK("https://klasma.github.io/Logging_2161/klagomålsmail/A 47719-2023 FSC-klagomål mail.docx", "A 47719-2023")</f>
        <v/>
      </c>
      <c r="X329">
        <f>HYPERLINK("https://klasma.github.io/Logging_2161/tillsyn/A 47719-2023 tillsynsbegäran.docx", "A 47719-2023")</f>
        <v/>
      </c>
      <c r="Y329">
        <f>HYPERLINK("https://klasma.github.io/Logging_2161/tillsynsmail/A 47719-2023 tillsynsbegäran mail.docx", "A 47719-2023")</f>
        <v/>
      </c>
    </row>
    <row r="330" ht="15" customHeight="1">
      <c r="A330" t="inlineStr">
        <is>
          <t>A 51222-2023</t>
        </is>
      </c>
      <c r="B330" s="1" t="n">
        <v>45219</v>
      </c>
      <c r="C330" s="1" t="n">
        <v>45677</v>
      </c>
      <c r="D330" t="inlineStr">
        <is>
          <t>GÄVLEBORGS LÄN</t>
        </is>
      </c>
      <c r="E330" t="inlineStr">
        <is>
          <t>LJUSDAL</t>
        </is>
      </c>
      <c r="F330" t="inlineStr">
        <is>
          <t>Sveaskog</t>
        </is>
      </c>
      <c r="G330" t="n">
        <v>6.5</v>
      </c>
      <c r="H330" t="n">
        <v>1</v>
      </c>
      <c r="I330" t="n">
        <v>0</v>
      </c>
      <c r="J330" t="n">
        <v>1</v>
      </c>
      <c r="K330" t="n">
        <v>0</v>
      </c>
      <c r="L330" t="n">
        <v>0</v>
      </c>
      <c r="M330" t="n">
        <v>0</v>
      </c>
      <c r="N330" t="n">
        <v>0</v>
      </c>
      <c r="O330" t="n">
        <v>1</v>
      </c>
      <c r="P330" t="n">
        <v>0</v>
      </c>
      <c r="Q330" t="n">
        <v>2</v>
      </c>
      <c r="R330" s="2" t="inlineStr">
        <is>
          <t>Lunglav
Lavskrika</t>
        </is>
      </c>
      <c r="S330">
        <f>HYPERLINK("https://klasma.github.io/Logging_2161/artfynd/A 51222-2023 artfynd.xlsx", "A 51222-2023")</f>
        <v/>
      </c>
      <c r="T330">
        <f>HYPERLINK("https://klasma.github.io/Logging_2161/kartor/A 51222-2023 karta.png", "A 51222-2023")</f>
        <v/>
      </c>
      <c r="V330">
        <f>HYPERLINK("https://klasma.github.io/Logging_2161/klagomål/A 51222-2023 FSC-klagomål.docx", "A 51222-2023")</f>
        <v/>
      </c>
      <c r="W330">
        <f>HYPERLINK("https://klasma.github.io/Logging_2161/klagomålsmail/A 51222-2023 FSC-klagomål mail.docx", "A 51222-2023")</f>
        <v/>
      </c>
      <c r="X330">
        <f>HYPERLINK("https://klasma.github.io/Logging_2161/tillsyn/A 51222-2023 tillsynsbegäran.docx", "A 51222-2023")</f>
        <v/>
      </c>
      <c r="Y330">
        <f>HYPERLINK("https://klasma.github.io/Logging_2161/tillsynsmail/A 51222-2023 tillsynsbegäran mail.docx", "A 51222-2023")</f>
        <v/>
      </c>
      <c r="Z330">
        <f>HYPERLINK("https://klasma.github.io/Logging_2161/fåglar/A 51222-2023 prioriterade fågelarter.docx", "A 51222-2023")</f>
        <v/>
      </c>
    </row>
    <row r="331" ht="15" customHeight="1">
      <c r="A331" t="inlineStr">
        <is>
          <t>A 58349-2023</t>
        </is>
      </c>
      <c r="B331" s="1" t="n">
        <v>45250</v>
      </c>
      <c r="C331" s="1" t="n">
        <v>45677</v>
      </c>
      <c r="D331" t="inlineStr">
        <is>
          <t>GÄVLEBORGS LÄN</t>
        </is>
      </c>
      <c r="E331" t="inlineStr">
        <is>
          <t>OCKELBO</t>
        </is>
      </c>
      <c r="F331" t="inlineStr">
        <is>
          <t>Bergvik skog väst AB</t>
        </is>
      </c>
      <c r="G331" t="n">
        <v>2.9</v>
      </c>
      <c r="H331" t="n">
        <v>1</v>
      </c>
      <c r="I331" t="n">
        <v>0</v>
      </c>
      <c r="J331" t="n">
        <v>1</v>
      </c>
      <c r="K331" t="n">
        <v>0</v>
      </c>
      <c r="L331" t="n">
        <v>0</v>
      </c>
      <c r="M331" t="n">
        <v>0</v>
      </c>
      <c r="N331" t="n">
        <v>0</v>
      </c>
      <c r="O331" t="n">
        <v>1</v>
      </c>
      <c r="P331" t="n">
        <v>0</v>
      </c>
      <c r="Q331" t="n">
        <v>2</v>
      </c>
      <c r="R331" s="2" t="inlineStr">
        <is>
          <t>Blanksvart spiklav
Revlummer</t>
        </is>
      </c>
      <c r="S331">
        <f>HYPERLINK("https://klasma.github.io/Logging_2101/artfynd/A 58349-2023 artfynd.xlsx", "A 58349-2023")</f>
        <v/>
      </c>
      <c r="T331">
        <f>HYPERLINK("https://klasma.github.io/Logging_2101/kartor/A 58349-2023 karta.png", "A 58349-2023")</f>
        <v/>
      </c>
      <c r="V331">
        <f>HYPERLINK("https://klasma.github.io/Logging_2101/klagomål/A 58349-2023 FSC-klagomål.docx", "A 58349-2023")</f>
        <v/>
      </c>
      <c r="W331">
        <f>HYPERLINK("https://klasma.github.io/Logging_2101/klagomålsmail/A 58349-2023 FSC-klagomål mail.docx", "A 58349-2023")</f>
        <v/>
      </c>
      <c r="X331">
        <f>HYPERLINK("https://klasma.github.io/Logging_2101/tillsyn/A 58349-2023 tillsynsbegäran.docx", "A 58349-2023")</f>
        <v/>
      </c>
      <c r="Y331">
        <f>HYPERLINK("https://klasma.github.io/Logging_2101/tillsynsmail/A 58349-2023 tillsynsbegäran mail.docx", "A 58349-2023")</f>
        <v/>
      </c>
    </row>
    <row r="332" ht="15" customHeight="1">
      <c r="A332" t="inlineStr">
        <is>
          <t>A 60875-2023</t>
        </is>
      </c>
      <c r="B332" s="1" t="n">
        <v>45261</v>
      </c>
      <c r="C332" s="1" t="n">
        <v>45677</v>
      </c>
      <c r="D332" t="inlineStr">
        <is>
          <t>GÄVLEBORGS LÄN</t>
        </is>
      </c>
      <c r="E332" t="inlineStr">
        <is>
          <t>NORDANSTIG</t>
        </is>
      </c>
      <c r="F332" t="inlineStr">
        <is>
          <t>Holmen skog AB</t>
        </is>
      </c>
      <c r="G332" t="n">
        <v>1.3</v>
      </c>
      <c r="H332" t="n">
        <v>0</v>
      </c>
      <c r="I332" t="n">
        <v>2</v>
      </c>
      <c r="J332" t="n">
        <v>0</v>
      </c>
      <c r="K332" t="n">
        <v>0</v>
      </c>
      <c r="L332" t="n">
        <v>0</v>
      </c>
      <c r="M332" t="n">
        <v>0</v>
      </c>
      <c r="N332" t="n">
        <v>0</v>
      </c>
      <c r="O332" t="n">
        <v>0</v>
      </c>
      <c r="P332" t="n">
        <v>0</v>
      </c>
      <c r="Q332" t="n">
        <v>2</v>
      </c>
      <c r="R332" s="2" t="inlineStr">
        <is>
          <t>Skogshakmossa
Strutbräken</t>
        </is>
      </c>
      <c r="S332">
        <f>HYPERLINK("https://klasma.github.io/Logging_2132/artfynd/A 60875-2023 artfynd.xlsx", "A 60875-2023")</f>
        <v/>
      </c>
      <c r="T332">
        <f>HYPERLINK("https://klasma.github.io/Logging_2132/kartor/A 60875-2023 karta.png", "A 60875-2023")</f>
        <v/>
      </c>
      <c r="V332">
        <f>HYPERLINK("https://klasma.github.io/Logging_2132/klagomål/A 60875-2023 FSC-klagomål.docx", "A 60875-2023")</f>
        <v/>
      </c>
      <c r="W332">
        <f>HYPERLINK("https://klasma.github.io/Logging_2132/klagomålsmail/A 60875-2023 FSC-klagomål mail.docx", "A 60875-2023")</f>
        <v/>
      </c>
      <c r="X332">
        <f>HYPERLINK("https://klasma.github.io/Logging_2132/tillsyn/A 60875-2023 tillsynsbegäran.docx", "A 60875-2023")</f>
        <v/>
      </c>
      <c r="Y332">
        <f>HYPERLINK("https://klasma.github.io/Logging_2132/tillsynsmail/A 60875-2023 tillsynsbegäran mail.docx", "A 60875-2023")</f>
        <v/>
      </c>
    </row>
    <row r="333" ht="15" customHeight="1">
      <c r="A333" t="inlineStr">
        <is>
          <t>A 61554-2023</t>
        </is>
      </c>
      <c r="B333" s="1" t="n">
        <v>45265</v>
      </c>
      <c r="C333" s="1" t="n">
        <v>45677</v>
      </c>
      <c r="D333" t="inlineStr">
        <is>
          <t>GÄVLEBORGS LÄN</t>
        </is>
      </c>
      <c r="E333" t="inlineStr">
        <is>
          <t>SANDVIKEN</t>
        </is>
      </c>
      <c r="G333" t="n">
        <v>4.5</v>
      </c>
      <c r="H333" t="n">
        <v>0</v>
      </c>
      <c r="I333" t="n">
        <v>1</v>
      </c>
      <c r="J333" t="n">
        <v>1</v>
      </c>
      <c r="K333" t="n">
        <v>0</v>
      </c>
      <c r="L333" t="n">
        <v>0</v>
      </c>
      <c r="M333" t="n">
        <v>0</v>
      </c>
      <c r="N333" t="n">
        <v>0</v>
      </c>
      <c r="O333" t="n">
        <v>1</v>
      </c>
      <c r="P333" t="n">
        <v>0</v>
      </c>
      <c r="Q333" t="n">
        <v>2</v>
      </c>
      <c r="R333" s="2" t="inlineStr">
        <is>
          <t>Garnlav
Nästlav</t>
        </is>
      </c>
      <c r="S333">
        <f>HYPERLINK("https://klasma.github.io/Logging_2181/artfynd/A 61554-2023 artfynd.xlsx", "A 61554-2023")</f>
        <v/>
      </c>
      <c r="T333">
        <f>HYPERLINK("https://klasma.github.io/Logging_2181/kartor/A 61554-2023 karta.png", "A 61554-2023")</f>
        <v/>
      </c>
      <c r="V333">
        <f>HYPERLINK("https://klasma.github.io/Logging_2181/klagomål/A 61554-2023 FSC-klagomål.docx", "A 61554-2023")</f>
        <v/>
      </c>
      <c r="W333">
        <f>HYPERLINK("https://klasma.github.io/Logging_2181/klagomålsmail/A 61554-2023 FSC-klagomål mail.docx", "A 61554-2023")</f>
        <v/>
      </c>
      <c r="X333">
        <f>HYPERLINK("https://klasma.github.io/Logging_2181/tillsyn/A 61554-2023 tillsynsbegäran.docx", "A 61554-2023")</f>
        <v/>
      </c>
      <c r="Y333">
        <f>HYPERLINK("https://klasma.github.io/Logging_2181/tillsynsmail/A 61554-2023 tillsynsbegäran mail.docx", "A 61554-2023")</f>
        <v/>
      </c>
    </row>
    <row r="334" ht="15" customHeight="1">
      <c r="A334" t="inlineStr">
        <is>
          <t>A 64567-2023</t>
        </is>
      </c>
      <c r="B334" s="1" t="n">
        <v>45281</v>
      </c>
      <c r="C334" s="1" t="n">
        <v>45677</v>
      </c>
      <c r="D334" t="inlineStr">
        <is>
          <t>GÄVLEBORGS LÄN</t>
        </is>
      </c>
      <c r="E334" t="inlineStr">
        <is>
          <t>GÄVLE</t>
        </is>
      </c>
      <c r="G334" t="n">
        <v>2.6</v>
      </c>
      <c r="H334" t="n">
        <v>0</v>
      </c>
      <c r="I334" t="n">
        <v>1</v>
      </c>
      <c r="J334" t="n">
        <v>0</v>
      </c>
      <c r="K334" t="n">
        <v>0</v>
      </c>
      <c r="L334" t="n">
        <v>1</v>
      </c>
      <c r="M334" t="n">
        <v>0</v>
      </c>
      <c r="N334" t="n">
        <v>0</v>
      </c>
      <c r="O334" t="n">
        <v>1</v>
      </c>
      <c r="P334" t="n">
        <v>1</v>
      </c>
      <c r="Q334" t="n">
        <v>2</v>
      </c>
      <c r="R334" s="2" t="inlineStr">
        <is>
          <t>Ask
Jättesvampmal</t>
        </is>
      </c>
      <c r="S334">
        <f>HYPERLINK("https://klasma.github.io/Logging_2180/artfynd/A 64567-2023 artfynd.xlsx", "A 64567-2023")</f>
        <v/>
      </c>
      <c r="T334">
        <f>HYPERLINK("https://klasma.github.io/Logging_2180/kartor/A 64567-2023 karta.png", "A 64567-2023")</f>
        <v/>
      </c>
      <c r="V334">
        <f>HYPERLINK("https://klasma.github.io/Logging_2180/klagomål/A 64567-2023 FSC-klagomål.docx", "A 64567-2023")</f>
        <v/>
      </c>
      <c r="W334">
        <f>HYPERLINK("https://klasma.github.io/Logging_2180/klagomålsmail/A 64567-2023 FSC-klagomål mail.docx", "A 64567-2023")</f>
        <v/>
      </c>
      <c r="X334">
        <f>HYPERLINK("https://klasma.github.io/Logging_2180/tillsyn/A 64567-2023 tillsynsbegäran.docx", "A 64567-2023")</f>
        <v/>
      </c>
      <c r="Y334">
        <f>HYPERLINK("https://klasma.github.io/Logging_2180/tillsynsmail/A 64567-2023 tillsynsbegäran mail.docx", "A 64567-2023")</f>
        <v/>
      </c>
    </row>
    <row r="335" ht="15" customHeight="1">
      <c r="A335" t="inlineStr">
        <is>
          <t>A 1196-2024</t>
        </is>
      </c>
      <c r="B335" s="1" t="n">
        <v>45302</v>
      </c>
      <c r="C335" s="1" t="n">
        <v>45677</v>
      </c>
      <c r="D335" t="inlineStr">
        <is>
          <t>GÄVLEBORGS LÄN</t>
        </is>
      </c>
      <c r="E335" t="inlineStr">
        <is>
          <t>OVANÅKER</t>
        </is>
      </c>
      <c r="F335" t="inlineStr">
        <is>
          <t>Bergvik skog väst AB</t>
        </is>
      </c>
      <c r="G335" t="n">
        <v>3.7</v>
      </c>
      <c r="H335" t="n">
        <v>1</v>
      </c>
      <c r="I335" t="n">
        <v>1</v>
      </c>
      <c r="J335" t="n">
        <v>0</v>
      </c>
      <c r="K335" t="n">
        <v>0</v>
      </c>
      <c r="L335" t="n">
        <v>0</v>
      </c>
      <c r="M335" t="n">
        <v>0</v>
      </c>
      <c r="N335" t="n">
        <v>0</v>
      </c>
      <c r="O335" t="n">
        <v>0</v>
      </c>
      <c r="P335" t="n">
        <v>0</v>
      </c>
      <c r="Q335" t="n">
        <v>2</v>
      </c>
      <c r="R335" s="2" t="inlineStr">
        <is>
          <t>Mörk husmossa
Blåsippa</t>
        </is>
      </c>
      <c r="S335">
        <f>HYPERLINK("https://klasma.github.io/Logging_2121/artfynd/A 1196-2024 artfynd.xlsx", "A 1196-2024")</f>
        <v/>
      </c>
      <c r="T335">
        <f>HYPERLINK("https://klasma.github.io/Logging_2121/kartor/A 1196-2024 karta.png", "A 1196-2024")</f>
        <v/>
      </c>
      <c r="V335">
        <f>HYPERLINK("https://klasma.github.io/Logging_2121/klagomål/A 1196-2024 FSC-klagomål.docx", "A 1196-2024")</f>
        <v/>
      </c>
      <c r="W335">
        <f>HYPERLINK("https://klasma.github.io/Logging_2121/klagomålsmail/A 1196-2024 FSC-klagomål mail.docx", "A 1196-2024")</f>
        <v/>
      </c>
      <c r="X335">
        <f>HYPERLINK("https://klasma.github.io/Logging_2121/tillsyn/A 1196-2024 tillsynsbegäran.docx", "A 1196-2024")</f>
        <v/>
      </c>
      <c r="Y335">
        <f>HYPERLINK("https://klasma.github.io/Logging_2121/tillsynsmail/A 1196-2024 tillsynsbegäran mail.docx", "A 1196-2024")</f>
        <v/>
      </c>
    </row>
    <row r="336" ht="15" customHeight="1">
      <c r="A336" t="inlineStr">
        <is>
          <t>A 4081-2024</t>
        </is>
      </c>
      <c r="B336" s="1" t="n">
        <v>45323</v>
      </c>
      <c r="C336" s="1" t="n">
        <v>45677</v>
      </c>
      <c r="D336" t="inlineStr">
        <is>
          <t>GÄVLEBORGS LÄN</t>
        </is>
      </c>
      <c r="E336" t="inlineStr">
        <is>
          <t>OVANÅKER</t>
        </is>
      </c>
      <c r="G336" t="n">
        <v>3.3</v>
      </c>
      <c r="H336" t="n">
        <v>0</v>
      </c>
      <c r="I336" t="n">
        <v>0</v>
      </c>
      <c r="J336" t="n">
        <v>2</v>
      </c>
      <c r="K336" t="n">
        <v>0</v>
      </c>
      <c r="L336" t="n">
        <v>0</v>
      </c>
      <c r="M336" t="n">
        <v>0</v>
      </c>
      <c r="N336" t="n">
        <v>0</v>
      </c>
      <c r="O336" t="n">
        <v>2</v>
      </c>
      <c r="P336" t="n">
        <v>0</v>
      </c>
      <c r="Q336" t="n">
        <v>2</v>
      </c>
      <c r="R336" s="2" t="inlineStr">
        <is>
          <t>Rosenticka
Ullticka</t>
        </is>
      </c>
      <c r="S336">
        <f>HYPERLINK("https://klasma.github.io/Logging_2121/artfynd/A 4081-2024 artfynd.xlsx", "A 4081-2024")</f>
        <v/>
      </c>
      <c r="T336">
        <f>HYPERLINK("https://klasma.github.io/Logging_2121/kartor/A 4081-2024 karta.png", "A 4081-2024")</f>
        <v/>
      </c>
      <c r="V336">
        <f>HYPERLINK("https://klasma.github.io/Logging_2121/klagomål/A 4081-2024 FSC-klagomål.docx", "A 4081-2024")</f>
        <v/>
      </c>
      <c r="W336">
        <f>HYPERLINK("https://klasma.github.io/Logging_2121/klagomålsmail/A 4081-2024 FSC-klagomål mail.docx", "A 4081-2024")</f>
        <v/>
      </c>
      <c r="X336">
        <f>HYPERLINK("https://klasma.github.io/Logging_2121/tillsyn/A 4081-2024 tillsynsbegäran.docx", "A 4081-2024")</f>
        <v/>
      </c>
      <c r="Y336">
        <f>HYPERLINK("https://klasma.github.io/Logging_2121/tillsynsmail/A 4081-2024 tillsynsbegäran mail.docx", "A 4081-2024")</f>
        <v/>
      </c>
    </row>
    <row r="337" ht="15" customHeight="1">
      <c r="A337" t="inlineStr">
        <is>
          <t>A 6473-2024</t>
        </is>
      </c>
      <c r="B337" s="1" t="n">
        <v>45338</v>
      </c>
      <c r="C337" s="1" t="n">
        <v>45677</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7322-2024</t>
        </is>
      </c>
      <c r="B338" s="1" t="n">
        <v>45345</v>
      </c>
      <c r="C338" s="1" t="n">
        <v>45677</v>
      </c>
      <c r="D338" t="inlineStr">
        <is>
          <t>GÄVLEBORGS LÄN</t>
        </is>
      </c>
      <c r="E338" t="inlineStr">
        <is>
          <t>HUDIKSVALL</t>
        </is>
      </c>
      <c r="F338" t="inlineStr">
        <is>
          <t>Holmen skog AB</t>
        </is>
      </c>
      <c r="G338" t="n">
        <v>5.3</v>
      </c>
      <c r="H338" t="n">
        <v>0</v>
      </c>
      <c r="I338" t="n">
        <v>0</v>
      </c>
      <c r="J338" t="n">
        <v>2</v>
      </c>
      <c r="K338" t="n">
        <v>0</v>
      </c>
      <c r="L338" t="n">
        <v>0</v>
      </c>
      <c r="M338" t="n">
        <v>0</v>
      </c>
      <c r="N338" t="n">
        <v>0</v>
      </c>
      <c r="O338" t="n">
        <v>2</v>
      </c>
      <c r="P338" t="n">
        <v>0</v>
      </c>
      <c r="Q338" t="n">
        <v>2</v>
      </c>
      <c r="R338" s="2" t="inlineStr">
        <is>
          <t>Garnlav
Kolflarnlav</t>
        </is>
      </c>
      <c r="S338">
        <f>HYPERLINK("https://klasma.github.io/Logging_2184/artfynd/A 7322-2024 artfynd.xlsx", "A 7322-2024")</f>
        <v/>
      </c>
      <c r="T338">
        <f>HYPERLINK("https://klasma.github.io/Logging_2184/kartor/A 7322-2024 karta.png", "A 7322-2024")</f>
        <v/>
      </c>
      <c r="V338">
        <f>HYPERLINK("https://klasma.github.io/Logging_2184/klagomål/A 7322-2024 FSC-klagomål.docx", "A 7322-2024")</f>
        <v/>
      </c>
      <c r="W338">
        <f>HYPERLINK("https://klasma.github.io/Logging_2184/klagomålsmail/A 7322-2024 FSC-klagomål mail.docx", "A 7322-2024")</f>
        <v/>
      </c>
      <c r="X338">
        <f>HYPERLINK("https://klasma.github.io/Logging_2184/tillsyn/A 7322-2024 tillsynsbegäran.docx", "A 7322-2024")</f>
        <v/>
      </c>
      <c r="Y338">
        <f>HYPERLINK("https://klasma.github.io/Logging_2184/tillsynsmail/A 7322-2024 tillsynsbegäran mail.docx", "A 7322-2024")</f>
        <v/>
      </c>
    </row>
    <row r="339" ht="15" customHeight="1">
      <c r="A339" t="inlineStr">
        <is>
          <t>A 16623-2024</t>
        </is>
      </c>
      <c r="B339" s="1" t="n">
        <v>45408</v>
      </c>
      <c r="C339" s="1" t="n">
        <v>45677</v>
      </c>
      <c r="D339" t="inlineStr">
        <is>
          <t>GÄVLEBORGS LÄN</t>
        </is>
      </c>
      <c r="E339" t="inlineStr">
        <is>
          <t>OCKELBO</t>
        </is>
      </c>
      <c r="F339" t="inlineStr">
        <is>
          <t>Bergvik skog väst AB</t>
        </is>
      </c>
      <c r="G339" t="n">
        <v>4.8</v>
      </c>
      <c r="H339" t="n">
        <v>2</v>
      </c>
      <c r="I339" t="n">
        <v>0</v>
      </c>
      <c r="J339" t="n">
        <v>0</v>
      </c>
      <c r="K339" t="n">
        <v>0</v>
      </c>
      <c r="L339" t="n">
        <v>0</v>
      </c>
      <c r="M339" t="n">
        <v>0</v>
      </c>
      <c r="N339" t="n">
        <v>0</v>
      </c>
      <c r="O339" t="n">
        <v>0</v>
      </c>
      <c r="P339" t="n">
        <v>0</v>
      </c>
      <c r="Q339" t="n">
        <v>2</v>
      </c>
      <c r="R339" s="2" t="inlineStr">
        <is>
          <t>Fläcknycklar
Revlummer</t>
        </is>
      </c>
      <c r="S339">
        <f>HYPERLINK("https://klasma.github.io/Logging_2101/artfynd/A 16623-2024 artfynd.xlsx", "A 16623-2024")</f>
        <v/>
      </c>
      <c r="T339">
        <f>HYPERLINK("https://klasma.github.io/Logging_2101/kartor/A 16623-2024 karta.png", "A 16623-2024")</f>
        <v/>
      </c>
      <c r="V339">
        <f>HYPERLINK("https://klasma.github.io/Logging_2101/klagomål/A 16623-2024 FSC-klagomål.docx", "A 16623-2024")</f>
        <v/>
      </c>
      <c r="W339">
        <f>HYPERLINK("https://klasma.github.io/Logging_2101/klagomålsmail/A 16623-2024 FSC-klagomål mail.docx", "A 16623-2024")</f>
        <v/>
      </c>
      <c r="X339">
        <f>HYPERLINK("https://klasma.github.io/Logging_2101/tillsyn/A 16623-2024 tillsynsbegäran.docx", "A 16623-2024")</f>
        <v/>
      </c>
      <c r="Y339">
        <f>HYPERLINK("https://klasma.github.io/Logging_2101/tillsynsmail/A 16623-2024 tillsynsbegäran mail.docx", "A 16623-2024")</f>
        <v/>
      </c>
    </row>
    <row r="340" ht="15" customHeight="1">
      <c r="A340" t="inlineStr">
        <is>
          <t>A 18098-2024</t>
        </is>
      </c>
      <c r="B340" s="1" t="n">
        <v>45420</v>
      </c>
      <c r="C340" s="1" t="n">
        <v>45677</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18101-2024</t>
        </is>
      </c>
      <c r="B341" s="1" t="n">
        <v>45420</v>
      </c>
      <c r="C341" s="1" t="n">
        <v>45677</v>
      </c>
      <c r="D341" t="inlineStr">
        <is>
          <t>GÄVLEBORGS LÄN</t>
        </is>
      </c>
      <c r="E341" t="inlineStr">
        <is>
          <t>LJUSDAL</t>
        </is>
      </c>
      <c r="F341" t="inlineStr">
        <is>
          <t>Sveaskog</t>
        </is>
      </c>
      <c r="G341" t="n">
        <v>2.8</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18101-2024 artfynd.xlsx", "A 18101-2024")</f>
        <v/>
      </c>
      <c r="T341">
        <f>HYPERLINK("https://klasma.github.io/Logging_2161/kartor/A 18101-2024 karta.png", "A 18101-2024")</f>
        <v/>
      </c>
      <c r="V341">
        <f>HYPERLINK("https://klasma.github.io/Logging_2161/klagomål/A 18101-2024 FSC-klagomål.docx", "A 18101-2024")</f>
        <v/>
      </c>
      <c r="W341">
        <f>HYPERLINK("https://klasma.github.io/Logging_2161/klagomålsmail/A 18101-2024 FSC-klagomål mail.docx", "A 18101-2024")</f>
        <v/>
      </c>
      <c r="X341">
        <f>HYPERLINK("https://klasma.github.io/Logging_2161/tillsyn/A 18101-2024 tillsynsbegäran.docx", "A 18101-2024")</f>
        <v/>
      </c>
      <c r="Y341">
        <f>HYPERLINK("https://klasma.github.io/Logging_2161/tillsynsmail/A 18101-2024 tillsynsbegäran mail.docx", "A 18101-2024")</f>
        <v/>
      </c>
    </row>
    <row r="342" ht="15" customHeight="1">
      <c r="A342" t="inlineStr">
        <is>
          <t>A 18108-2024</t>
        </is>
      </c>
      <c r="B342" s="1" t="n">
        <v>45420</v>
      </c>
      <c r="C342" s="1" t="n">
        <v>45677</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18108-2024 artfynd.xlsx", "A 18108-2024")</f>
        <v/>
      </c>
      <c r="T342">
        <f>HYPERLINK("https://klasma.github.io/Logging_2161/kartor/A 18108-2024 karta.png", "A 18108-2024")</f>
        <v/>
      </c>
      <c r="V342">
        <f>HYPERLINK("https://klasma.github.io/Logging_2161/klagomål/A 18108-2024 FSC-klagomål.docx", "A 18108-2024")</f>
        <v/>
      </c>
      <c r="W342">
        <f>HYPERLINK("https://klasma.github.io/Logging_2161/klagomålsmail/A 18108-2024 FSC-klagomål mail.docx", "A 18108-2024")</f>
        <v/>
      </c>
      <c r="X342">
        <f>HYPERLINK("https://klasma.github.io/Logging_2161/tillsyn/A 18108-2024 tillsynsbegäran.docx", "A 18108-2024")</f>
        <v/>
      </c>
      <c r="Y342">
        <f>HYPERLINK("https://klasma.github.io/Logging_2161/tillsynsmail/A 18108-2024 tillsynsbegäran mail.docx", "A 18108-2024")</f>
        <v/>
      </c>
    </row>
    <row r="343" ht="15" customHeight="1">
      <c r="A343" t="inlineStr">
        <is>
          <t>A 18103-2024</t>
        </is>
      </c>
      <c r="B343" s="1" t="n">
        <v>45420</v>
      </c>
      <c r="C343" s="1" t="n">
        <v>45677</v>
      </c>
      <c r="D343" t="inlineStr">
        <is>
          <t>GÄVLEBORGS LÄN</t>
        </is>
      </c>
      <c r="E343" t="inlineStr">
        <is>
          <t>LJUSDAL</t>
        </is>
      </c>
      <c r="F343" t="inlineStr">
        <is>
          <t>Sveaskog</t>
        </is>
      </c>
      <c r="G343" t="n">
        <v>3.9</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18103-2024 artfynd.xlsx", "A 18103-2024")</f>
        <v/>
      </c>
      <c r="T343">
        <f>HYPERLINK("https://klasma.github.io/Logging_2161/kartor/A 18103-2024 karta.png", "A 18103-2024")</f>
        <v/>
      </c>
      <c r="V343">
        <f>HYPERLINK("https://klasma.github.io/Logging_2161/klagomål/A 18103-2024 FSC-klagomål.docx", "A 18103-2024")</f>
        <v/>
      </c>
      <c r="W343">
        <f>HYPERLINK("https://klasma.github.io/Logging_2161/klagomålsmail/A 18103-2024 FSC-klagomål mail.docx", "A 18103-2024")</f>
        <v/>
      </c>
      <c r="X343">
        <f>HYPERLINK("https://klasma.github.io/Logging_2161/tillsyn/A 18103-2024 tillsynsbegäran.docx", "A 18103-2024")</f>
        <v/>
      </c>
      <c r="Y343">
        <f>HYPERLINK("https://klasma.github.io/Logging_2161/tillsynsmail/A 18103-2024 tillsynsbegäran mail.docx", "A 18103-2024")</f>
        <v/>
      </c>
    </row>
    <row r="344" ht="15" customHeight="1">
      <c r="A344" t="inlineStr">
        <is>
          <t>A 18986-2024</t>
        </is>
      </c>
      <c r="B344" s="1" t="n">
        <v>45427</v>
      </c>
      <c r="C344" s="1" t="n">
        <v>45677</v>
      </c>
      <c r="D344" t="inlineStr">
        <is>
          <t>GÄVLEBORGS LÄN</t>
        </is>
      </c>
      <c r="E344" t="inlineStr">
        <is>
          <t>LJUSDAL</t>
        </is>
      </c>
      <c r="F344" t="inlineStr">
        <is>
          <t>Sveaskog</t>
        </is>
      </c>
      <c r="G344" t="n">
        <v>5.7</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18986-2024 artfynd.xlsx", "A 18986-2024")</f>
        <v/>
      </c>
      <c r="T344">
        <f>HYPERLINK("https://klasma.github.io/Logging_2161/kartor/A 18986-2024 karta.png", "A 18986-2024")</f>
        <v/>
      </c>
      <c r="V344">
        <f>HYPERLINK("https://klasma.github.io/Logging_2161/klagomål/A 18986-2024 FSC-klagomål.docx", "A 18986-2024")</f>
        <v/>
      </c>
      <c r="W344">
        <f>HYPERLINK("https://klasma.github.io/Logging_2161/klagomålsmail/A 18986-2024 FSC-klagomål mail.docx", "A 18986-2024")</f>
        <v/>
      </c>
      <c r="X344">
        <f>HYPERLINK("https://klasma.github.io/Logging_2161/tillsyn/A 18986-2024 tillsynsbegäran.docx", "A 18986-2024")</f>
        <v/>
      </c>
      <c r="Y344">
        <f>HYPERLINK("https://klasma.github.io/Logging_2161/tillsynsmail/A 18986-2024 tillsynsbegäran mail.docx", "A 18986-2024")</f>
        <v/>
      </c>
    </row>
    <row r="345" ht="15" customHeight="1">
      <c r="A345" t="inlineStr">
        <is>
          <t>A 19180-2024</t>
        </is>
      </c>
      <c r="B345" s="1" t="n">
        <v>45428</v>
      </c>
      <c r="C345" s="1" t="n">
        <v>45677</v>
      </c>
      <c r="D345" t="inlineStr">
        <is>
          <t>GÄVLEBORGS LÄN</t>
        </is>
      </c>
      <c r="E345" t="inlineStr">
        <is>
          <t>OVANÅKER</t>
        </is>
      </c>
      <c r="G345" t="n">
        <v>4.1</v>
      </c>
      <c r="H345" t="n">
        <v>0</v>
      </c>
      <c r="I345" t="n">
        <v>0</v>
      </c>
      <c r="J345" t="n">
        <v>2</v>
      </c>
      <c r="K345" t="n">
        <v>0</v>
      </c>
      <c r="L345" t="n">
        <v>0</v>
      </c>
      <c r="M345" t="n">
        <v>0</v>
      </c>
      <c r="N345" t="n">
        <v>0</v>
      </c>
      <c r="O345" t="n">
        <v>2</v>
      </c>
      <c r="P345" t="n">
        <v>0</v>
      </c>
      <c r="Q345" t="n">
        <v>2</v>
      </c>
      <c r="R345" s="2" t="inlineStr">
        <is>
          <t>Kolflarnlav
Vedskivlav</t>
        </is>
      </c>
      <c r="S345">
        <f>HYPERLINK("https://klasma.github.io/Logging_2121/artfynd/A 19180-2024 artfynd.xlsx", "A 19180-2024")</f>
        <v/>
      </c>
      <c r="T345">
        <f>HYPERLINK("https://klasma.github.io/Logging_2121/kartor/A 19180-2024 karta.png", "A 19180-2024")</f>
        <v/>
      </c>
      <c r="V345">
        <f>HYPERLINK("https://klasma.github.io/Logging_2121/klagomål/A 19180-2024 FSC-klagomål.docx", "A 19180-2024")</f>
        <v/>
      </c>
      <c r="W345">
        <f>HYPERLINK("https://klasma.github.io/Logging_2121/klagomålsmail/A 19180-2024 FSC-klagomål mail.docx", "A 19180-2024")</f>
        <v/>
      </c>
      <c r="X345">
        <f>HYPERLINK("https://klasma.github.io/Logging_2121/tillsyn/A 19180-2024 tillsynsbegäran.docx", "A 19180-2024")</f>
        <v/>
      </c>
      <c r="Y345">
        <f>HYPERLINK("https://klasma.github.io/Logging_2121/tillsynsmail/A 19180-2024 tillsynsbegäran mail.docx", "A 19180-2024")</f>
        <v/>
      </c>
    </row>
    <row r="346" ht="15" customHeight="1">
      <c r="A346" t="inlineStr">
        <is>
          <t>A 19848-2024</t>
        </is>
      </c>
      <c r="B346" s="1" t="n">
        <v>45433</v>
      </c>
      <c r="C346" s="1" t="n">
        <v>45677</v>
      </c>
      <c r="D346" t="inlineStr">
        <is>
          <t>GÄVLEBORGS LÄN</t>
        </is>
      </c>
      <c r="E346" t="inlineStr">
        <is>
          <t>LJUSDAL</t>
        </is>
      </c>
      <c r="F346" t="inlineStr">
        <is>
          <t>Sveaskog</t>
        </is>
      </c>
      <c r="G346" t="n">
        <v>3.1</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19848-2024 artfynd.xlsx", "A 19848-2024")</f>
        <v/>
      </c>
      <c r="T346">
        <f>HYPERLINK("https://klasma.github.io/Logging_2161/kartor/A 19848-2024 karta.png", "A 19848-2024")</f>
        <v/>
      </c>
      <c r="V346">
        <f>HYPERLINK("https://klasma.github.io/Logging_2161/klagomål/A 19848-2024 FSC-klagomål.docx", "A 19848-2024")</f>
        <v/>
      </c>
      <c r="W346">
        <f>HYPERLINK("https://klasma.github.io/Logging_2161/klagomålsmail/A 19848-2024 FSC-klagomål mail.docx", "A 19848-2024")</f>
        <v/>
      </c>
      <c r="X346">
        <f>HYPERLINK("https://klasma.github.io/Logging_2161/tillsyn/A 19848-2024 tillsynsbegäran.docx", "A 19848-2024")</f>
        <v/>
      </c>
      <c r="Y346">
        <f>HYPERLINK("https://klasma.github.io/Logging_2161/tillsynsmail/A 19848-2024 tillsynsbegäran mail.docx", "A 19848-2024")</f>
        <v/>
      </c>
    </row>
    <row r="347" ht="15" customHeight="1">
      <c r="A347" t="inlineStr">
        <is>
          <t>A 19847-2024</t>
        </is>
      </c>
      <c r="B347" s="1" t="n">
        <v>45433</v>
      </c>
      <c r="C347" s="1" t="n">
        <v>45677</v>
      </c>
      <c r="D347" t="inlineStr">
        <is>
          <t>GÄVLEBORGS LÄN</t>
        </is>
      </c>
      <c r="E347" t="inlineStr">
        <is>
          <t>LJUSDAL</t>
        </is>
      </c>
      <c r="F347" t="inlineStr">
        <is>
          <t>Sveaskog</t>
        </is>
      </c>
      <c r="G347" t="n">
        <v>10.3</v>
      </c>
      <c r="H347" t="n">
        <v>0</v>
      </c>
      <c r="I347" t="n">
        <v>0</v>
      </c>
      <c r="J347" t="n">
        <v>2</v>
      </c>
      <c r="K347" t="n">
        <v>0</v>
      </c>
      <c r="L347" t="n">
        <v>0</v>
      </c>
      <c r="M347" t="n">
        <v>0</v>
      </c>
      <c r="N347" t="n">
        <v>0</v>
      </c>
      <c r="O347" t="n">
        <v>2</v>
      </c>
      <c r="P347" t="n">
        <v>0</v>
      </c>
      <c r="Q347" t="n">
        <v>2</v>
      </c>
      <c r="R347" s="2" t="inlineStr">
        <is>
          <t>Lunglav
Mörk kolflarnlav</t>
        </is>
      </c>
      <c r="S347">
        <f>HYPERLINK("https://klasma.github.io/Logging_2161/artfynd/A 19847-2024 artfynd.xlsx", "A 19847-2024")</f>
        <v/>
      </c>
      <c r="T347">
        <f>HYPERLINK("https://klasma.github.io/Logging_2161/kartor/A 19847-2024 karta.png", "A 19847-2024")</f>
        <v/>
      </c>
      <c r="V347">
        <f>HYPERLINK("https://klasma.github.io/Logging_2161/klagomål/A 19847-2024 FSC-klagomål.docx", "A 19847-2024")</f>
        <v/>
      </c>
      <c r="W347">
        <f>HYPERLINK("https://klasma.github.io/Logging_2161/klagomålsmail/A 19847-2024 FSC-klagomål mail.docx", "A 19847-2024")</f>
        <v/>
      </c>
      <c r="X347">
        <f>HYPERLINK("https://klasma.github.io/Logging_2161/tillsyn/A 19847-2024 tillsynsbegäran.docx", "A 19847-2024")</f>
        <v/>
      </c>
      <c r="Y347">
        <f>HYPERLINK("https://klasma.github.io/Logging_2161/tillsynsmail/A 19847-2024 tillsynsbegäran mail.docx", "A 19847-2024")</f>
        <v/>
      </c>
    </row>
    <row r="348" ht="15" customHeight="1">
      <c r="A348" t="inlineStr">
        <is>
          <t>A 21192-2024</t>
        </is>
      </c>
      <c r="B348" s="1" t="n">
        <v>45440</v>
      </c>
      <c r="C348" s="1" t="n">
        <v>45677</v>
      </c>
      <c r="D348" t="inlineStr">
        <is>
          <t>GÄVLEBORGS LÄN</t>
        </is>
      </c>
      <c r="E348" t="inlineStr">
        <is>
          <t>NORDANSTIG</t>
        </is>
      </c>
      <c r="G348" t="n">
        <v>11.7</v>
      </c>
      <c r="H348" t="n">
        <v>0</v>
      </c>
      <c r="I348" t="n">
        <v>1</v>
      </c>
      <c r="J348" t="n">
        <v>0</v>
      </c>
      <c r="K348" t="n">
        <v>1</v>
      </c>
      <c r="L348" t="n">
        <v>0</v>
      </c>
      <c r="M348" t="n">
        <v>0</v>
      </c>
      <c r="N348" t="n">
        <v>0</v>
      </c>
      <c r="O348" t="n">
        <v>1</v>
      </c>
      <c r="P348" t="n">
        <v>1</v>
      </c>
      <c r="Q348" t="n">
        <v>2</v>
      </c>
      <c r="R348" s="2" t="inlineStr">
        <is>
          <t>Aspgelélav
Skinnlav</t>
        </is>
      </c>
      <c r="S348">
        <f>HYPERLINK("https://klasma.github.io/Logging_2132/artfynd/A 21192-2024 artfynd.xlsx", "A 21192-2024")</f>
        <v/>
      </c>
      <c r="T348">
        <f>HYPERLINK("https://klasma.github.io/Logging_2132/kartor/A 21192-2024 karta.png", "A 21192-2024")</f>
        <v/>
      </c>
      <c r="V348">
        <f>HYPERLINK("https://klasma.github.io/Logging_2132/klagomål/A 21192-2024 FSC-klagomål.docx", "A 21192-2024")</f>
        <v/>
      </c>
      <c r="W348">
        <f>HYPERLINK("https://klasma.github.io/Logging_2132/klagomålsmail/A 21192-2024 FSC-klagomål mail.docx", "A 21192-2024")</f>
        <v/>
      </c>
      <c r="X348">
        <f>HYPERLINK("https://klasma.github.io/Logging_2132/tillsyn/A 21192-2024 tillsynsbegäran.docx", "A 21192-2024")</f>
        <v/>
      </c>
      <c r="Y348">
        <f>HYPERLINK("https://klasma.github.io/Logging_2132/tillsynsmail/A 21192-2024 tillsynsbegäran mail.docx", "A 21192-2024")</f>
        <v/>
      </c>
    </row>
    <row r="349" ht="15" customHeight="1">
      <c r="A349" t="inlineStr">
        <is>
          <t>A 21732-2024</t>
        </is>
      </c>
      <c r="B349" s="1" t="n">
        <v>45442</v>
      </c>
      <c r="C349" s="1" t="n">
        <v>45677</v>
      </c>
      <c r="D349" t="inlineStr">
        <is>
          <t>GÄVLEBORGS LÄN</t>
        </is>
      </c>
      <c r="E349" t="inlineStr">
        <is>
          <t>OCKELBO</t>
        </is>
      </c>
      <c r="F349" t="inlineStr">
        <is>
          <t>Bergvik skog väst AB</t>
        </is>
      </c>
      <c r="G349" t="n">
        <v>6.6</v>
      </c>
      <c r="H349" t="n">
        <v>1</v>
      </c>
      <c r="I349" t="n">
        <v>1</v>
      </c>
      <c r="J349" t="n">
        <v>0</v>
      </c>
      <c r="K349" t="n">
        <v>0</v>
      </c>
      <c r="L349" t="n">
        <v>0</v>
      </c>
      <c r="M349" t="n">
        <v>0</v>
      </c>
      <c r="N349" t="n">
        <v>0</v>
      </c>
      <c r="O349" t="n">
        <v>0</v>
      </c>
      <c r="P349" t="n">
        <v>0</v>
      </c>
      <c r="Q349" t="n">
        <v>2</v>
      </c>
      <c r="R349" s="2" t="inlineStr">
        <is>
          <t>Kantarellvaxskivling
Revlummer</t>
        </is>
      </c>
      <c r="S349">
        <f>HYPERLINK("https://klasma.github.io/Logging_2101/artfynd/A 21732-2024 artfynd.xlsx", "A 21732-2024")</f>
        <v/>
      </c>
      <c r="T349">
        <f>HYPERLINK("https://klasma.github.io/Logging_2101/kartor/A 21732-2024 karta.png", "A 21732-2024")</f>
        <v/>
      </c>
      <c r="V349">
        <f>HYPERLINK("https://klasma.github.io/Logging_2101/klagomål/A 21732-2024 FSC-klagomål.docx", "A 21732-2024")</f>
        <v/>
      </c>
      <c r="W349">
        <f>HYPERLINK("https://klasma.github.io/Logging_2101/klagomålsmail/A 21732-2024 FSC-klagomål mail.docx", "A 21732-2024")</f>
        <v/>
      </c>
      <c r="X349">
        <f>HYPERLINK("https://klasma.github.io/Logging_2101/tillsyn/A 21732-2024 tillsynsbegäran.docx", "A 21732-2024")</f>
        <v/>
      </c>
      <c r="Y349">
        <f>HYPERLINK("https://klasma.github.io/Logging_2101/tillsynsmail/A 21732-2024 tillsynsbegäran mail.docx", "A 21732-2024")</f>
        <v/>
      </c>
    </row>
    <row r="350" ht="15" customHeight="1">
      <c r="A350" t="inlineStr">
        <is>
          <t>A 22063-2024</t>
        </is>
      </c>
      <c r="B350" s="1" t="n">
        <v>45443</v>
      </c>
      <c r="C350" s="1" t="n">
        <v>45677</v>
      </c>
      <c r="D350" t="inlineStr">
        <is>
          <t>GÄVLEBORGS LÄN</t>
        </is>
      </c>
      <c r="E350" t="inlineStr">
        <is>
          <t>LJUSDAL</t>
        </is>
      </c>
      <c r="F350" t="inlineStr">
        <is>
          <t>Sveaskog</t>
        </is>
      </c>
      <c r="G350" t="n">
        <v>18</v>
      </c>
      <c r="H350" t="n">
        <v>1</v>
      </c>
      <c r="I350" t="n">
        <v>1</v>
      </c>
      <c r="J350" t="n">
        <v>1</v>
      </c>
      <c r="K350" t="n">
        <v>0</v>
      </c>
      <c r="L350" t="n">
        <v>0</v>
      </c>
      <c r="M350" t="n">
        <v>0</v>
      </c>
      <c r="N350" t="n">
        <v>0</v>
      </c>
      <c r="O350" t="n">
        <v>1</v>
      </c>
      <c r="P350" t="n">
        <v>0</v>
      </c>
      <c r="Q350" t="n">
        <v>2</v>
      </c>
      <c r="R350" s="2" t="inlineStr">
        <is>
          <t>Lunglav
Plattlummer</t>
        </is>
      </c>
      <c r="S350">
        <f>HYPERLINK("https://klasma.github.io/Logging_2161/artfynd/A 22063-2024 artfynd.xlsx", "A 22063-2024")</f>
        <v/>
      </c>
      <c r="T350">
        <f>HYPERLINK("https://klasma.github.io/Logging_2161/kartor/A 22063-2024 karta.png", "A 22063-2024")</f>
        <v/>
      </c>
      <c r="V350">
        <f>HYPERLINK("https://klasma.github.io/Logging_2161/klagomål/A 22063-2024 FSC-klagomål.docx", "A 22063-2024")</f>
        <v/>
      </c>
      <c r="W350">
        <f>HYPERLINK("https://klasma.github.io/Logging_2161/klagomålsmail/A 22063-2024 FSC-klagomål mail.docx", "A 22063-2024")</f>
        <v/>
      </c>
      <c r="X350">
        <f>HYPERLINK("https://klasma.github.io/Logging_2161/tillsyn/A 22063-2024 tillsynsbegäran.docx", "A 22063-2024")</f>
        <v/>
      </c>
      <c r="Y350">
        <f>HYPERLINK("https://klasma.github.io/Logging_2161/tillsynsmail/A 22063-2024 tillsynsbegäran mail.docx", "A 22063-2024")</f>
        <v/>
      </c>
    </row>
    <row r="351" ht="15" customHeight="1">
      <c r="A351" t="inlineStr">
        <is>
          <t>A 23399-2024</t>
        </is>
      </c>
      <c r="B351" s="1" t="n">
        <v>45453</v>
      </c>
      <c r="C351" s="1" t="n">
        <v>45677</v>
      </c>
      <c r="D351" t="inlineStr">
        <is>
          <t>GÄVLEBORGS LÄN</t>
        </is>
      </c>
      <c r="E351" t="inlineStr">
        <is>
          <t>LJUSDAL</t>
        </is>
      </c>
      <c r="G351" t="n">
        <v>1.7</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23399-2024 artfynd.xlsx", "A 23399-2024")</f>
        <v/>
      </c>
      <c r="T351">
        <f>HYPERLINK("https://klasma.github.io/Logging_2161/kartor/A 23399-2024 karta.png", "A 23399-2024")</f>
        <v/>
      </c>
      <c r="V351">
        <f>HYPERLINK("https://klasma.github.io/Logging_2161/klagomål/A 23399-2024 FSC-klagomål.docx", "A 23399-2024")</f>
        <v/>
      </c>
      <c r="W351">
        <f>HYPERLINK("https://klasma.github.io/Logging_2161/klagomålsmail/A 23399-2024 FSC-klagomål mail.docx", "A 23399-2024")</f>
        <v/>
      </c>
      <c r="X351">
        <f>HYPERLINK("https://klasma.github.io/Logging_2161/tillsyn/A 23399-2024 tillsynsbegäran.docx", "A 23399-2024")</f>
        <v/>
      </c>
      <c r="Y351">
        <f>HYPERLINK("https://klasma.github.io/Logging_2161/tillsynsmail/A 23399-2024 tillsynsbegäran mail.docx", "A 23399-2024")</f>
        <v/>
      </c>
    </row>
    <row r="352" ht="15" customHeight="1">
      <c r="A352" t="inlineStr">
        <is>
          <t>A 23606-2024</t>
        </is>
      </c>
      <c r="B352" s="1" t="n">
        <v>45454</v>
      </c>
      <c r="C352" s="1" t="n">
        <v>45677</v>
      </c>
      <c r="D352" t="inlineStr">
        <is>
          <t>GÄVLEBORGS LÄN</t>
        </is>
      </c>
      <c r="E352" t="inlineStr">
        <is>
          <t>LJUSDAL</t>
        </is>
      </c>
      <c r="F352" t="inlineStr">
        <is>
          <t>Sveaskog</t>
        </is>
      </c>
      <c r="G352" t="n">
        <v>4.4</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23606-2024 artfynd.xlsx", "A 23606-2024")</f>
        <v/>
      </c>
      <c r="T352">
        <f>HYPERLINK("https://klasma.github.io/Logging_2161/kartor/A 23606-2024 karta.png", "A 23606-2024")</f>
        <v/>
      </c>
      <c r="V352">
        <f>HYPERLINK("https://klasma.github.io/Logging_2161/klagomål/A 23606-2024 FSC-klagomål.docx", "A 23606-2024")</f>
        <v/>
      </c>
      <c r="W352">
        <f>HYPERLINK("https://klasma.github.io/Logging_2161/klagomålsmail/A 23606-2024 FSC-klagomål mail.docx", "A 23606-2024")</f>
        <v/>
      </c>
      <c r="X352">
        <f>HYPERLINK("https://klasma.github.io/Logging_2161/tillsyn/A 23606-2024 tillsynsbegäran.docx", "A 23606-2024")</f>
        <v/>
      </c>
      <c r="Y352">
        <f>HYPERLINK("https://klasma.github.io/Logging_2161/tillsynsmail/A 23606-2024 tillsynsbegäran mail.docx", "A 23606-2024")</f>
        <v/>
      </c>
    </row>
    <row r="353" ht="15" customHeight="1">
      <c r="A353" t="inlineStr">
        <is>
          <t>A 24868-2024</t>
        </is>
      </c>
      <c r="B353" s="1" t="n">
        <v>45461</v>
      </c>
      <c r="C353" s="1" t="n">
        <v>45677</v>
      </c>
      <c r="D353" t="inlineStr">
        <is>
          <t>GÄVLEBORGS LÄN</t>
        </is>
      </c>
      <c r="E353" t="inlineStr">
        <is>
          <t>LJUSDAL</t>
        </is>
      </c>
      <c r="F353" t="inlineStr">
        <is>
          <t>Bergvik skog väst AB</t>
        </is>
      </c>
      <c r="G353" t="n">
        <v>8.5</v>
      </c>
      <c r="H353" t="n">
        <v>1</v>
      </c>
      <c r="I353" t="n">
        <v>1</v>
      </c>
      <c r="J353" t="n">
        <v>1</v>
      </c>
      <c r="K353" t="n">
        <v>0</v>
      </c>
      <c r="L353" t="n">
        <v>0</v>
      </c>
      <c r="M353" t="n">
        <v>0</v>
      </c>
      <c r="N353" t="n">
        <v>0</v>
      </c>
      <c r="O353" t="n">
        <v>1</v>
      </c>
      <c r="P353" t="n">
        <v>0</v>
      </c>
      <c r="Q353" t="n">
        <v>2</v>
      </c>
      <c r="R353" s="2" t="inlineStr">
        <is>
          <t>Granticka
Spindelblomster</t>
        </is>
      </c>
      <c r="S353">
        <f>HYPERLINK("https://klasma.github.io/Logging_2161/artfynd/A 24868-2024 artfynd.xlsx", "A 24868-2024")</f>
        <v/>
      </c>
      <c r="T353">
        <f>HYPERLINK("https://klasma.github.io/Logging_2161/kartor/A 24868-2024 karta.png", "A 24868-2024")</f>
        <v/>
      </c>
      <c r="V353">
        <f>HYPERLINK("https://klasma.github.io/Logging_2161/klagomål/A 24868-2024 FSC-klagomål.docx", "A 24868-2024")</f>
        <v/>
      </c>
      <c r="W353">
        <f>HYPERLINK("https://klasma.github.io/Logging_2161/klagomålsmail/A 24868-2024 FSC-klagomål mail.docx", "A 24868-2024")</f>
        <v/>
      </c>
      <c r="X353">
        <f>HYPERLINK("https://klasma.github.io/Logging_2161/tillsyn/A 24868-2024 tillsynsbegäran.docx", "A 24868-2024")</f>
        <v/>
      </c>
      <c r="Y353">
        <f>HYPERLINK("https://klasma.github.io/Logging_2161/tillsynsmail/A 24868-2024 tillsynsbegäran mail.docx", "A 24868-2024")</f>
        <v/>
      </c>
    </row>
    <row r="354" ht="15" customHeight="1">
      <c r="A354" t="inlineStr">
        <is>
          <t>A 25863-2024</t>
        </is>
      </c>
      <c r="B354" s="1" t="n">
        <v>45467</v>
      </c>
      <c r="C354" s="1" t="n">
        <v>45677</v>
      </c>
      <c r="D354" t="inlineStr">
        <is>
          <t>GÄVLEBORGS LÄN</t>
        </is>
      </c>
      <c r="E354" t="inlineStr">
        <is>
          <t>LJUSDAL</t>
        </is>
      </c>
      <c r="F354" t="inlineStr">
        <is>
          <t>Sveaskog</t>
        </is>
      </c>
      <c r="G354" t="n">
        <v>10.7</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25863-2024 artfynd.xlsx", "A 25863-2024")</f>
        <v/>
      </c>
      <c r="T354">
        <f>HYPERLINK("https://klasma.github.io/Logging_2161/kartor/A 25863-2024 karta.png", "A 25863-2024")</f>
        <v/>
      </c>
      <c r="V354">
        <f>HYPERLINK("https://klasma.github.io/Logging_2161/klagomål/A 25863-2024 FSC-klagomål.docx", "A 25863-2024")</f>
        <v/>
      </c>
      <c r="W354">
        <f>HYPERLINK("https://klasma.github.io/Logging_2161/klagomålsmail/A 25863-2024 FSC-klagomål mail.docx", "A 25863-2024")</f>
        <v/>
      </c>
      <c r="X354">
        <f>HYPERLINK("https://klasma.github.io/Logging_2161/tillsyn/A 25863-2024 tillsynsbegäran.docx", "A 25863-2024")</f>
        <v/>
      </c>
      <c r="Y354">
        <f>HYPERLINK("https://klasma.github.io/Logging_2161/tillsynsmail/A 25863-2024 tillsynsbegäran mail.docx", "A 25863-2024")</f>
        <v/>
      </c>
    </row>
    <row r="355" ht="15" customHeight="1">
      <c r="A355" t="inlineStr">
        <is>
          <t>A 26213-2024</t>
        </is>
      </c>
      <c r="B355" s="1" t="n">
        <v>45468</v>
      </c>
      <c r="C355" s="1" t="n">
        <v>45677</v>
      </c>
      <c r="D355" t="inlineStr">
        <is>
          <t>GÄVLEBORGS LÄN</t>
        </is>
      </c>
      <c r="E355" t="inlineStr">
        <is>
          <t>GÄVLE</t>
        </is>
      </c>
      <c r="F355" t="inlineStr">
        <is>
          <t>Bergvik skog väst AB</t>
        </is>
      </c>
      <c r="G355" t="n">
        <v>2.7</v>
      </c>
      <c r="H355" t="n">
        <v>0</v>
      </c>
      <c r="I355" t="n">
        <v>1</v>
      </c>
      <c r="J355" t="n">
        <v>1</v>
      </c>
      <c r="K355" t="n">
        <v>0</v>
      </c>
      <c r="L355" t="n">
        <v>0</v>
      </c>
      <c r="M355" t="n">
        <v>0</v>
      </c>
      <c r="N355" t="n">
        <v>0</v>
      </c>
      <c r="O355" t="n">
        <v>1</v>
      </c>
      <c r="P355" t="n">
        <v>0</v>
      </c>
      <c r="Q355" t="n">
        <v>2</v>
      </c>
      <c r="R355" s="2" t="inlineStr">
        <is>
          <t>Vedskivlav
Dropptaggsvamp</t>
        </is>
      </c>
      <c r="S355">
        <f>HYPERLINK("https://klasma.github.io/Logging_2180/artfynd/A 26213-2024 artfynd.xlsx", "A 26213-2024")</f>
        <v/>
      </c>
      <c r="T355">
        <f>HYPERLINK("https://klasma.github.io/Logging_2180/kartor/A 26213-2024 karta.png", "A 26213-2024")</f>
        <v/>
      </c>
      <c r="V355">
        <f>HYPERLINK("https://klasma.github.io/Logging_2180/klagomål/A 26213-2024 FSC-klagomål.docx", "A 26213-2024")</f>
        <v/>
      </c>
      <c r="W355">
        <f>HYPERLINK("https://klasma.github.io/Logging_2180/klagomålsmail/A 26213-2024 FSC-klagomål mail.docx", "A 26213-2024")</f>
        <v/>
      </c>
      <c r="X355">
        <f>HYPERLINK("https://klasma.github.io/Logging_2180/tillsyn/A 26213-2024 tillsynsbegäran.docx", "A 26213-2024")</f>
        <v/>
      </c>
      <c r="Y355">
        <f>HYPERLINK("https://klasma.github.io/Logging_2180/tillsynsmail/A 26213-2024 tillsynsbegäran mail.docx", "A 26213-2024")</f>
        <v/>
      </c>
    </row>
    <row r="356" ht="15" customHeight="1">
      <c r="A356" t="inlineStr">
        <is>
          <t>A 27011-2024</t>
        </is>
      </c>
      <c r="B356" s="1" t="n">
        <v>45471</v>
      </c>
      <c r="C356" s="1" t="n">
        <v>45677</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45677</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30530-2024</t>
        </is>
      </c>
      <c r="B358" s="1" t="n">
        <v>45492</v>
      </c>
      <c r="C358" s="1" t="n">
        <v>45677</v>
      </c>
      <c r="D358" t="inlineStr">
        <is>
          <t>GÄVLEBORGS LÄN</t>
        </is>
      </c>
      <c r="E358" t="inlineStr">
        <is>
          <t>SANDVIKEN</t>
        </is>
      </c>
      <c r="F358" t="inlineStr">
        <is>
          <t>Sveaskog</t>
        </is>
      </c>
      <c r="G358" t="n">
        <v>13.5</v>
      </c>
      <c r="H358" t="n">
        <v>2</v>
      </c>
      <c r="I358" t="n">
        <v>0</v>
      </c>
      <c r="J358" t="n">
        <v>0</v>
      </c>
      <c r="K358" t="n">
        <v>1</v>
      </c>
      <c r="L358" t="n">
        <v>0</v>
      </c>
      <c r="M358" t="n">
        <v>0</v>
      </c>
      <c r="N358" t="n">
        <v>0</v>
      </c>
      <c r="O358" t="n">
        <v>1</v>
      </c>
      <c r="P358" t="n">
        <v>1</v>
      </c>
      <c r="Q358" t="n">
        <v>2</v>
      </c>
      <c r="R358" s="2" t="inlineStr">
        <is>
          <t>Knärot
Revlummer</t>
        </is>
      </c>
      <c r="S358">
        <f>HYPERLINK("https://klasma.github.io/Logging_2181/artfynd/A 30530-2024 artfynd.xlsx", "A 30530-2024")</f>
        <v/>
      </c>
      <c r="T358">
        <f>HYPERLINK("https://klasma.github.io/Logging_2181/kartor/A 30530-2024 karta.png", "A 30530-2024")</f>
        <v/>
      </c>
      <c r="U358">
        <f>HYPERLINK("https://klasma.github.io/Logging_2181/knärot/A 30530-2024 karta knärot.png", "A 30530-2024")</f>
        <v/>
      </c>
      <c r="V358">
        <f>HYPERLINK("https://klasma.github.io/Logging_2181/klagomål/A 30530-2024 FSC-klagomål.docx", "A 30530-2024")</f>
        <v/>
      </c>
      <c r="W358">
        <f>HYPERLINK("https://klasma.github.io/Logging_2181/klagomålsmail/A 30530-2024 FSC-klagomål mail.docx", "A 30530-2024")</f>
        <v/>
      </c>
      <c r="X358">
        <f>HYPERLINK("https://klasma.github.io/Logging_2181/tillsyn/A 30530-2024 tillsynsbegäran.docx", "A 30530-2024")</f>
        <v/>
      </c>
      <c r="Y358">
        <f>HYPERLINK("https://klasma.github.io/Logging_2181/tillsynsmail/A 30530-2024 tillsynsbegäran mail.docx", "A 30530-2024")</f>
        <v/>
      </c>
    </row>
    <row r="359" ht="15" customHeight="1">
      <c r="A359" t="inlineStr">
        <is>
          <t>A 30884-2024</t>
        </is>
      </c>
      <c r="B359" s="1" t="n">
        <v>45498</v>
      </c>
      <c r="C359" s="1" t="n">
        <v>45677</v>
      </c>
      <c r="D359" t="inlineStr">
        <is>
          <t>GÄVLEBORGS LÄN</t>
        </is>
      </c>
      <c r="E359" t="inlineStr">
        <is>
          <t>LJUSDAL</t>
        </is>
      </c>
      <c r="F359" t="inlineStr">
        <is>
          <t>Sveaskog</t>
        </is>
      </c>
      <c r="G359" t="n">
        <v>3.2</v>
      </c>
      <c r="H359" t="n">
        <v>1</v>
      </c>
      <c r="I359" t="n">
        <v>0</v>
      </c>
      <c r="J359" t="n">
        <v>1</v>
      </c>
      <c r="K359" t="n">
        <v>0</v>
      </c>
      <c r="L359" t="n">
        <v>0</v>
      </c>
      <c r="M359" t="n">
        <v>0</v>
      </c>
      <c r="N359" t="n">
        <v>0</v>
      </c>
      <c r="O359" t="n">
        <v>1</v>
      </c>
      <c r="P359" t="n">
        <v>0</v>
      </c>
      <c r="Q359" t="n">
        <v>2</v>
      </c>
      <c r="R359" s="2" t="inlineStr">
        <is>
          <t>Kolflarnlav
Fläcknycklar</t>
        </is>
      </c>
      <c r="S359">
        <f>HYPERLINK("https://klasma.github.io/Logging_2161/artfynd/A 30884-2024 artfynd.xlsx", "A 30884-2024")</f>
        <v/>
      </c>
      <c r="T359">
        <f>HYPERLINK("https://klasma.github.io/Logging_2161/kartor/A 30884-2024 karta.png", "A 30884-2024")</f>
        <v/>
      </c>
      <c r="V359">
        <f>HYPERLINK("https://klasma.github.io/Logging_2161/klagomål/A 30884-2024 FSC-klagomål.docx", "A 30884-2024")</f>
        <v/>
      </c>
      <c r="W359">
        <f>HYPERLINK("https://klasma.github.io/Logging_2161/klagomålsmail/A 30884-2024 FSC-klagomål mail.docx", "A 30884-2024")</f>
        <v/>
      </c>
      <c r="X359">
        <f>HYPERLINK("https://klasma.github.io/Logging_2161/tillsyn/A 30884-2024 tillsynsbegäran.docx", "A 30884-2024")</f>
        <v/>
      </c>
      <c r="Y359">
        <f>HYPERLINK("https://klasma.github.io/Logging_2161/tillsynsmail/A 30884-2024 tillsynsbegäran mail.docx", "A 30884-2024")</f>
        <v/>
      </c>
    </row>
    <row r="360" ht="15" customHeight="1">
      <c r="A360" t="inlineStr">
        <is>
          <t>A 30885-2024</t>
        </is>
      </c>
      <c r="B360" s="1" t="n">
        <v>45498</v>
      </c>
      <c r="C360" s="1" t="n">
        <v>45677</v>
      </c>
      <c r="D360" t="inlineStr">
        <is>
          <t>GÄVLEBORGS LÄN</t>
        </is>
      </c>
      <c r="E360" t="inlineStr">
        <is>
          <t>LJUSDAL</t>
        </is>
      </c>
      <c r="F360" t="inlineStr">
        <is>
          <t>Sveaskog</t>
        </is>
      </c>
      <c r="G360" t="n">
        <v>11.2</v>
      </c>
      <c r="H360" t="n">
        <v>1</v>
      </c>
      <c r="I360" t="n">
        <v>1</v>
      </c>
      <c r="J360" t="n">
        <v>1</v>
      </c>
      <c r="K360" t="n">
        <v>0</v>
      </c>
      <c r="L360" t="n">
        <v>0</v>
      </c>
      <c r="M360" t="n">
        <v>0</v>
      </c>
      <c r="N360" t="n">
        <v>0</v>
      </c>
      <c r="O360" t="n">
        <v>1</v>
      </c>
      <c r="P360" t="n">
        <v>0</v>
      </c>
      <c r="Q360" t="n">
        <v>2</v>
      </c>
      <c r="R360" s="2" t="inlineStr">
        <is>
          <t>Kolflarnlav
Plattlummer</t>
        </is>
      </c>
      <c r="S360">
        <f>HYPERLINK("https://klasma.github.io/Logging_2161/artfynd/A 30885-2024 artfynd.xlsx", "A 30885-2024")</f>
        <v/>
      </c>
      <c r="T360">
        <f>HYPERLINK("https://klasma.github.io/Logging_2161/kartor/A 30885-2024 karta.png", "A 30885-2024")</f>
        <v/>
      </c>
      <c r="V360">
        <f>HYPERLINK("https://klasma.github.io/Logging_2161/klagomål/A 30885-2024 FSC-klagomål.docx", "A 30885-2024")</f>
        <v/>
      </c>
      <c r="W360">
        <f>HYPERLINK("https://klasma.github.io/Logging_2161/klagomålsmail/A 30885-2024 FSC-klagomål mail.docx", "A 30885-2024")</f>
        <v/>
      </c>
      <c r="X360">
        <f>HYPERLINK("https://klasma.github.io/Logging_2161/tillsyn/A 30885-2024 tillsynsbegäran.docx", "A 30885-2024")</f>
        <v/>
      </c>
      <c r="Y360">
        <f>HYPERLINK("https://klasma.github.io/Logging_2161/tillsynsmail/A 30885-2024 tillsynsbegäran mail.docx", "A 30885-2024")</f>
        <v/>
      </c>
    </row>
    <row r="361" ht="15" customHeight="1">
      <c r="A361" t="inlineStr">
        <is>
          <t>A 30941-2024</t>
        </is>
      </c>
      <c r="B361" s="1" t="n">
        <v>45499</v>
      </c>
      <c r="C361" s="1" t="n">
        <v>45677</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30941-2024 artfynd.xlsx", "A 30941-2024")</f>
        <v/>
      </c>
      <c r="T361">
        <f>HYPERLINK("https://klasma.github.io/Logging_2121/kartor/A 30941-2024 karta.png", "A 30941-2024")</f>
        <v/>
      </c>
      <c r="V361">
        <f>HYPERLINK("https://klasma.github.io/Logging_2121/klagomål/A 30941-2024 FSC-klagomål.docx", "A 30941-2024")</f>
        <v/>
      </c>
      <c r="W361">
        <f>HYPERLINK("https://klasma.github.io/Logging_2121/klagomålsmail/A 30941-2024 FSC-klagomål mail.docx", "A 30941-2024")</f>
        <v/>
      </c>
      <c r="X361">
        <f>HYPERLINK("https://klasma.github.io/Logging_2121/tillsyn/A 30941-2024 tillsynsbegäran.docx", "A 30941-2024")</f>
        <v/>
      </c>
      <c r="Y361">
        <f>HYPERLINK("https://klasma.github.io/Logging_2121/tillsynsmail/A 30941-2024 tillsynsbegäran mail.docx", "A 30941-2024")</f>
        <v/>
      </c>
    </row>
    <row r="362" ht="15" customHeight="1">
      <c r="A362" t="inlineStr">
        <is>
          <t>A 31324-2024</t>
        </is>
      </c>
      <c r="B362" s="1" t="n">
        <v>45504</v>
      </c>
      <c r="C362" s="1" t="n">
        <v>45677</v>
      </c>
      <c r="D362" t="inlineStr">
        <is>
          <t>GÄVLEBORGS LÄN</t>
        </is>
      </c>
      <c r="E362" t="inlineStr">
        <is>
          <t>LJUSDAL</t>
        </is>
      </c>
      <c r="F362" t="inlineStr">
        <is>
          <t>Sveaskog</t>
        </is>
      </c>
      <c r="G362" t="n">
        <v>14</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31324-2024 artfynd.xlsx", "A 31324-2024")</f>
        <v/>
      </c>
      <c r="T362">
        <f>HYPERLINK("https://klasma.github.io/Logging_2161/kartor/A 31324-2024 karta.png", "A 31324-2024")</f>
        <v/>
      </c>
      <c r="V362">
        <f>HYPERLINK("https://klasma.github.io/Logging_2161/klagomål/A 31324-2024 FSC-klagomål.docx", "A 31324-2024")</f>
        <v/>
      </c>
      <c r="W362">
        <f>HYPERLINK("https://klasma.github.io/Logging_2161/klagomålsmail/A 31324-2024 FSC-klagomål mail.docx", "A 31324-2024")</f>
        <v/>
      </c>
      <c r="X362">
        <f>HYPERLINK("https://klasma.github.io/Logging_2161/tillsyn/A 31324-2024 tillsynsbegäran.docx", "A 31324-2024")</f>
        <v/>
      </c>
      <c r="Y362">
        <f>HYPERLINK("https://klasma.github.io/Logging_2161/tillsynsmail/A 31324-2024 tillsynsbegäran mail.docx", "A 31324-2024")</f>
        <v/>
      </c>
    </row>
    <row r="363" ht="15" customHeight="1">
      <c r="A363" t="inlineStr">
        <is>
          <t>A 32173-2024</t>
        </is>
      </c>
      <c r="B363" s="1" t="n">
        <v>45511</v>
      </c>
      <c r="C363" s="1" t="n">
        <v>45677</v>
      </c>
      <c r="D363" t="inlineStr">
        <is>
          <t>GÄVLEBORGS LÄN</t>
        </is>
      </c>
      <c r="E363" t="inlineStr">
        <is>
          <t>LJUSDAL</t>
        </is>
      </c>
      <c r="F363" t="inlineStr">
        <is>
          <t>Bergvik skog väst AB</t>
        </is>
      </c>
      <c r="G363" t="n">
        <v>10.3</v>
      </c>
      <c r="H363" t="n">
        <v>0</v>
      </c>
      <c r="I363" t="n">
        <v>2</v>
      </c>
      <c r="J363" t="n">
        <v>0</v>
      </c>
      <c r="K363" t="n">
        <v>0</v>
      </c>
      <c r="L363" t="n">
        <v>0</v>
      </c>
      <c r="M363" t="n">
        <v>0</v>
      </c>
      <c r="N363" t="n">
        <v>0</v>
      </c>
      <c r="O363" t="n">
        <v>0</v>
      </c>
      <c r="P363" t="n">
        <v>0</v>
      </c>
      <c r="Q363" t="n">
        <v>2</v>
      </c>
      <c r="R363" s="2" t="inlineStr">
        <is>
          <t>Skinnlav
Stor aspticka</t>
        </is>
      </c>
      <c r="S363">
        <f>HYPERLINK("https://klasma.github.io/Logging_2161/artfynd/A 32173-2024 artfynd.xlsx", "A 32173-2024")</f>
        <v/>
      </c>
      <c r="T363">
        <f>HYPERLINK("https://klasma.github.io/Logging_2161/kartor/A 32173-2024 karta.png", "A 32173-2024")</f>
        <v/>
      </c>
      <c r="U363">
        <f>HYPERLINK("https://klasma.github.io/Logging_2161/knärot/A 32173-2024 karta knärot.png", "A 32173-2024")</f>
        <v/>
      </c>
      <c r="V363">
        <f>HYPERLINK("https://klasma.github.io/Logging_2161/klagomål/A 32173-2024 FSC-klagomål.docx", "A 32173-2024")</f>
        <v/>
      </c>
      <c r="W363">
        <f>HYPERLINK("https://klasma.github.io/Logging_2161/klagomålsmail/A 32173-2024 FSC-klagomål mail.docx", "A 32173-2024")</f>
        <v/>
      </c>
      <c r="X363">
        <f>HYPERLINK("https://klasma.github.io/Logging_2161/tillsyn/A 32173-2024 tillsynsbegäran.docx", "A 32173-2024")</f>
        <v/>
      </c>
      <c r="Y363">
        <f>HYPERLINK("https://klasma.github.io/Logging_2161/tillsynsmail/A 32173-2024 tillsynsbegäran mail.docx", "A 32173-2024")</f>
        <v/>
      </c>
    </row>
    <row r="364" ht="15" customHeight="1">
      <c r="A364" t="inlineStr">
        <is>
          <t>A 32364-2024</t>
        </is>
      </c>
      <c r="B364" s="1" t="n">
        <v>45512</v>
      </c>
      <c r="C364" s="1" t="n">
        <v>45677</v>
      </c>
      <c r="D364" t="inlineStr">
        <is>
          <t>GÄVLEBORGS LÄN</t>
        </is>
      </c>
      <c r="E364" t="inlineStr">
        <is>
          <t>LJUSDAL</t>
        </is>
      </c>
      <c r="F364" t="inlineStr">
        <is>
          <t>Sveaskog</t>
        </is>
      </c>
      <c r="G364" t="n">
        <v>1</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32364-2024 artfynd.xlsx", "A 32364-2024")</f>
        <v/>
      </c>
      <c r="T364">
        <f>HYPERLINK("https://klasma.github.io/Logging_2161/kartor/A 32364-2024 karta.png", "A 32364-2024")</f>
        <v/>
      </c>
      <c r="V364">
        <f>HYPERLINK("https://klasma.github.io/Logging_2161/klagomål/A 32364-2024 FSC-klagomål.docx", "A 32364-2024")</f>
        <v/>
      </c>
      <c r="W364">
        <f>HYPERLINK("https://klasma.github.io/Logging_2161/klagomålsmail/A 32364-2024 FSC-klagomål mail.docx", "A 32364-2024")</f>
        <v/>
      </c>
      <c r="X364">
        <f>HYPERLINK("https://klasma.github.io/Logging_2161/tillsyn/A 32364-2024 tillsynsbegäran.docx", "A 32364-2024")</f>
        <v/>
      </c>
      <c r="Y364">
        <f>HYPERLINK("https://klasma.github.io/Logging_2161/tillsynsmail/A 32364-2024 tillsynsbegäran mail.docx", "A 32364-2024")</f>
        <v/>
      </c>
    </row>
    <row r="365" ht="15" customHeight="1">
      <c r="A365" t="inlineStr">
        <is>
          <t>A 34082-2024</t>
        </is>
      </c>
      <c r="B365" s="1" t="n">
        <v>45523</v>
      </c>
      <c r="C365" s="1" t="n">
        <v>45677</v>
      </c>
      <c r="D365" t="inlineStr">
        <is>
          <t>GÄVLEBORGS LÄN</t>
        </is>
      </c>
      <c r="E365" t="inlineStr">
        <is>
          <t>GÄVLE</t>
        </is>
      </c>
      <c r="F365" t="inlineStr">
        <is>
          <t>Bergvik skog väst AB</t>
        </is>
      </c>
      <c r="G365" t="n">
        <v>6.1</v>
      </c>
      <c r="H365" t="n">
        <v>1</v>
      </c>
      <c r="I365" t="n">
        <v>1</v>
      </c>
      <c r="J365" t="n">
        <v>0</v>
      </c>
      <c r="K365" t="n">
        <v>0</v>
      </c>
      <c r="L365" t="n">
        <v>0</v>
      </c>
      <c r="M365" t="n">
        <v>0</v>
      </c>
      <c r="N365" t="n">
        <v>0</v>
      </c>
      <c r="O365" t="n">
        <v>0</v>
      </c>
      <c r="P365" t="n">
        <v>0</v>
      </c>
      <c r="Q365" t="n">
        <v>2</v>
      </c>
      <c r="R365" s="2" t="inlineStr">
        <is>
          <t>Vårärt
Blåsippa</t>
        </is>
      </c>
      <c r="S365">
        <f>HYPERLINK("https://klasma.github.io/Logging_2180/artfynd/A 34082-2024 artfynd.xlsx", "A 34082-2024")</f>
        <v/>
      </c>
      <c r="T365">
        <f>HYPERLINK("https://klasma.github.io/Logging_2180/kartor/A 34082-2024 karta.png", "A 34082-2024")</f>
        <v/>
      </c>
      <c r="V365">
        <f>HYPERLINK("https://klasma.github.io/Logging_2180/klagomål/A 34082-2024 FSC-klagomål.docx", "A 34082-2024")</f>
        <v/>
      </c>
      <c r="W365">
        <f>HYPERLINK("https://klasma.github.io/Logging_2180/klagomålsmail/A 34082-2024 FSC-klagomål mail.docx", "A 34082-2024")</f>
        <v/>
      </c>
      <c r="X365">
        <f>HYPERLINK("https://klasma.github.io/Logging_2180/tillsyn/A 34082-2024 tillsynsbegäran.docx", "A 34082-2024")</f>
        <v/>
      </c>
      <c r="Y365">
        <f>HYPERLINK("https://klasma.github.io/Logging_2180/tillsynsmail/A 34082-2024 tillsynsbegäran mail.docx", "A 34082-2024")</f>
        <v/>
      </c>
    </row>
    <row r="366" ht="15" customHeight="1">
      <c r="A366" t="inlineStr">
        <is>
          <t>A 34997-2024</t>
        </is>
      </c>
      <c r="B366" s="1" t="n">
        <v>45527</v>
      </c>
      <c r="C366" s="1" t="n">
        <v>45677</v>
      </c>
      <c r="D366" t="inlineStr">
        <is>
          <t>GÄVLEBORGS LÄN</t>
        </is>
      </c>
      <c r="E366" t="inlineStr">
        <is>
          <t>LJUSDAL</t>
        </is>
      </c>
      <c r="F366" t="inlineStr">
        <is>
          <t>Sveaskog</t>
        </is>
      </c>
      <c r="G366" t="n">
        <v>5.3</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34997-2024 artfynd.xlsx", "A 34997-2024")</f>
        <v/>
      </c>
      <c r="T366">
        <f>HYPERLINK("https://klasma.github.io/Logging_2161/kartor/A 34997-2024 karta.png", "A 34997-2024")</f>
        <v/>
      </c>
      <c r="V366">
        <f>HYPERLINK("https://klasma.github.io/Logging_2161/klagomål/A 34997-2024 FSC-klagomål.docx", "A 34997-2024")</f>
        <v/>
      </c>
      <c r="W366">
        <f>HYPERLINK("https://klasma.github.io/Logging_2161/klagomålsmail/A 34997-2024 FSC-klagomål mail.docx", "A 34997-2024")</f>
        <v/>
      </c>
      <c r="X366">
        <f>HYPERLINK("https://klasma.github.io/Logging_2161/tillsyn/A 34997-2024 tillsynsbegäran.docx", "A 34997-2024")</f>
        <v/>
      </c>
      <c r="Y366">
        <f>HYPERLINK("https://klasma.github.io/Logging_2161/tillsynsmail/A 34997-2024 tillsynsbegäran mail.docx", "A 34997-2024")</f>
        <v/>
      </c>
    </row>
    <row r="367" ht="15" customHeight="1">
      <c r="A367" t="inlineStr">
        <is>
          <t>A 35350-2024</t>
        </is>
      </c>
      <c r="B367" s="1" t="n">
        <v>45531</v>
      </c>
      <c r="C367" s="1" t="n">
        <v>45677</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35350-2024 artfynd.xlsx", "A 35350-2024")</f>
        <v/>
      </c>
      <c r="T367">
        <f>HYPERLINK("https://klasma.github.io/Logging_2121/kartor/A 35350-2024 karta.png", "A 35350-2024")</f>
        <v/>
      </c>
      <c r="V367">
        <f>HYPERLINK("https://klasma.github.io/Logging_2121/klagomål/A 35350-2024 FSC-klagomål.docx", "A 35350-2024")</f>
        <v/>
      </c>
      <c r="W367">
        <f>HYPERLINK("https://klasma.github.io/Logging_2121/klagomålsmail/A 35350-2024 FSC-klagomål mail.docx", "A 35350-2024")</f>
        <v/>
      </c>
      <c r="X367">
        <f>HYPERLINK("https://klasma.github.io/Logging_2121/tillsyn/A 35350-2024 tillsynsbegäran.docx", "A 35350-2024")</f>
        <v/>
      </c>
      <c r="Y367">
        <f>HYPERLINK("https://klasma.github.io/Logging_2121/tillsynsmail/A 35350-2024 tillsynsbegäran mail.docx", "A 35350-2024")</f>
        <v/>
      </c>
    </row>
    <row r="368" ht="15" customHeight="1">
      <c r="A368" t="inlineStr">
        <is>
          <t>A 35697-2024</t>
        </is>
      </c>
      <c r="B368" s="1" t="n">
        <v>45532</v>
      </c>
      <c r="C368" s="1" t="n">
        <v>45677</v>
      </c>
      <c r="D368" t="inlineStr">
        <is>
          <t>GÄVLEBORGS LÄN</t>
        </is>
      </c>
      <c r="E368" t="inlineStr">
        <is>
          <t>LJUSDAL</t>
        </is>
      </c>
      <c r="F368" t="inlineStr">
        <is>
          <t>Bergvik skog väst AB</t>
        </is>
      </c>
      <c r="G368" t="n">
        <v>9.800000000000001</v>
      </c>
      <c r="H368" t="n">
        <v>1</v>
      </c>
      <c r="I368" t="n">
        <v>0</v>
      </c>
      <c r="J368" t="n">
        <v>1</v>
      </c>
      <c r="K368" t="n">
        <v>0</v>
      </c>
      <c r="L368" t="n">
        <v>0</v>
      </c>
      <c r="M368" t="n">
        <v>0</v>
      </c>
      <c r="N368" t="n">
        <v>0</v>
      </c>
      <c r="O368" t="n">
        <v>1</v>
      </c>
      <c r="P368" t="n">
        <v>0</v>
      </c>
      <c r="Q368" t="n">
        <v>2</v>
      </c>
      <c r="R368" s="2" t="inlineStr">
        <is>
          <t>Garnlav
Nattviol</t>
        </is>
      </c>
      <c r="S368">
        <f>HYPERLINK("https://klasma.github.io/Logging_2161/artfynd/A 35697-2024 artfynd.xlsx", "A 35697-2024")</f>
        <v/>
      </c>
      <c r="T368">
        <f>HYPERLINK("https://klasma.github.io/Logging_2161/kartor/A 35697-2024 karta.png", "A 35697-2024")</f>
        <v/>
      </c>
      <c r="V368">
        <f>HYPERLINK("https://klasma.github.io/Logging_2161/klagomål/A 35697-2024 FSC-klagomål.docx", "A 35697-2024")</f>
        <v/>
      </c>
      <c r="W368">
        <f>HYPERLINK("https://klasma.github.io/Logging_2161/klagomålsmail/A 35697-2024 FSC-klagomål mail.docx", "A 35697-2024")</f>
        <v/>
      </c>
      <c r="X368">
        <f>HYPERLINK("https://klasma.github.io/Logging_2161/tillsyn/A 35697-2024 tillsynsbegäran.docx", "A 35697-2024")</f>
        <v/>
      </c>
      <c r="Y368">
        <f>HYPERLINK("https://klasma.github.io/Logging_2161/tillsynsmail/A 35697-2024 tillsynsbegäran mail.docx", "A 35697-2024")</f>
        <v/>
      </c>
    </row>
    <row r="369" ht="15" customHeight="1">
      <c r="A369" t="inlineStr">
        <is>
          <t>A 36074-2024</t>
        </is>
      </c>
      <c r="B369" s="1" t="n">
        <v>45533</v>
      </c>
      <c r="C369" s="1" t="n">
        <v>45677</v>
      </c>
      <c r="D369" t="inlineStr">
        <is>
          <t>GÄVLEBORGS LÄN</t>
        </is>
      </c>
      <c r="E369" t="inlineStr">
        <is>
          <t>LJUSDAL</t>
        </is>
      </c>
      <c r="F369" t="inlineStr">
        <is>
          <t>Sveaskog</t>
        </is>
      </c>
      <c r="G369" t="n">
        <v>1</v>
      </c>
      <c r="H369" t="n">
        <v>0</v>
      </c>
      <c r="I369" t="n">
        <v>0</v>
      </c>
      <c r="J369" t="n">
        <v>2</v>
      </c>
      <c r="K369" t="n">
        <v>0</v>
      </c>
      <c r="L369" t="n">
        <v>0</v>
      </c>
      <c r="M369" t="n">
        <v>0</v>
      </c>
      <c r="N369" t="n">
        <v>0</v>
      </c>
      <c r="O369" t="n">
        <v>2</v>
      </c>
      <c r="P369" t="n">
        <v>0</v>
      </c>
      <c r="Q369" t="n">
        <v>2</v>
      </c>
      <c r="R369" s="2" t="inlineStr">
        <is>
          <t>Kolflarnlav
Vedflamlav</t>
        </is>
      </c>
      <c r="S369">
        <f>HYPERLINK("https://klasma.github.io/Logging_2161/artfynd/A 36074-2024 artfynd.xlsx", "A 36074-2024")</f>
        <v/>
      </c>
      <c r="T369">
        <f>HYPERLINK("https://klasma.github.io/Logging_2161/kartor/A 36074-2024 karta.png", "A 36074-2024")</f>
        <v/>
      </c>
      <c r="V369">
        <f>HYPERLINK("https://klasma.github.io/Logging_2161/klagomål/A 36074-2024 FSC-klagomål.docx", "A 36074-2024")</f>
        <v/>
      </c>
      <c r="W369">
        <f>HYPERLINK("https://klasma.github.io/Logging_2161/klagomålsmail/A 36074-2024 FSC-klagomål mail.docx", "A 36074-2024")</f>
        <v/>
      </c>
      <c r="X369">
        <f>HYPERLINK("https://klasma.github.io/Logging_2161/tillsyn/A 36074-2024 tillsynsbegäran.docx", "A 36074-2024")</f>
        <v/>
      </c>
      <c r="Y369">
        <f>HYPERLINK("https://klasma.github.io/Logging_2161/tillsynsmail/A 36074-2024 tillsynsbegäran mail.docx", "A 36074-2024")</f>
        <v/>
      </c>
    </row>
    <row r="370" ht="15" customHeight="1">
      <c r="A370" t="inlineStr">
        <is>
          <t>A 36310-2024</t>
        </is>
      </c>
      <c r="B370" s="1" t="n">
        <v>45534</v>
      </c>
      <c r="C370" s="1" t="n">
        <v>45677</v>
      </c>
      <c r="D370" t="inlineStr">
        <is>
          <t>GÄVLEBORGS LÄN</t>
        </is>
      </c>
      <c r="E370" t="inlineStr">
        <is>
          <t>NORDANSTIG</t>
        </is>
      </c>
      <c r="F370" t="inlineStr">
        <is>
          <t>Holmen skog AB</t>
        </is>
      </c>
      <c r="G370" t="n">
        <v>6.5</v>
      </c>
      <c r="H370" t="n">
        <v>1</v>
      </c>
      <c r="I370" t="n">
        <v>1</v>
      </c>
      <c r="J370" t="n">
        <v>0</v>
      </c>
      <c r="K370" t="n">
        <v>0</v>
      </c>
      <c r="L370" t="n">
        <v>0</v>
      </c>
      <c r="M370" t="n">
        <v>0</v>
      </c>
      <c r="N370" t="n">
        <v>0</v>
      </c>
      <c r="O370" t="n">
        <v>0</v>
      </c>
      <c r="P370" t="n">
        <v>0</v>
      </c>
      <c r="Q370" t="n">
        <v>2</v>
      </c>
      <c r="R370" s="2" t="inlineStr">
        <is>
          <t>Nästlav
Revlummer</t>
        </is>
      </c>
      <c r="S370">
        <f>HYPERLINK("https://klasma.github.io/Logging_2132/artfynd/A 36310-2024 artfynd.xlsx", "A 36310-2024")</f>
        <v/>
      </c>
      <c r="T370">
        <f>HYPERLINK("https://klasma.github.io/Logging_2132/kartor/A 36310-2024 karta.png", "A 36310-2024")</f>
        <v/>
      </c>
      <c r="V370">
        <f>HYPERLINK("https://klasma.github.io/Logging_2132/klagomål/A 36310-2024 FSC-klagomål.docx", "A 36310-2024")</f>
        <v/>
      </c>
      <c r="W370">
        <f>HYPERLINK("https://klasma.github.io/Logging_2132/klagomålsmail/A 36310-2024 FSC-klagomål mail.docx", "A 36310-2024")</f>
        <v/>
      </c>
      <c r="X370">
        <f>HYPERLINK("https://klasma.github.io/Logging_2132/tillsyn/A 36310-2024 tillsynsbegäran.docx", "A 36310-2024")</f>
        <v/>
      </c>
      <c r="Y370">
        <f>HYPERLINK("https://klasma.github.io/Logging_2132/tillsynsmail/A 36310-2024 tillsynsbegäran mail.docx", "A 36310-2024")</f>
        <v/>
      </c>
    </row>
    <row r="371" ht="15" customHeight="1">
      <c r="A371" t="inlineStr">
        <is>
          <t>A 38306-2024</t>
        </is>
      </c>
      <c r="B371" s="1" t="n">
        <v>45545</v>
      </c>
      <c r="C371" s="1" t="n">
        <v>45677</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39889-2024</t>
        </is>
      </c>
      <c r="B372" s="1" t="n">
        <v>45553</v>
      </c>
      <c r="C372" s="1" t="n">
        <v>45677</v>
      </c>
      <c r="D372" t="inlineStr">
        <is>
          <t>GÄVLEBORGS LÄN</t>
        </is>
      </c>
      <c r="E372" t="inlineStr">
        <is>
          <t>LJUSDAL</t>
        </is>
      </c>
      <c r="F372" t="inlineStr">
        <is>
          <t>Sveaskog</t>
        </is>
      </c>
      <c r="G372" t="n">
        <v>1.5</v>
      </c>
      <c r="H372" t="n">
        <v>1</v>
      </c>
      <c r="I372" t="n">
        <v>0</v>
      </c>
      <c r="J372" t="n">
        <v>1</v>
      </c>
      <c r="K372" t="n">
        <v>1</v>
      </c>
      <c r="L372" t="n">
        <v>0</v>
      </c>
      <c r="M372" t="n">
        <v>0</v>
      </c>
      <c r="N372" t="n">
        <v>0</v>
      </c>
      <c r="O372" t="n">
        <v>2</v>
      </c>
      <c r="P372" t="n">
        <v>1</v>
      </c>
      <c r="Q372" t="n">
        <v>2</v>
      </c>
      <c r="R372" s="2" t="inlineStr">
        <is>
          <t>Knärot
Ullticka</t>
        </is>
      </c>
      <c r="S372">
        <f>HYPERLINK("https://klasma.github.io/Logging_2161/artfynd/A 39889-2024 artfynd.xlsx", "A 39889-2024")</f>
        <v/>
      </c>
      <c r="T372">
        <f>HYPERLINK("https://klasma.github.io/Logging_2161/kartor/A 39889-2024 karta.png", "A 39889-2024")</f>
        <v/>
      </c>
      <c r="U372">
        <f>HYPERLINK("https://klasma.github.io/Logging_2161/knärot/A 39889-2024 karta knärot.png", "A 39889-2024")</f>
        <v/>
      </c>
      <c r="V372">
        <f>HYPERLINK("https://klasma.github.io/Logging_2161/klagomål/A 39889-2024 FSC-klagomål.docx", "A 39889-2024")</f>
        <v/>
      </c>
      <c r="W372">
        <f>HYPERLINK("https://klasma.github.io/Logging_2161/klagomålsmail/A 39889-2024 FSC-klagomål mail.docx", "A 39889-2024")</f>
        <v/>
      </c>
      <c r="X372">
        <f>HYPERLINK("https://klasma.github.io/Logging_2161/tillsyn/A 39889-2024 tillsynsbegäran.docx", "A 39889-2024")</f>
        <v/>
      </c>
      <c r="Y372">
        <f>HYPERLINK("https://klasma.github.io/Logging_2161/tillsynsmail/A 39889-2024 tillsynsbegäran mail.docx", "A 39889-2024")</f>
        <v/>
      </c>
    </row>
    <row r="373" ht="15" customHeight="1">
      <c r="A373" t="inlineStr">
        <is>
          <t>A 41163-2024</t>
        </is>
      </c>
      <c r="B373" s="1" t="n">
        <v>45559</v>
      </c>
      <c r="C373" s="1" t="n">
        <v>45677</v>
      </c>
      <c r="D373" t="inlineStr">
        <is>
          <t>GÄVLEBORGS LÄN</t>
        </is>
      </c>
      <c r="E373" t="inlineStr">
        <is>
          <t>LJUSDAL</t>
        </is>
      </c>
      <c r="G373" t="n">
        <v>2.9</v>
      </c>
      <c r="H373" t="n">
        <v>1</v>
      </c>
      <c r="I373" t="n">
        <v>0</v>
      </c>
      <c r="J373" t="n">
        <v>2</v>
      </c>
      <c r="K373" t="n">
        <v>0</v>
      </c>
      <c r="L373" t="n">
        <v>0</v>
      </c>
      <c r="M373" t="n">
        <v>0</v>
      </c>
      <c r="N373" t="n">
        <v>0</v>
      </c>
      <c r="O373" t="n">
        <v>2</v>
      </c>
      <c r="P373" t="n">
        <v>0</v>
      </c>
      <c r="Q373" t="n">
        <v>2</v>
      </c>
      <c r="R373" s="2" t="inlineStr">
        <is>
          <t>Tretåig hackspett
Ullticka</t>
        </is>
      </c>
      <c r="S373">
        <f>HYPERLINK("https://klasma.github.io/Logging_2161/artfynd/A 41163-2024 artfynd.xlsx", "A 41163-2024")</f>
        <v/>
      </c>
      <c r="T373">
        <f>HYPERLINK("https://klasma.github.io/Logging_2161/kartor/A 41163-2024 karta.png", "A 41163-2024")</f>
        <v/>
      </c>
      <c r="V373">
        <f>HYPERLINK("https://klasma.github.io/Logging_2161/klagomål/A 41163-2024 FSC-klagomål.docx", "A 41163-2024")</f>
        <v/>
      </c>
      <c r="W373">
        <f>HYPERLINK("https://klasma.github.io/Logging_2161/klagomålsmail/A 41163-2024 FSC-klagomål mail.docx", "A 41163-2024")</f>
        <v/>
      </c>
      <c r="X373">
        <f>HYPERLINK("https://klasma.github.io/Logging_2161/tillsyn/A 41163-2024 tillsynsbegäran.docx", "A 41163-2024")</f>
        <v/>
      </c>
      <c r="Y373">
        <f>HYPERLINK("https://klasma.github.io/Logging_2161/tillsynsmail/A 41163-2024 tillsynsbegäran mail.docx", "A 41163-2024")</f>
        <v/>
      </c>
      <c r="Z373">
        <f>HYPERLINK("https://klasma.github.io/Logging_2161/fåglar/A 41163-2024 prioriterade fågelarter.docx", "A 41163-2024")</f>
        <v/>
      </c>
    </row>
    <row r="374" ht="15" customHeight="1">
      <c r="A374" t="inlineStr">
        <is>
          <t>A 42624-2024</t>
        </is>
      </c>
      <c r="B374" s="1" t="n">
        <v>45565</v>
      </c>
      <c r="C374" s="1" t="n">
        <v>45677</v>
      </c>
      <c r="D374" t="inlineStr">
        <is>
          <t>GÄVLEBORGS LÄN</t>
        </is>
      </c>
      <c r="E374" t="inlineStr">
        <is>
          <t>HUDIKSVALL</t>
        </is>
      </c>
      <c r="G374" t="n">
        <v>1.5</v>
      </c>
      <c r="H374" t="n">
        <v>0</v>
      </c>
      <c r="I374" t="n">
        <v>0</v>
      </c>
      <c r="J374" t="n">
        <v>2</v>
      </c>
      <c r="K374" t="n">
        <v>0</v>
      </c>
      <c r="L374" t="n">
        <v>0</v>
      </c>
      <c r="M374" t="n">
        <v>0</v>
      </c>
      <c r="N374" t="n">
        <v>0</v>
      </c>
      <c r="O374" t="n">
        <v>2</v>
      </c>
      <c r="P374" t="n">
        <v>0</v>
      </c>
      <c r="Q374" t="n">
        <v>2</v>
      </c>
      <c r="R374" s="2" t="inlineStr">
        <is>
          <t>Vedflikmossa
Violettgrå tagellav</t>
        </is>
      </c>
      <c r="S374">
        <f>HYPERLINK("https://klasma.github.io/Logging_2184/artfynd/A 42624-2024 artfynd.xlsx", "A 42624-2024")</f>
        <v/>
      </c>
      <c r="T374">
        <f>HYPERLINK("https://klasma.github.io/Logging_2184/kartor/A 42624-2024 karta.png", "A 42624-2024")</f>
        <v/>
      </c>
      <c r="V374">
        <f>HYPERLINK("https://klasma.github.io/Logging_2184/klagomål/A 42624-2024 FSC-klagomål.docx", "A 42624-2024")</f>
        <v/>
      </c>
      <c r="W374">
        <f>HYPERLINK("https://klasma.github.io/Logging_2184/klagomålsmail/A 42624-2024 FSC-klagomål mail.docx", "A 42624-2024")</f>
        <v/>
      </c>
      <c r="X374">
        <f>HYPERLINK("https://klasma.github.io/Logging_2184/tillsyn/A 42624-2024 tillsynsbegäran.docx", "A 42624-2024")</f>
        <v/>
      </c>
      <c r="Y374">
        <f>HYPERLINK("https://klasma.github.io/Logging_2184/tillsynsmail/A 42624-2024 tillsynsbegäran mail.docx", "A 42624-2024")</f>
        <v/>
      </c>
    </row>
    <row r="375" ht="15" customHeight="1">
      <c r="A375" t="inlineStr">
        <is>
          <t>A 45270-2024</t>
        </is>
      </c>
      <c r="B375" s="1" t="n">
        <v>45576</v>
      </c>
      <c r="C375" s="1" t="n">
        <v>45677</v>
      </c>
      <c r="D375" t="inlineStr">
        <is>
          <t>GÄVLEBORGS LÄN</t>
        </is>
      </c>
      <c r="E375" t="inlineStr">
        <is>
          <t>LJUSDAL</t>
        </is>
      </c>
      <c r="F375" t="inlineStr">
        <is>
          <t>Sveaskog</t>
        </is>
      </c>
      <c r="G375" t="n">
        <v>5</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45270-2024 artfynd.xlsx", "A 45270-2024")</f>
        <v/>
      </c>
      <c r="T375">
        <f>HYPERLINK("https://klasma.github.io/Logging_2161/kartor/A 45270-2024 karta.png", "A 45270-2024")</f>
        <v/>
      </c>
      <c r="V375">
        <f>HYPERLINK("https://klasma.github.io/Logging_2161/klagomål/A 45270-2024 FSC-klagomål.docx", "A 45270-2024")</f>
        <v/>
      </c>
      <c r="W375">
        <f>HYPERLINK("https://klasma.github.io/Logging_2161/klagomålsmail/A 45270-2024 FSC-klagomål mail.docx", "A 45270-2024")</f>
        <v/>
      </c>
      <c r="X375">
        <f>HYPERLINK("https://klasma.github.io/Logging_2161/tillsyn/A 45270-2024 tillsynsbegäran.docx", "A 45270-2024")</f>
        <v/>
      </c>
      <c r="Y375">
        <f>HYPERLINK("https://klasma.github.io/Logging_2161/tillsynsmail/A 45270-2024 tillsynsbegäran mail.docx", "A 45270-2024")</f>
        <v/>
      </c>
    </row>
    <row r="376" ht="15" customHeight="1">
      <c r="A376" t="inlineStr">
        <is>
          <t>A 46247-2024</t>
        </is>
      </c>
      <c r="B376" s="1" t="n">
        <v>45581</v>
      </c>
      <c r="C376" s="1" t="n">
        <v>45677</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46868-2024</t>
        </is>
      </c>
      <c r="B377" s="1" t="n">
        <v>45583</v>
      </c>
      <c r="C377" s="1" t="n">
        <v>45677</v>
      </c>
      <c r="D377" t="inlineStr">
        <is>
          <t>GÄVLEBORGS LÄN</t>
        </is>
      </c>
      <c r="E377" t="inlineStr">
        <is>
          <t>LJUSDAL</t>
        </is>
      </c>
      <c r="F377" t="inlineStr">
        <is>
          <t>Sveaskog</t>
        </is>
      </c>
      <c r="G377" t="n">
        <v>1</v>
      </c>
      <c r="H377" t="n">
        <v>0</v>
      </c>
      <c r="I377" t="n">
        <v>1</v>
      </c>
      <c r="J377" t="n">
        <v>1</v>
      </c>
      <c r="K377" t="n">
        <v>0</v>
      </c>
      <c r="L377" t="n">
        <v>0</v>
      </c>
      <c r="M377" t="n">
        <v>0</v>
      </c>
      <c r="N377" t="n">
        <v>0</v>
      </c>
      <c r="O377" t="n">
        <v>1</v>
      </c>
      <c r="P377" t="n">
        <v>0</v>
      </c>
      <c r="Q377" t="n">
        <v>2</v>
      </c>
      <c r="R377" s="2" t="inlineStr">
        <is>
          <t>Blå taggsvamp
Dropptaggsvamp</t>
        </is>
      </c>
      <c r="S377">
        <f>HYPERLINK("https://klasma.github.io/Logging_2161/artfynd/A 46868-2024 artfynd.xlsx", "A 46868-2024")</f>
        <v/>
      </c>
      <c r="T377">
        <f>HYPERLINK("https://klasma.github.io/Logging_2161/kartor/A 46868-2024 karta.png", "A 46868-2024")</f>
        <v/>
      </c>
      <c r="V377">
        <f>HYPERLINK("https://klasma.github.io/Logging_2161/klagomål/A 46868-2024 FSC-klagomål.docx", "A 46868-2024")</f>
        <v/>
      </c>
      <c r="W377">
        <f>HYPERLINK("https://klasma.github.io/Logging_2161/klagomålsmail/A 46868-2024 FSC-klagomål mail.docx", "A 46868-2024")</f>
        <v/>
      </c>
      <c r="X377">
        <f>HYPERLINK("https://klasma.github.io/Logging_2161/tillsyn/A 46868-2024 tillsynsbegäran.docx", "A 46868-2024")</f>
        <v/>
      </c>
      <c r="Y377">
        <f>HYPERLINK("https://klasma.github.io/Logging_2161/tillsynsmail/A 46868-2024 tillsynsbegäran mail.docx", "A 46868-2024")</f>
        <v/>
      </c>
    </row>
    <row r="378" ht="15" customHeight="1">
      <c r="A378" t="inlineStr">
        <is>
          <t>A 47230-2024</t>
        </is>
      </c>
      <c r="B378" s="1" t="n">
        <v>45586</v>
      </c>
      <c r="C378" s="1" t="n">
        <v>45677</v>
      </c>
      <c r="D378" t="inlineStr">
        <is>
          <t>GÄVLEBORGS LÄN</t>
        </is>
      </c>
      <c r="E378" t="inlineStr">
        <is>
          <t>LJUSDAL</t>
        </is>
      </c>
      <c r="F378" t="inlineStr">
        <is>
          <t>Sveaskog</t>
        </is>
      </c>
      <c r="G378" t="n">
        <v>16.1</v>
      </c>
      <c r="H378" t="n">
        <v>0</v>
      </c>
      <c r="I378" t="n">
        <v>0</v>
      </c>
      <c r="J378" t="n">
        <v>2</v>
      </c>
      <c r="K378" t="n">
        <v>0</v>
      </c>
      <c r="L378" t="n">
        <v>0</v>
      </c>
      <c r="M378" t="n">
        <v>0</v>
      </c>
      <c r="N378" t="n">
        <v>0</v>
      </c>
      <c r="O378" t="n">
        <v>2</v>
      </c>
      <c r="P378" t="n">
        <v>0</v>
      </c>
      <c r="Q378" t="n">
        <v>2</v>
      </c>
      <c r="R378" s="2" t="inlineStr">
        <is>
          <t>Grantaggsvamp
Lunglav</t>
        </is>
      </c>
      <c r="S378">
        <f>HYPERLINK("https://klasma.github.io/Logging_2161/artfynd/A 47230-2024 artfynd.xlsx", "A 47230-2024")</f>
        <v/>
      </c>
      <c r="T378">
        <f>HYPERLINK("https://klasma.github.io/Logging_2161/kartor/A 47230-2024 karta.png", "A 47230-2024")</f>
        <v/>
      </c>
      <c r="V378">
        <f>HYPERLINK("https://klasma.github.io/Logging_2161/klagomål/A 47230-2024 FSC-klagomål.docx", "A 47230-2024")</f>
        <v/>
      </c>
      <c r="W378">
        <f>HYPERLINK("https://klasma.github.io/Logging_2161/klagomålsmail/A 47230-2024 FSC-klagomål mail.docx", "A 47230-2024")</f>
        <v/>
      </c>
      <c r="X378">
        <f>HYPERLINK("https://klasma.github.io/Logging_2161/tillsyn/A 47230-2024 tillsynsbegäran.docx", "A 47230-2024")</f>
        <v/>
      </c>
      <c r="Y378">
        <f>HYPERLINK("https://klasma.github.io/Logging_2161/tillsynsmail/A 47230-2024 tillsynsbegäran mail.docx", "A 47230-2024")</f>
        <v/>
      </c>
    </row>
    <row r="379" ht="15" customHeight="1">
      <c r="A379" t="inlineStr">
        <is>
          <t>A 56870-2024</t>
        </is>
      </c>
      <c r="B379" s="1" t="n">
        <v>45628</v>
      </c>
      <c r="C379" s="1" t="n">
        <v>45677</v>
      </c>
      <c r="D379" t="inlineStr">
        <is>
          <t>GÄVLEBORGS LÄN</t>
        </is>
      </c>
      <c r="E379" t="inlineStr">
        <is>
          <t>GÄVLE</t>
        </is>
      </c>
      <c r="F379" t="inlineStr">
        <is>
          <t>Bergvik skog öst AB</t>
        </is>
      </c>
      <c r="G379" t="n">
        <v>12.4</v>
      </c>
      <c r="H379" t="n">
        <v>2</v>
      </c>
      <c r="I379" t="n">
        <v>0</v>
      </c>
      <c r="J379" t="n">
        <v>1</v>
      </c>
      <c r="K379" t="n">
        <v>0</v>
      </c>
      <c r="L379" t="n">
        <v>0</v>
      </c>
      <c r="M379" t="n">
        <v>0</v>
      </c>
      <c r="N379" t="n">
        <v>0</v>
      </c>
      <c r="O379" t="n">
        <v>1</v>
      </c>
      <c r="P379" t="n">
        <v>0</v>
      </c>
      <c r="Q379" t="n">
        <v>2</v>
      </c>
      <c r="R379" s="2" t="inlineStr">
        <is>
          <t>Havsörn
Dvärgpipistrell</t>
        </is>
      </c>
      <c r="S379">
        <f>HYPERLINK("https://klasma.github.io/Logging_2180/artfynd/A 56870-2024 artfynd.xlsx", "A 56870-2024")</f>
        <v/>
      </c>
      <c r="T379">
        <f>HYPERLINK("https://klasma.github.io/Logging_2180/kartor/A 56870-2024 karta.png", "A 56870-2024")</f>
        <v/>
      </c>
      <c r="V379">
        <f>HYPERLINK("https://klasma.github.io/Logging_2180/klagomål/A 56870-2024 FSC-klagomål.docx", "A 56870-2024")</f>
        <v/>
      </c>
      <c r="W379">
        <f>HYPERLINK("https://klasma.github.io/Logging_2180/klagomålsmail/A 56870-2024 FSC-klagomål mail.docx", "A 56870-2024")</f>
        <v/>
      </c>
      <c r="X379">
        <f>HYPERLINK("https://klasma.github.io/Logging_2180/tillsyn/A 56870-2024 tillsynsbegäran.docx", "A 56870-2024")</f>
        <v/>
      </c>
      <c r="Y379">
        <f>HYPERLINK("https://klasma.github.io/Logging_2180/tillsynsmail/A 56870-2024 tillsynsbegäran mail.docx", "A 56870-2024")</f>
        <v/>
      </c>
      <c r="Z379">
        <f>HYPERLINK("https://klasma.github.io/Logging_2180/fåglar/A 56870-2024 prioriterade fågelarter.docx", "A 56870-2024")</f>
        <v/>
      </c>
    </row>
    <row r="380" ht="15" customHeight="1">
      <c r="A380" t="inlineStr">
        <is>
          <t>A 56993-2024</t>
        </is>
      </c>
      <c r="B380" s="1" t="n">
        <v>45628</v>
      </c>
      <c r="C380" s="1" t="n">
        <v>45677</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45677</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45677</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45677</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45677</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45677</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45677</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45677</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45677</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45677</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45677</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45677</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45677</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45677</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45677</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45677</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45677</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45677</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45677</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45677</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45677</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45677</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45677</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45677</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45677</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45677</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45677</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45677</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45677</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45677</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45677</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45677</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45677</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45677</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45677</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45677</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45677</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45677</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45677</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45677</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45677</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45677</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45677</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45677</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45677</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45677</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45677</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45677</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45677</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45677</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45677</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45677</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45677</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45677</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45677</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45677</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45677</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45677</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45677</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45677</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45677</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45677</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45677</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45677</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45677</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45677</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45677</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45677</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45677</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45677</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45677</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45677</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45677</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45677</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45677</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45677</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45677</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45677</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45677</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45677</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45677</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45677</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45677</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45677</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45677</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45677</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45677</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45677</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45677</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45677</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45677</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45677</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45677</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45677</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24444-2022</t>
        </is>
      </c>
      <c r="B474" s="1" t="n">
        <v>44726</v>
      </c>
      <c r="C474" s="1" t="n">
        <v>45677</v>
      </c>
      <c r="D474" t="inlineStr">
        <is>
          <t>GÄVLEBORGS LÄN</t>
        </is>
      </c>
      <c r="E474" t="inlineStr">
        <is>
          <t>LJUSDAL</t>
        </is>
      </c>
      <c r="F474" t="inlineStr">
        <is>
          <t>Sveaskog</t>
        </is>
      </c>
      <c r="G474" t="n">
        <v>15.6</v>
      </c>
      <c r="H474" t="n">
        <v>0</v>
      </c>
      <c r="I474" t="n">
        <v>0</v>
      </c>
      <c r="J474" t="n">
        <v>1</v>
      </c>
      <c r="K474" t="n">
        <v>0</v>
      </c>
      <c r="L474" t="n">
        <v>0</v>
      </c>
      <c r="M474" t="n">
        <v>0</v>
      </c>
      <c r="N474" t="n">
        <v>0</v>
      </c>
      <c r="O474" t="n">
        <v>1</v>
      </c>
      <c r="P474" t="n">
        <v>0</v>
      </c>
      <c r="Q474" t="n">
        <v>1</v>
      </c>
      <c r="R474" s="2" t="inlineStr">
        <is>
          <t>Garnlav</t>
        </is>
      </c>
      <c r="S474">
        <f>HYPERLINK("https://klasma.github.io/Logging_2161/artfynd/A 24444-2022 artfynd.xlsx", "A 24444-2022")</f>
        <v/>
      </c>
      <c r="T474">
        <f>HYPERLINK("https://klasma.github.io/Logging_2161/kartor/A 24444-2022 karta.png", "A 24444-2022")</f>
        <v/>
      </c>
      <c r="V474">
        <f>HYPERLINK("https://klasma.github.io/Logging_2161/klagomål/A 24444-2022 FSC-klagomål.docx", "A 24444-2022")</f>
        <v/>
      </c>
      <c r="W474">
        <f>HYPERLINK("https://klasma.github.io/Logging_2161/klagomålsmail/A 24444-2022 FSC-klagomål mail.docx", "A 24444-2022")</f>
        <v/>
      </c>
      <c r="X474">
        <f>HYPERLINK("https://klasma.github.io/Logging_2161/tillsyn/A 24444-2022 tillsynsbegäran.docx", "A 24444-2022")</f>
        <v/>
      </c>
      <c r="Y474">
        <f>HYPERLINK("https://klasma.github.io/Logging_2161/tillsynsmail/A 24444-2022 tillsynsbegäran mail.docx", "A 24444-2022")</f>
        <v/>
      </c>
    </row>
    <row r="475" ht="15" customHeight="1">
      <c r="A475" t="inlineStr">
        <is>
          <t>A 24451-2022</t>
        </is>
      </c>
      <c r="B475" s="1" t="n">
        <v>44726</v>
      </c>
      <c r="C475" s="1" t="n">
        <v>45677</v>
      </c>
      <c r="D475" t="inlineStr">
        <is>
          <t>GÄVLEBORGS LÄN</t>
        </is>
      </c>
      <c r="E475" t="inlineStr">
        <is>
          <t>HUDIKSVALL</t>
        </is>
      </c>
      <c r="F475" t="inlineStr">
        <is>
          <t>Holmen skog AB</t>
        </is>
      </c>
      <c r="G475" t="n">
        <v>3</v>
      </c>
      <c r="H475" t="n">
        <v>0</v>
      </c>
      <c r="I475" t="n">
        <v>0</v>
      </c>
      <c r="J475" t="n">
        <v>1</v>
      </c>
      <c r="K475" t="n">
        <v>0</v>
      </c>
      <c r="L475" t="n">
        <v>0</v>
      </c>
      <c r="M475" t="n">
        <v>0</v>
      </c>
      <c r="N475" t="n">
        <v>0</v>
      </c>
      <c r="O475" t="n">
        <v>1</v>
      </c>
      <c r="P475" t="n">
        <v>0</v>
      </c>
      <c r="Q475" t="n">
        <v>1</v>
      </c>
      <c r="R475" s="2" t="inlineStr">
        <is>
          <t>Vitgrynig nållav</t>
        </is>
      </c>
      <c r="S475">
        <f>HYPERLINK("https://klasma.github.io/Logging_2184/artfynd/A 24451-2022 artfynd.xlsx", "A 24451-2022")</f>
        <v/>
      </c>
      <c r="T475">
        <f>HYPERLINK("https://klasma.github.io/Logging_2184/kartor/A 24451-2022 karta.png", "A 24451-2022")</f>
        <v/>
      </c>
      <c r="V475">
        <f>HYPERLINK("https://klasma.github.io/Logging_2184/klagomål/A 24451-2022 FSC-klagomål.docx", "A 24451-2022")</f>
        <v/>
      </c>
      <c r="W475">
        <f>HYPERLINK("https://klasma.github.io/Logging_2184/klagomålsmail/A 24451-2022 FSC-klagomål mail.docx", "A 24451-2022")</f>
        <v/>
      </c>
      <c r="X475">
        <f>HYPERLINK("https://klasma.github.io/Logging_2184/tillsyn/A 24451-2022 tillsynsbegäran.docx", "A 24451-2022")</f>
        <v/>
      </c>
      <c r="Y475">
        <f>HYPERLINK("https://klasma.github.io/Logging_2184/tillsynsmail/A 24451-2022 tillsynsbegäran mail.docx", "A 24451-2022")</f>
        <v/>
      </c>
    </row>
    <row r="476" ht="15" customHeight="1">
      <c r="A476" t="inlineStr">
        <is>
          <t>A 24698-2022</t>
        </is>
      </c>
      <c r="B476" s="1" t="n">
        <v>44727</v>
      </c>
      <c r="C476" s="1" t="n">
        <v>45677</v>
      </c>
      <c r="D476" t="inlineStr">
        <is>
          <t>GÄVLEBORGS LÄN</t>
        </is>
      </c>
      <c r="E476" t="inlineStr">
        <is>
          <t>SANDVIKEN</t>
        </is>
      </c>
      <c r="F476" t="inlineStr">
        <is>
          <t>Sveaskog</t>
        </is>
      </c>
      <c r="G476" t="n">
        <v>14.8</v>
      </c>
      <c r="H476" t="n">
        <v>1</v>
      </c>
      <c r="I476" t="n">
        <v>0</v>
      </c>
      <c r="J476" t="n">
        <v>0</v>
      </c>
      <c r="K476" t="n">
        <v>0</v>
      </c>
      <c r="L476" t="n">
        <v>0</v>
      </c>
      <c r="M476" t="n">
        <v>0</v>
      </c>
      <c r="N476" t="n">
        <v>0</v>
      </c>
      <c r="O476" t="n">
        <v>0</v>
      </c>
      <c r="P476" t="n">
        <v>0</v>
      </c>
      <c r="Q476" t="n">
        <v>1</v>
      </c>
      <c r="R476" s="2" t="inlineStr">
        <is>
          <t>Nattviol</t>
        </is>
      </c>
      <c r="S476">
        <f>HYPERLINK("https://klasma.github.io/Logging_2181/artfynd/A 24698-2022 artfynd.xlsx", "A 24698-2022")</f>
        <v/>
      </c>
      <c r="T476">
        <f>HYPERLINK("https://klasma.github.io/Logging_2181/kartor/A 24698-2022 karta.png", "A 24698-2022")</f>
        <v/>
      </c>
      <c r="V476">
        <f>HYPERLINK("https://klasma.github.io/Logging_2181/klagomål/A 24698-2022 FSC-klagomål.docx", "A 24698-2022")</f>
        <v/>
      </c>
      <c r="W476">
        <f>HYPERLINK("https://klasma.github.io/Logging_2181/klagomålsmail/A 24698-2022 FSC-klagomål mail.docx", "A 24698-2022")</f>
        <v/>
      </c>
      <c r="X476">
        <f>HYPERLINK("https://klasma.github.io/Logging_2181/tillsyn/A 24698-2022 tillsynsbegäran.docx", "A 24698-2022")</f>
        <v/>
      </c>
      <c r="Y476">
        <f>HYPERLINK("https://klasma.github.io/Logging_2181/tillsynsmail/A 24698-2022 tillsynsbegäran mail.docx", "A 24698-2022")</f>
        <v/>
      </c>
    </row>
    <row r="477" ht="15" customHeight="1">
      <c r="A477" t="inlineStr">
        <is>
          <t>A 25688-2022</t>
        </is>
      </c>
      <c r="B477" s="1" t="n">
        <v>44733</v>
      </c>
      <c r="C477" s="1" t="n">
        <v>45677</v>
      </c>
      <c r="D477" t="inlineStr">
        <is>
          <t>GÄVLEBORGS LÄN</t>
        </is>
      </c>
      <c r="E477" t="inlineStr">
        <is>
          <t>SANDVIKEN</t>
        </is>
      </c>
      <c r="G477" t="n">
        <v>5.8</v>
      </c>
      <c r="H477" t="n">
        <v>1</v>
      </c>
      <c r="I477" t="n">
        <v>0</v>
      </c>
      <c r="J477" t="n">
        <v>0</v>
      </c>
      <c r="K477" t="n">
        <v>0</v>
      </c>
      <c r="L477" t="n">
        <v>0</v>
      </c>
      <c r="M477" t="n">
        <v>0</v>
      </c>
      <c r="N477" t="n">
        <v>0</v>
      </c>
      <c r="O477" t="n">
        <v>0</v>
      </c>
      <c r="P477" t="n">
        <v>0</v>
      </c>
      <c r="Q477" t="n">
        <v>1</v>
      </c>
      <c r="R477" s="2" t="inlineStr">
        <is>
          <t>Revlummer</t>
        </is>
      </c>
      <c r="S477">
        <f>HYPERLINK("https://klasma.github.io/Logging_2181/artfynd/A 25688-2022 artfynd.xlsx", "A 25688-2022")</f>
        <v/>
      </c>
      <c r="T477">
        <f>HYPERLINK("https://klasma.github.io/Logging_2181/kartor/A 25688-2022 karta.png", "A 25688-2022")</f>
        <v/>
      </c>
      <c r="V477">
        <f>HYPERLINK("https://klasma.github.io/Logging_2181/klagomål/A 25688-2022 FSC-klagomål.docx", "A 25688-2022")</f>
        <v/>
      </c>
      <c r="W477">
        <f>HYPERLINK("https://klasma.github.io/Logging_2181/klagomålsmail/A 25688-2022 FSC-klagomål mail.docx", "A 25688-2022")</f>
        <v/>
      </c>
      <c r="X477">
        <f>HYPERLINK("https://klasma.github.io/Logging_2181/tillsyn/A 25688-2022 tillsynsbegäran.docx", "A 25688-2022")</f>
        <v/>
      </c>
      <c r="Y477">
        <f>HYPERLINK("https://klasma.github.io/Logging_2181/tillsynsmail/A 25688-2022 tillsynsbegäran mail.docx", "A 25688-2022")</f>
        <v/>
      </c>
    </row>
    <row r="478" ht="15" customHeight="1">
      <c r="A478" t="inlineStr">
        <is>
          <t>A 27508-2022</t>
        </is>
      </c>
      <c r="B478" s="1" t="n">
        <v>44742</v>
      </c>
      <c r="C478" s="1" t="n">
        <v>45677</v>
      </c>
      <c r="D478" t="inlineStr">
        <is>
          <t>GÄVLEBORGS LÄN</t>
        </is>
      </c>
      <c r="E478" t="inlineStr">
        <is>
          <t>LJUSDAL</t>
        </is>
      </c>
      <c r="F478" t="inlineStr">
        <is>
          <t>Kommuner</t>
        </is>
      </c>
      <c r="G478" t="n">
        <v>1.8</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27508-2022 artfynd.xlsx", "A 27508-2022")</f>
        <v/>
      </c>
      <c r="T478">
        <f>HYPERLINK("https://klasma.github.io/Logging_2161/kartor/A 27508-2022 karta.png", "A 27508-2022")</f>
        <v/>
      </c>
      <c r="V478">
        <f>HYPERLINK("https://klasma.github.io/Logging_2161/klagomål/A 27508-2022 FSC-klagomål.docx", "A 27508-2022")</f>
        <v/>
      </c>
      <c r="W478">
        <f>HYPERLINK("https://klasma.github.io/Logging_2161/klagomålsmail/A 27508-2022 FSC-klagomål mail.docx", "A 27508-2022")</f>
        <v/>
      </c>
      <c r="X478">
        <f>HYPERLINK("https://klasma.github.io/Logging_2161/tillsyn/A 27508-2022 tillsynsbegäran.docx", "A 27508-2022")</f>
        <v/>
      </c>
      <c r="Y478">
        <f>HYPERLINK("https://klasma.github.io/Logging_2161/tillsynsmail/A 27508-2022 tillsynsbegäran mail.docx", "A 27508-2022")</f>
        <v/>
      </c>
    </row>
    <row r="479" ht="15" customHeight="1">
      <c r="A479" t="inlineStr">
        <is>
          <t>A 27896-2022</t>
        </is>
      </c>
      <c r="B479" s="1" t="n">
        <v>44743</v>
      </c>
      <c r="C479" s="1" t="n">
        <v>45677</v>
      </c>
      <c r="D479" t="inlineStr">
        <is>
          <t>GÄVLEBORGS LÄN</t>
        </is>
      </c>
      <c r="E479" t="inlineStr">
        <is>
          <t>LJUSDAL</t>
        </is>
      </c>
      <c r="F479" t="inlineStr">
        <is>
          <t>Bergvik skog väst AB</t>
        </is>
      </c>
      <c r="G479" t="n">
        <v>5.4</v>
      </c>
      <c r="H479" t="n">
        <v>0</v>
      </c>
      <c r="I479" t="n">
        <v>0</v>
      </c>
      <c r="J479" t="n">
        <v>1</v>
      </c>
      <c r="K479" t="n">
        <v>0</v>
      </c>
      <c r="L479" t="n">
        <v>0</v>
      </c>
      <c r="M479" t="n">
        <v>0</v>
      </c>
      <c r="N479" t="n">
        <v>0</v>
      </c>
      <c r="O479" t="n">
        <v>1</v>
      </c>
      <c r="P479" t="n">
        <v>0</v>
      </c>
      <c r="Q479" t="n">
        <v>1</v>
      </c>
      <c r="R479" s="2" t="inlineStr">
        <is>
          <t>Stiftgelélav</t>
        </is>
      </c>
      <c r="S479">
        <f>HYPERLINK("https://klasma.github.io/Logging_2161/artfynd/A 27896-2022 artfynd.xlsx", "A 27896-2022")</f>
        <v/>
      </c>
      <c r="T479">
        <f>HYPERLINK("https://klasma.github.io/Logging_2161/kartor/A 27896-2022 karta.png", "A 27896-2022")</f>
        <v/>
      </c>
      <c r="V479">
        <f>HYPERLINK("https://klasma.github.io/Logging_2161/klagomål/A 27896-2022 FSC-klagomål.docx", "A 27896-2022")</f>
        <v/>
      </c>
      <c r="W479">
        <f>HYPERLINK("https://klasma.github.io/Logging_2161/klagomålsmail/A 27896-2022 FSC-klagomål mail.docx", "A 27896-2022")</f>
        <v/>
      </c>
      <c r="X479">
        <f>HYPERLINK("https://klasma.github.io/Logging_2161/tillsyn/A 27896-2022 tillsynsbegäran.docx", "A 27896-2022")</f>
        <v/>
      </c>
      <c r="Y479">
        <f>HYPERLINK("https://klasma.github.io/Logging_2161/tillsynsmail/A 27896-2022 tillsynsbegäran mail.docx", "A 27896-2022")</f>
        <v/>
      </c>
    </row>
    <row r="480" ht="15" customHeight="1">
      <c r="A480" t="inlineStr">
        <is>
          <t>A 27966-2022</t>
        </is>
      </c>
      <c r="B480" s="1" t="n">
        <v>44744</v>
      </c>
      <c r="C480" s="1" t="n">
        <v>45677</v>
      </c>
      <c r="D480" t="inlineStr">
        <is>
          <t>GÄVLEBORGS LÄN</t>
        </is>
      </c>
      <c r="E480" t="inlineStr">
        <is>
          <t>SANDVIKEN</t>
        </is>
      </c>
      <c r="G480" t="n">
        <v>2.6</v>
      </c>
      <c r="H480" t="n">
        <v>0</v>
      </c>
      <c r="I480" t="n">
        <v>0</v>
      </c>
      <c r="J480" t="n">
        <v>1</v>
      </c>
      <c r="K480" t="n">
        <v>0</v>
      </c>
      <c r="L480" t="n">
        <v>0</v>
      </c>
      <c r="M480" t="n">
        <v>0</v>
      </c>
      <c r="N480" t="n">
        <v>0</v>
      </c>
      <c r="O480" t="n">
        <v>1</v>
      </c>
      <c r="P480" t="n">
        <v>0</v>
      </c>
      <c r="Q480" t="n">
        <v>1</v>
      </c>
      <c r="R480" s="2" t="inlineStr">
        <is>
          <t>Kortskaftad ärgspik</t>
        </is>
      </c>
      <c r="S480">
        <f>HYPERLINK("https://klasma.github.io/Logging_2181/artfynd/A 27966-2022 artfynd.xlsx", "A 27966-2022")</f>
        <v/>
      </c>
      <c r="T480">
        <f>HYPERLINK("https://klasma.github.io/Logging_2181/kartor/A 27966-2022 karta.png", "A 27966-2022")</f>
        <v/>
      </c>
      <c r="V480">
        <f>HYPERLINK("https://klasma.github.io/Logging_2181/klagomål/A 27966-2022 FSC-klagomål.docx", "A 27966-2022")</f>
        <v/>
      </c>
      <c r="W480">
        <f>HYPERLINK("https://klasma.github.io/Logging_2181/klagomålsmail/A 27966-2022 FSC-klagomål mail.docx", "A 27966-2022")</f>
        <v/>
      </c>
      <c r="X480">
        <f>HYPERLINK("https://klasma.github.io/Logging_2181/tillsyn/A 27966-2022 tillsynsbegäran.docx", "A 27966-2022")</f>
        <v/>
      </c>
      <c r="Y480">
        <f>HYPERLINK("https://klasma.github.io/Logging_2181/tillsynsmail/A 27966-2022 tillsynsbegäran mail.docx", "A 27966-2022")</f>
        <v/>
      </c>
    </row>
    <row r="481" ht="15" customHeight="1">
      <c r="A481" t="inlineStr">
        <is>
          <t>A 29671-2022</t>
        </is>
      </c>
      <c r="B481" s="1" t="n">
        <v>44754</v>
      </c>
      <c r="C481" s="1" t="n">
        <v>45677</v>
      </c>
      <c r="D481" t="inlineStr">
        <is>
          <t>GÄVLEBORGS LÄN</t>
        </is>
      </c>
      <c r="E481" t="inlineStr">
        <is>
          <t>SANDVIKEN</t>
        </is>
      </c>
      <c r="F481" t="inlineStr">
        <is>
          <t>Sveaskog</t>
        </is>
      </c>
      <c r="G481" t="n">
        <v>0.8</v>
      </c>
      <c r="H481" t="n">
        <v>1</v>
      </c>
      <c r="I481" t="n">
        <v>0</v>
      </c>
      <c r="J481" t="n">
        <v>0</v>
      </c>
      <c r="K481" t="n">
        <v>0</v>
      </c>
      <c r="L481" t="n">
        <v>0</v>
      </c>
      <c r="M481" t="n">
        <v>0</v>
      </c>
      <c r="N481" t="n">
        <v>0</v>
      </c>
      <c r="O481" t="n">
        <v>0</v>
      </c>
      <c r="P481" t="n">
        <v>0</v>
      </c>
      <c r="Q481" t="n">
        <v>1</v>
      </c>
      <c r="R481" s="2" t="inlineStr">
        <is>
          <t>Revlummer</t>
        </is>
      </c>
      <c r="S481">
        <f>HYPERLINK("https://klasma.github.io/Logging_2181/artfynd/A 29671-2022 artfynd.xlsx", "A 29671-2022")</f>
        <v/>
      </c>
      <c r="T481">
        <f>HYPERLINK("https://klasma.github.io/Logging_2181/kartor/A 29671-2022 karta.png", "A 29671-2022")</f>
        <v/>
      </c>
      <c r="V481">
        <f>HYPERLINK("https://klasma.github.io/Logging_2181/klagomål/A 29671-2022 FSC-klagomål.docx", "A 29671-2022")</f>
        <v/>
      </c>
      <c r="W481">
        <f>HYPERLINK("https://klasma.github.io/Logging_2181/klagomålsmail/A 29671-2022 FSC-klagomål mail.docx", "A 29671-2022")</f>
        <v/>
      </c>
      <c r="X481">
        <f>HYPERLINK("https://klasma.github.io/Logging_2181/tillsyn/A 29671-2022 tillsynsbegäran.docx", "A 29671-2022")</f>
        <v/>
      </c>
      <c r="Y481">
        <f>HYPERLINK("https://klasma.github.io/Logging_2181/tillsynsmail/A 29671-2022 tillsynsbegäran mail.docx", "A 29671-2022")</f>
        <v/>
      </c>
    </row>
    <row r="482" ht="15" customHeight="1">
      <c r="A482" t="inlineStr">
        <is>
          <t>A 30963-2022</t>
        </is>
      </c>
      <c r="B482" s="1" t="n">
        <v>44768</v>
      </c>
      <c r="C482" s="1" t="n">
        <v>45677</v>
      </c>
      <c r="D482" t="inlineStr">
        <is>
          <t>GÄVLEBORGS LÄN</t>
        </is>
      </c>
      <c r="E482" t="inlineStr">
        <is>
          <t>HUDIKSVALL</t>
        </is>
      </c>
      <c r="F482" t="inlineStr">
        <is>
          <t>Holmen skog AB</t>
        </is>
      </c>
      <c r="G482" t="n">
        <v>9.9</v>
      </c>
      <c r="H482" t="n">
        <v>1</v>
      </c>
      <c r="I482" t="n">
        <v>0</v>
      </c>
      <c r="J482" t="n">
        <v>0</v>
      </c>
      <c r="K482" t="n">
        <v>0</v>
      </c>
      <c r="L482" t="n">
        <v>0</v>
      </c>
      <c r="M482" t="n">
        <v>0</v>
      </c>
      <c r="N482" t="n">
        <v>0</v>
      </c>
      <c r="O482" t="n">
        <v>0</v>
      </c>
      <c r="P482" t="n">
        <v>0</v>
      </c>
      <c r="Q482" t="n">
        <v>1</v>
      </c>
      <c r="R482" s="2" t="inlineStr">
        <is>
          <t>Revlummer</t>
        </is>
      </c>
      <c r="S482">
        <f>HYPERLINK("https://klasma.github.io/Logging_2184/artfynd/A 30963-2022 artfynd.xlsx", "A 30963-2022")</f>
        <v/>
      </c>
      <c r="T482">
        <f>HYPERLINK("https://klasma.github.io/Logging_2184/kartor/A 30963-2022 karta.png", "A 30963-2022")</f>
        <v/>
      </c>
      <c r="V482">
        <f>HYPERLINK("https://klasma.github.io/Logging_2184/klagomål/A 30963-2022 FSC-klagomål.docx", "A 30963-2022")</f>
        <v/>
      </c>
      <c r="W482">
        <f>HYPERLINK("https://klasma.github.io/Logging_2184/klagomålsmail/A 30963-2022 FSC-klagomål mail.docx", "A 30963-2022")</f>
        <v/>
      </c>
      <c r="X482">
        <f>HYPERLINK("https://klasma.github.io/Logging_2184/tillsyn/A 30963-2022 tillsynsbegäran.docx", "A 30963-2022")</f>
        <v/>
      </c>
      <c r="Y482">
        <f>HYPERLINK("https://klasma.github.io/Logging_2184/tillsynsmail/A 30963-2022 tillsynsbegäran mail.docx", "A 30963-2022")</f>
        <v/>
      </c>
    </row>
    <row r="483" ht="15" customHeight="1">
      <c r="A483" t="inlineStr">
        <is>
          <t>A 31023-2022</t>
        </is>
      </c>
      <c r="B483" s="1" t="n">
        <v>44768</v>
      </c>
      <c r="C483" s="1" t="n">
        <v>45677</v>
      </c>
      <c r="D483" t="inlineStr">
        <is>
          <t>GÄVLEBORGS LÄN</t>
        </is>
      </c>
      <c r="E483" t="inlineStr">
        <is>
          <t>SANDVIKEN</t>
        </is>
      </c>
      <c r="F483" t="inlineStr">
        <is>
          <t>Sveaskog</t>
        </is>
      </c>
      <c r="G483" t="n">
        <v>2.4</v>
      </c>
      <c r="H483" t="n">
        <v>0</v>
      </c>
      <c r="I483" t="n">
        <v>1</v>
      </c>
      <c r="J483" t="n">
        <v>0</v>
      </c>
      <c r="K483" t="n">
        <v>0</v>
      </c>
      <c r="L483" t="n">
        <v>0</v>
      </c>
      <c r="M483" t="n">
        <v>0</v>
      </c>
      <c r="N483" t="n">
        <v>0</v>
      </c>
      <c r="O483" t="n">
        <v>0</v>
      </c>
      <c r="P483" t="n">
        <v>0</v>
      </c>
      <c r="Q483" t="n">
        <v>1</v>
      </c>
      <c r="R483" s="2" t="inlineStr">
        <is>
          <t>Bronshjon</t>
        </is>
      </c>
      <c r="S483">
        <f>HYPERLINK("https://klasma.github.io/Logging_2181/artfynd/A 31023-2022 artfynd.xlsx", "A 31023-2022")</f>
        <v/>
      </c>
      <c r="T483">
        <f>HYPERLINK("https://klasma.github.io/Logging_2181/kartor/A 31023-2022 karta.png", "A 31023-2022")</f>
        <v/>
      </c>
      <c r="V483">
        <f>HYPERLINK("https://klasma.github.io/Logging_2181/klagomål/A 31023-2022 FSC-klagomål.docx", "A 31023-2022")</f>
        <v/>
      </c>
      <c r="W483">
        <f>HYPERLINK("https://klasma.github.io/Logging_2181/klagomålsmail/A 31023-2022 FSC-klagomål mail.docx", "A 31023-2022")</f>
        <v/>
      </c>
      <c r="X483">
        <f>HYPERLINK("https://klasma.github.io/Logging_2181/tillsyn/A 31023-2022 tillsynsbegäran.docx", "A 31023-2022")</f>
        <v/>
      </c>
      <c r="Y483">
        <f>HYPERLINK("https://klasma.github.io/Logging_2181/tillsynsmail/A 31023-2022 tillsynsbegäran mail.docx", "A 31023-2022")</f>
        <v/>
      </c>
    </row>
    <row r="484" ht="15" customHeight="1">
      <c r="A484" t="inlineStr">
        <is>
          <t>A 32036-2022</t>
        </is>
      </c>
      <c r="B484" s="1" t="n">
        <v>44778</v>
      </c>
      <c r="C484" s="1" t="n">
        <v>45677</v>
      </c>
      <c r="D484" t="inlineStr">
        <is>
          <t>GÄVLEBORGS LÄN</t>
        </is>
      </c>
      <c r="E484" t="inlineStr">
        <is>
          <t>LJUSDAL</t>
        </is>
      </c>
      <c r="F484" t="inlineStr">
        <is>
          <t>Sveaskog</t>
        </is>
      </c>
      <c r="G484" t="n">
        <v>2.9</v>
      </c>
      <c r="H484" t="n">
        <v>0</v>
      </c>
      <c r="I484" t="n">
        <v>0</v>
      </c>
      <c r="J484" t="n">
        <v>1</v>
      </c>
      <c r="K484" t="n">
        <v>0</v>
      </c>
      <c r="L484" t="n">
        <v>0</v>
      </c>
      <c r="M484" t="n">
        <v>0</v>
      </c>
      <c r="N484" t="n">
        <v>0</v>
      </c>
      <c r="O484" t="n">
        <v>1</v>
      </c>
      <c r="P484" t="n">
        <v>0</v>
      </c>
      <c r="Q484" t="n">
        <v>1</v>
      </c>
      <c r="R484" s="2" t="inlineStr">
        <is>
          <t>Kolflarnlav</t>
        </is>
      </c>
      <c r="S484">
        <f>HYPERLINK("https://klasma.github.io/Logging_2161/artfynd/A 32036-2022 artfynd.xlsx", "A 32036-2022")</f>
        <v/>
      </c>
      <c r="T484">
        <f>HYPERLINK("https://klasma.github.io/Logging_2161/kartor/A 32036-2022 karta.png", "A 32036-2022")</f>
        <v/>
      </c>
      <c r="V484">
        <f>HYPERLINK("https://klasma.github.io/Logging_2161/klagomål/A 32036-2022 FSC-klagomål.docx", "A 32036-2022")</f>
        <v/>
      </c>
      <c r="W484">
        <f>HYPERLINK("https://klasma.github.io/Logging_2161/klagomålsmail/A 32036-2022 FSC-klagomål mail.docx", "A 32036-2022")</f>
        <v/>
      </c>
      <c r="X484">
        <f>HYPERLINK("https://klasma.github.io/Logging_2161/tillsyn/A 32036-2022 tillsynsbegäran.docx", "A 32036-2022")</f>
        <v/>
      </c>
      <c r="Y484">
        <f>HYPERLINK("https://klasma.github.io/Logging_2161/tillsynsmail/A 32036-2022 tillsynsbegäran mail.docx", "A 32036-2022")</f>
        <v/>
      </c>
    </row>
    <row r="485" ht="15" customHeight="1">
      <c r="A485" t="inlineStr">
        <is>
          <t>A 33649-2022</t>
        </is>
      </c>
      <c r="B485" s="1" t="n">
        <v>44789</v>
      </c>
      <c r="C485" s="1" t="n">
        <v>45677</v>
      </c>
      <c r="D485" t="inlineStr">
        <is>
          <t>GÄVLEBORGS LÄN</t>
        </is>
      </c>
      <c r="E485" t="inlineStr">
        <is>
          <t>HOFORS</t>
        </is>
      </c>
      <c r="F485" t="inlineStr">
        <is>
          <t>Sveaskog</t>
        </is>
      </c>
      <c r="G485" t="n">
        <v>19.1</v>
      </c>
      <c r="H485" t="n">
        <v>1</v>
      </c>
      <c r="I485" t="n">
        <v>1</v>
      </c>
      <c r="J485" t="n">
        <v>0</v>
      </c>
      <c r="K485" t="n">
        <v>0</v>
      </c>
      <c r="L485" t="n">
        <v>0</v>
      </c>
      <c r="M485" t="n">
        <v>0</v>
      </c>
      <c r="N485" t="n">
        <v>0</v>
      </c>
      <c r="O485" t="n">
        <v>0</v>
      </c>
      <c r="P485" t="n">
        <v>0</v>
      </c>
      <c r="Q485" t="n">
        <v>1</v>
      </c>
      <c r="R485" s="2" t="inlineStr">
        <is>
          <t>Grönkulla</t>
        </is>
      </c>
      <c r="S485">
        <f>HYPERLINK("https://klasma.github.io/Logging_2104/artfynd/A 33649-2022 artfynd.xlsx", "A 33649-2022")</f>
        <v/>
      </c>
      <c r="T485">
        <f>HYPERLINK("https://klasma.github.io/Logging_2104/kartor/A 33649-2022 karta.png", "A 33649-2022")</f>
        <v/>
      </c>
      <c r="V485">
        <f>HYPERLINK("https://klasma.github.io/Logging_2104/klagomål/A 33649-2022 FSC-klagomål.docx", "A 33649-2022")</f>
        <v/>
      </c>
      <c r="W485">
        <f>HYPERLINK("https://klasma.github.io/Logging_2104/klagomålsmail/A 33649-2022 FSC-klagomål mail.docx", "A 33649-2022")</f>
        <v/>
      </c>
      <c r="X485">
        <f>HYPERLINK("https://klasma.github.io/Logging_2104/tillsyn/A 33649-2022 tillsynsbegäran.docx", "A 33649-2022")</f>
        <v/>
      </c>
      <c r="Y485">
        <f>HYPERLINK("https://klasma.github.io/Logging_2104/tillsynsmail/A 33649-2022 tillsynsbegäran mail.docx", "A 33649-2022")</f>
        <v/>
      </c>
    </row>
    <row r="486" ht="15" customHeight="1">
      <c r="A486" t="inlineStr">
        <is>
          <t>A 33812-2022</t>
        </is>
      </c>
      <c r="B486" s="1" t="n">
        <v>44790</v>
      </c>
      <c r="C486" s="1" t="n">
        <v>45677</v>
      </c>
      <c r="D486" t="inlineStr">
        <is>
          <t>GÄVLEBORGS LÄN</t>
        </is>
      </c>
      <c r="E486" t="inlineStr">
        <is>
          <t>GÄVLE</t>
        </is>
      </c>
      <c r="G486" t="n">
        <v>2.1</v>
      </c>
      <c r="H486" t="n">
        <v>0</v>
      </c>
      <c r="I486" t="n">
        <v>1</v>
      </c>
      <c r="J486" t="n">
        <v>0</v>
      </c>
      <c r="K486" t="n">
        <v>0</v>
      </c>
      <c r="L486" t="n">
        <v>0</v>
      </c>
      <c r="M486" t="n">
        <v>0</v>
      </c>
      <c r="N486" t="n">
        <v>0</v>
      </c>
      <c r="O486" t="n">
        <v>0</v>
      </c>
      <c r="P486" t="n">
        <v>0</v>
      </c>
      <c r="Q486" t="n">
        <v>1</v>
      </c>
      <c r="R486" s="2" t="inlineStr">
        <is>
          <t>Myskmadra</t>
        </is>
      </c>
      <c r="S486">
        <f>HYPERLINK("https://klasma.github.io/Logging_2180/artfynd/A 33812-2022 artfynd.xlsx", "A 33812-2022")</f>
        <v/>
      </c>
      <c r="T486">
        <f>HYPERLINK("https://klasma.github.io/Logging_2180/kartor/A 33812-2022 karta.png", "A 33812-2022")</f>
        <v/>
      </c>
      <c r="V486">
        <f>HYPERLINK("https://klasma.github.io/Logging_2180/klagomål/A 33812-2022 FSC-klagomål.docx", "A 33812-2022")</f>
        <v/>
      </c>
      <c r="W486">
        <f>HYPERLINK("https://klasma.github.io/Logging_2180/klagomålsmail/A 33812-2022 FSC-klagomål mail.docx", "A 33812-2022")</f>
        <v/>
      </c>
      <c r="X486">
        <f>HYPERLINK("https://klasma.github.io/Logging_2180/tillsyn/A 33812-2022 tillsynsbegäran.docx", "A 33812-2022")</f>
        <v/>
      </c>
      <c r="Y486">
        <f>HYPERLINK("https://klasma.github.io/Logging_2180/tillsynsmail/A 33812-2022 tillsynsbegäran mail.docx", "A 33812-2022")</f>
        <v/>
      </c>
    </row>
    <row r="487" ht="15" customHeight="1">
      <c r="A487" t="inlineStr">
        <is>
          <t>A 34345-2022</t>
        </is>
      </c>
      <c r="B487" s="1" t="n">
        <v>44792</v>
      </c>
      <c r="C487" s="1" t="n">
        <v>45677</v>
      </c>
      <c r="D487" t="inlineStr">
        <is>
          <t>GÄVLEBORGS LÄN</t>
        </is>
      </c>
      <c r="E487" t="inlineStr">
        <is>
          <t>HUDIKSVALL</t>
        </is>
      </c>
      <c r="F487" t="inlineStr">
        <is>
          <t>Holmen skog AB</t>
        </is>
      </c>
      <c r="G487" t="n">
        <v>4.4</v>
      </c>
      <c r="H487" t="n">
        <v>0</v>
      </c>
      <c r="I487" t="n">
        <v>1</v>
      </c>
      <c r="J487" t="n">
        <v>0</v>
      </c>
      <c r="K487" t="n">
        <v>0</v>
      </c>
      <c r="L487" t="n">
        <v>0</v>
      </c>
      <c r="M487" t="n">
        <v>0</v>
      </c>
      <c r="N487" t="n">
        <v>0</v>
      </c>
      <c r="O487" t="n">
        <v>0</v>
      </c>
      <c r="P487" t="n">
        <v>0</v>
      </c>
      <c r="Q487" t="n">
        <v>1</v>
      </c>
      <c r="R487" s="2" t="inlineStr">
        <is>
          <t>Stuplav</t>
        </is>
      </c>
      <c r="S487">
        <f>HYPERLINK("https://klasma.github.io/Logging_2184/artfynd/A 34345-2022 artfynd.xlsx", "A 34345-2022")</f>
        <v/>
      </c>
      <c r="T487">
        <f>HYPERLINK("https://klasma.github.io/Logging_2184/kartor/A 34345-2022 karta.png", "A 34345-2022")</f>
        <v/>
      </c>
      <c r="V487">
        <f>HYPERLINK("https://klasma.github.io/Logging_2184/klagomål/A 34345-2022 FSC-klagomål.docx", "A 34345-2022")</f>
        <v/>
      </c>
      <c r="W487">
        <f>HYPERLINK("https://klasma.github.io/Logging_2184/klagomålsmail/A 34345-2022 FSC-klagomål mail.docx", "A 34345-2022")</f>
        <v/>
      </c>
      <c r="X487">
        <f>HYPERLINK("https://klasma.github.io/Logging_2184/tillsyn/A 34345-2022 tillsynsbegäran.docx", "A 34345-2022")</f>
        <v/>
      </c>
      <c r="Y487">
        <f>HYPERLINK("https://klasma.github.io/Logging_2184/tillsynsmail/A 34345-2022 tillsynsbegäran mail.docx", "A 34345-2022")</f>
        <v/>
      </c>
    </row>
    <row r="488" ht="15" customHeight="1">
      <c r="A488" t="inlineStr">
        <is>
          <t>A 34414-2022</t>
        </is>
      </c>
      <c r="B488" s="1" t="n">
        <v>44792</v>
      </c>
      <c r="C488" s="1" t="n">
        <v>45677</v>
      </c>
      <c r="D488" t="inlineStr">
        <is>
          <t>GÄVLEBORGS LÄN</t>
        </is>
      </c>
      <c r="E488" t="inlineStr">
        <is>
          <t>OVANÅKER</t>
        </is>
      </c>
      <c r="F488" t="inlineStr">
        <is>
          <t>Sveaskog</t>
        </is>
      </c>
      <c r="G488" t="n">
        <v>1.9</v>
      </c>
      <c r="H488" t="n">
        <v>0</v>
      </c>
      <c r="I488" t="n">
        <v>0</v>
      </c>
      <c r="J488" t="n">
        <v>1</v>
      </c>
      <c r="K488" t="n">
        <v>0</v>
      </c>
      <c r="L488" t="n">
        <v>0</v>
      </c>
      <c r="M488" t="n">
        <v>0</v>
      </c>
      <c r="N488" t="n">
        <v>0</v>
      </c>
      <c r="O488" t="n">
        <v>1</v>
      </c>
      <c r="P488" t="n">
        <v>0</v>
      </c>
      <c r="Q488" t="n">
        <v>1</v>
      </c>
      <c r="R488" s="2" t="inlineStr">
        <is>
          <t>Lunglav</t>
        </is>
      </c>
      <c r="S488">
        <f>HYPERLINK("https://klasma.github.io/Logging_2121/artfynd/A 34414-2022 artfynd.xlsx", "A 34414-2022")</f>
        <v/>
      </c>
      <c r="T488">
        <f>HYPERLINK("https://klasma.github.io/Logging_2121/kartor/A 34414-2022 karta.png", "A 34414-2022")</f>
        <v/>
      </c>
      <c r="V488">
        <f>HYPERLINK("https://klasma.github.io/Logging_2121/klagomål/A 34414-2022 FSC-klagomål.docx", "A 34414-2022")</f>
        <v/>
      </c>
      <c r="W488">
        <f>HYPERLINK("https://klasma.github.io/Logging_2121/klagomålsmail/A 34414-2022 FSC-klagomål mail.docx", "A 34414-2022")</f>
        <v/>
      </c>
      <c r="X488">
        <f>HYPERLINK("https://klasma.github.io/Logging_2121/tillsyn/A 34414-2022 tillsynsbegäran.docx", "A 34414-2022")</f>
        <v/>
      </c>
      <c r="Y488">
        <f>HYPERLINK("https://klasma.github.io/Logging_2121/tillsynsmail/A 34414-2022 tillsynsbegäran mail.docx", "A 34414-2022")</f>
        <v/>
      </c>
    </row>
    <row r="489" ht="15" customHeight="1">
      <c r="A489" t="inlineStr">
        <is>
          <t>A 34415-2022</t>
        </is>
      </c>
      <c r="B489" s="1" t="n">
        <v>44792</v>
      </c>
      <c r="C489" s="1" t="n">
        <v>45677</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Lunglav</t>
        </is>
      </c>
      <c r="S489">
        <f>HYPERLINK("https://klasma.github.io/Logging_2121/artfynd/A 34415-2022 artfynd.xlsx", "A 34415-2022")</f>
        <v/>
      </c>
      <c r="T489">
        <f>HYPERLINK("https://klasma.github.io/Logging_2121/kartor/A 34415-2022 karta.png", "A 34415-2022")</f>
        <v/>
      </c>
      <c r="V489">
        <f>HYPERLINK("https://klasma.github.io/Logging_2121/klagomål/A 34415-2022 FSC-klagomål.docx", "A 34415-2022")</f>
        <v/>
      </c>
      <c r="W489">
        <f>HYPERLINK("https://klasma.github.io/Logging_2121/klagomålsmail/A 34415-2022 FSC-klagomål mail.docx", "A 34415-2022")</f>
        <v/>
      </c>
      <c r="X489">
        <f>HYPERLINK("https://klasma.github.io/Logging_2121/tillsyn/A 34415-2022 tillsynsbegäran.docx", "A 34415-2022")</f>
        <v/>
      </c>
      <c r="Y489">
        <f>HYPERLINK("https://klasma.github.io/Logging_2121/tillsynsmail/A 34415-2022 tillsynsbegäran mail.docx", "A 34415-2022")</f>
        <v/>
      </c>
    </row>
    <row r="490" ht="15" customHeight="1">
      <c r="A490" t="inlineStr">
        <is>
          <t>A 35582-2022</t>
        </is>
      </c>
      <c r="B490" s="1" t="n">
        <v>44799</v>
      </c>
      <c r="C490" s="1" t="n">
        <v>45677</v>
      </c>
      <c r="D490" t="inlineStr">
        <is>
          <t>GÄVLEBORGS LÄN</t>
        </is>
      </c>
      <c r="E490" t="inlineStr">
        <is>
          <t>LJUSDAL</t>
        </is>
      </c>
      <c r="F490" t="inlineStr">
        <is>
          <t>Sveaskog</t>
        </is>
      </c>
      <c r="G490" t="n">
        <v>3.3</v>
      </c>
      <c r="H490" t="n">
        <v>0</v>
      </c>
      <c r="I490" t="n">
        <v>0</v>
      </c>
      <c r="J490" t="n">
        <v>1</v>
      </c>
      <c r="K490" t="n">
        <v>0</v>
      </c>
      <c r="L490" t="n">
        <v>0</v>
      </c>
      <c r="M490" t="n">
        <v>0</v>
      </c>
      <c r="N490" t="n">
        <v>0</v>
      </c>
      <c r="O490" t="n">
        <v>1</v>
      </c>
      <c r="P490" t="n">
        <v>0</v>
      </c>
      <c r="Q490" t="n">
        <v>1</v>
      </c>
      <c r="R490" s="2" t="inlineStr">
        <is>
          <t>Lunglav</t>
        </is>
      </c>
      <c r="S490">
        <f>HYPERLINK("https://klasma.github.io/Logging_2161/artfynd/A 35582-2022 artfynd.xlsx", "A 35582-2022")</f>
        <v/>
      </c>
      <c r="T490">
        <f>HYPERLINK("https://klasma.github.io/Logging_2161/kartor/A 35582-2022 karta.png", "A 35582-2022")</f>
        <v/>
      </c>
      <c r="V490">
        <f>HYPERLINK("https://klasma.github.io/Logging_2161/klagomål/A 35582-2022 FSC-klagomål.docx", "A 35582-2022")</f>
        <v/>
      </c>
      <c r="W490">
        <f>HYPERLINK("https://klasma.github.io/Logging_2161/klagomålsmail/A 35582-2022 FSC-klagomål mail.docx", "A 35582-2022")</f>
        <v/>
      </c>
      <c r="X490">
        <f>HYPERLINK("https://klasma.github.io/Logging_2161/tillsyn/A 35582-2022 tillsynsbegäran.docx", "A 35582-2022")</f>
        <v/>
      </c>
      <c r="Y490">
        <f>HYPERLINK("https://klasma.github.io/Logging_2161/tillsynsmail/A 35582-2022 tillsynsbegäran mail.docx", "A 35582-2022")</f>
        <v/>
      </c>
    </row>
    <row r="491" ht="15" customHeight="1">
      <c r="A491" t="inlineStr">
        <is>
          <t>A 37927-2022</t>
        </is>
      </c>
      <c r="B491" s="1" t="n">
        <v>44811</v>
      </c>
      <c r="C491" s="1" t="n">
        <v>45677</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45677</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45677</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45677</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45677</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45677</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45677</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52104-2022</t>
        </is>
      </c>
      <c r="B498" s="1" t="n">
        <v>44873</v>
      </c>
      <c r="C498" s="1" t="n">
        <v>45677</v>
      </c>
      <c r="D498" t="inlineStr">
        <is>
          <t>GÄVLEBORGS LÄN</t>
        </is>
      </c>
      <c r="E498" t="inlineStr">
        <is>
          <t>HUDIKSVALL</t>
        </is>
      </c>
      <c r="F498" t="inlineStr">
        <is>
          <t>Holmen skog AB</t>
        </is>
      </c>
      <c r="G498" t="n">
        <v>3.4</v>
      </c>
      <c r="H498" t="n">
        <v>0</v>
      </c>
      <c r="I498" t="n">
        <v>1</v>
      </c>
      <c r="J498" t="n">
        <v>0</v>
      </c>
      <c r="K498" t="n">
        <v>0</v>
      </c>
      <c r="L498" t="n">
        <v>0</v>
      </c>
      <c r="M498" t="n">
        <v>0</v>
      </c>
      <c r="N498" t="n">
        <v>0</v>
      </c>
      <c r="O498" t="n">
        <v>0</v>
      </c>
      <c r="P498" t="n">
        <v>0</v>
      </c>
      <c r="Q498" t="n">
        <v>1</v>
      </c>
      <c r="R498" s="2" t="inlineStr">
        <is>
          <t>Svart trolldruva</t>
        </is>
      </c>
      <c r="S498">
        <f>HYPERLINK("https://klasma.github.io/Logging_2184/artfynd/A 52104-2022 artfynd.xlsx", "A 52104-2022")</f>
        <v/>
      </c>
      <c r="T498">
        <f>HYPERLINK("https://klasma.github.io/Logging_2184/kartor/A 52104-2022 karta.png", "A 52104-2022")</f>
        <v/>
      </c>
      <c r="V498">
        <f>HYPERLINK("https://klasma.github.io/Logging_2184/klagomål/A 52104-2022 FSC-klagomål.docx", "A 52104-2022")</f>
        <v/>
      </c>
      <c r="W498">
        <f>HYPERLINK("https://klasma.github.io/Logging_2184/klagomålsmail/A 52104-2022 FSC-klagomål mail.docx", "A 52104-2022")</f>
        <v/>
      </c>
      <c r="X498">
        <f>HYPERLINK("https://klasma.github.io/Logging_2184/tillsyn/A 52104-2022 tillsynsbegäran.docx", "A 52104-2022")</f>
        <v/>
      </c>
      <c r="Y498">
        <f>HYPERLINK("https://klasma.github.io/Logging_2184/tillsynsmail/A 52104-2022 tillsynsbegäran mail.docx", "A 52104-2022")</f>
        <v/>
      </c>
    </row>
    <row r="499" ht="15" customHeight="1">
      <c r="A499" t="inlineStr">
        <is>
          <t>A 53259-2022</t>
        </is>
      </c>
      <c r="B499" s="1" t="n">
        <v>44876</v>
      </c>
      <c r="C499" s="1" t="n">
        <v>45677</v>
      </c>
      <c r="D499" t="inlineStr">
        <is>
          <t>GÄVLEBORGS LÄN</t>
        </is>
      </c>
      <c r="E499" t="inlineStr">
        <is>
          <t>SANDVIKEN</t>
        </is>
      </c>
      <c r="F499" t="inlineStr">
        <is>
          <t>Sveaskog</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HYPERLINK("https://klasma.github.io/Logging_2181/artfynd/A 53259-2022 artfynd.xlsx", "A 53259-2022")</f>
        <v/>
      </c>
      <c r="T499">
        <f>HYPERLINK("https://klasma.github.io/Logging_2181/kartor/A 53259-2022 karta.png", "A 53259-2022")</f>
        <v/>
      </c>
      <c r="U499">
        <f>HYPERLINK("https://klasma.github.io/Logging_2181/knärot/A 53259-2022 karta knärot.png", "A 53259-2022")</f>
        <v/>
      </c>
      <c r="V499">
        <f>HYPERLINK("https://klasma.github.io/Logging_2181/klagomål/A 53259-2022 FSC-klagomål.docx", "A 53259-2022")</f>
        <v/>
      </c>
      <c r="W499">
        <f>HYPERLINK("https://klasma.github.io/Logging_2181/klagomålsmail/A 53259-2022 FSC-klagomål mail.docx", "A 53259-2022")</f>
        <v/>
      </c>
      <c r="X499">
        <f>HYPERLINK("https://klasma.github.io/Logging_2181/tillsyn/A 53259-2022 tillsynsbegäran.docx", "A 53259-2022")</f>
        <v/>
      </c>
      <c r="Y499">
        <f>HYPERLINK("https://klasma.github.io/Logging_2181/tillsynsmail/A 53259-2022 tillsynsbegäran mail.docx", "A 53259-2022")</f>
        <v/>
      </c>
    </row>
    <row r="500" ht="15" customHeight="1">
      <c r="A500" t="inlineStr">
        <is>
          <t>A 53487-2022</t>
        </is>
      </c>
      <c r="B500" s="1" t="n">
        <v>44879</v>
      </c>
      <c r="C500" s="1" t="n">
        <v>45677</v>
      </c>
      <c r="D500" t="inlineStr">
        <is>
          <t>GÄVLEBORGS LÄN</t>
        </is>
      </c>
      <c r="E500" t="inlineStr">
        <is>
          <t>LJUSDAL</t>
        </is>
      </c>
      <c r="G500" t="n">
        <v>1.7</v>
      </c>
      <c r="H500" t="n">
        <v>0</v>
      </c>
      <c r="I500" t="n">
        <v>0</v>
      </c>
      <c r="J500" t="n">
        <v>1</v>
      </c>
      <c r="K500" t="n">
        <v>0</v>
      </c>
      <c r="L500" t="n">
        <v>0</v>
      </c>
      <c r="M500" t="n">
        <v>0</v>
      </c>
      <c r="N500" t="n">
        <v>0</v>
      </c>
      <c r="O500" t="n">
        <v>1</v>
      </c>
      <c r="P500" t="n">
        <v>0</v>
      </c>
      <c r="Q500" t="n">
        <v>1</v>
      </c>
      <c r="R500" s="2" t="inlineStr">
        <is>
          <t>Garnlav</t>
        </is>
      </c>
      <c r="S500">
        <f>HYPERLINK("https://klasma.github.io/Logging_2161/artfynd/A 53487-2022 artfynd.xlsx", "A 53487-2022")</f>
        <v/>
      </c>
      <c r="T500">
        <f>HYPERLINK("https://klasma.github.io/Logging_2161/kartor/A 53487-2022 karta.png", "A 53487-2022")</f>
        <v/>
      </c>
      <c r="V500">
        <f>HYPERLINK("https://klasma.github.io/Logging_2161/klagomål/A 53487-2022 FSC-klagomål.docx", "A 53487-2022")</f>
        <v/>
      </c>
      <c r="W500">
        <f>HYPERLINK("https://klasma.github.io/Logging_2161/klagomålsmail/A 53487-2022 FSC-klagomål mail.docx", "A 53487-2022")</f>
        <v/>
      </c>
      <c r="X500">
        <f>HYPERLINK("https://klasma.github.io/Logging_2161/tillsyn/A 53487-2022 tillsynsbegäran.docx", "A 53487-2022")</f>
        <v/>
      </c>
      <c r="Y500">
        <f>HYPERLINK("https://klasma.github.io/Logging_2161/tillsynsmail/A 53487-2022 tillsynsbegäran mail.docx", "A 53487-2022")</f>
        <v/>
      </c>
    </row>
    <row r="501" ht="15" customHeight="1">
      <c r="A501" t="inlineStr">
        <is>
          <t>A 53457-2022</t>
        </is>
      </c>
      <c r="B501" s="1" t="n">
        <v>44879</v>
      </c>
      <c r="C501" s="1" t="n">
        <v>45677</v>
      </c>
      <c r="D501" t="inlineStr">
        <is>
          <t>GÄVLEBORGS LÄN</t>
        </is>
      </c>
      <c r="E501" t="inlineStr">
        <is>
          <t>LJUSDAL</t>
        </is>
      </c>
      <c r="F501" t="inlineStr">
        <is>
          <t>Sveaskog</t>
        </is>
      </c>
      <c r="G501" t="n">
        <v>17</v>
      </c>
      <c r="H501" t="n">
        <v>0</v>
      </c>
      <c r="I501" t="n">
        <v>0</v>
      </c>
      <c r="J501" t="n">
        <v>1</v>
      </c>
      <c r="K501" t="n">
        <v>0</v>
      </c>
      <c r="L501" t="n">
        <v>0</v>
      </c>
      <c r="M501" t="n">
        <v>0</v>
      </c>
      <c r="N501" t="n">
        <v>0</v>
      </c>
      <c r="O501" t="n">
        <v>1</v>
      </c>
      <c r="P501" t="n">
        <v>0</v>
      </c>
      <c r="Q501" t="n">
        <v>1</v>
      </c>
      <c r="R501" s="2" t="inlineStr">
        <is>
          <t>Kolflarnlav</t>
        </is>
      </c>
      <c r="S501">
        <f>HYPERLINK("https://klasma.github.io/Logging_2161/artfynd/A 53457-2022 artfynd.xlsx", "A 53457-2022")</f>
        <v/>
      </c>
      <c r="T501">
        <f>HYPERLINK("https://klasma.github.io/Logging_2161/kartor/A 53457-2022 karta.png", "A 53457-2022")</f>
        <v/>
      </c>
      <c r="V501">
        <f>HYPERLINK("https://klasma.github.io/Logging_2161/klagomål/A 53457-2022 FSC-klagomål.docx", "A 53457-2022")</f>
        <v/>
      </c>
      <c r="W501">
        <f>HYPERLINK("https://klasma.github.io/Logging_2161/klagomålsmail/A 53457-2022 FSC-klagomål mail.docx", "A 53457-2022")</f>
        <v/>
      </c>
      <c r="X501">
        <f>HYPERLINK("https://klasma.github.io/Logging_2161/tillsyn/A 53457-2022 tillsynsbegäran.docx", "A 53457-2022")</f>
        <v/>
      </c>
      <c r="Y501">
        <f>HYPERLINK("https://klasma.github.io/Logging_2161/tillsynsmail/A 53457-2022 tillsynsbegäran mail.docx", "A 53457-2022")</f>
        <v/>
      </c>
    </row>
    <row r="502" ht="15" customHeight="1">
      <c r="A502" t="inlineStr">
        <is>
          <t>A 53926-2022</t>
        </is>
      </c>
      <c r="B502" s="1" t="n">
        <v>44880</v>
      </c>
      <c r="C502" s="1" t="n">
        <v>45677</v>
      </c>
      <c r="D502" t="inlineStr">
        <is>
          <t>GÄVLEBORGS LÄN</t>
        </is>
      </c>
      <c r="E502" t="inlineStr">
        <is>
          <t>LJUSDAL</t>
        </is>
      </c>
      <c r="F502" t="inlineStr">
        <is>
          <t>Naturvårdsverket</t>
        </is>
      </c>
      <c r="G502" t="n">
        <v>9.1</v>
      </c>
      <c r="H502" t="n">
        <v>1</v>
      </c>
      <c r="I502" t="n">
        <v>0</v>
      </c>
      <c r="J502" t="n">
        <v>0</v>
      </c>
      <c r="K502" t="n">
        <v>0</v>
      </c>
      <c r="L502" t="n">
        <v>0</v>
      </c>
      <c r="M502" t="n">
        <v>0</v>
      </c>
      <c r="N502" t="n">
        <v>0</v>
      </c>
      <c r="O502" t="n">
        <v>0</v>
      </c>
      <c r="P502" t="n">
        <v>0</v>
      </c>
      <c r="Q502" t="n">
        <v>1</v>
      </c>
      <c r="R502" s="2" t="inlineStr">
        <is>
          <t>Lavskrika</t>
        </is>
      </c>
      <c r="S502">
        <f>HYPERLINK("https://klasma.github.io/Logging_2161/artfynd/A 53926-2022 artfynd.xlsx", "A 53926-2022")</f>
        <v/>
      </c>
      <c r="T502">
        <f>HYPERLINK("https://klasma.github.io/Logging_2161/kartor/A 53926-2022 karta.png", "A 53926-2022")</f>
        <v/>
      </c>
      <c r="V502">
        <f>HYPERLINK("https://klasma.github.io/Logging_2161/klagomål/A 53926-2022 FSC-klagomål.docx", "A 53926-2022")</f>
        <v/>
      </c>
      <c r="W502">
        <f>HYPERLINK("https://klasma.github.io/Logging_2161/klagomålsmail/A 53926-2022 FSC-klagomål mail.docx", "A 53926-2022")</f>
        <v/>
      </c>
      <c r="X502">
        <f>HYPERLINK("https://klasma.github.io/Logging_2161/tillsyn/A 53926-2022 tillsynsbegäran.docx", "A 53926-2022")</f>
        <v/>
      </c>
      <c r="Y502">
        <f>HYPERLINK("https://klasma.github.io/Logging_2161/tillsynsmail/A 53926-2022 tillsynsbegäran mail.docx", "A 53926-2022")</f>
        <v/>
      </c>
      <c r="Z502">
        <f>HYPERLINK("https://klasma.github.io/Logging_2161/fåglar/A 53926-2022 prioriterade fågelarter.docx", "A 53926-2022")</f>
        <v/>
      </c>
    </row>
    <row r="503" ht="15" customHeight="1">
      <c r="A503" t="inlineStr">
        <is>
          <t>A 54083-2022</t>
        </is>
      </c>
      <c r="B503" s="1" t="n">
        <v>44881</v>
      </c>
      <c r="C503" s="1" t="n">
        <v>45677</v>
      </c>
      <c r="D503" t="inlineStr">
        <is>
          <t>GÄVLEBORGS LÄN</t>
        </is>
      </c>
      <c r="E503" t="inlineStr">
        <is>
          <t>BOLLNÄS</t>
        </is>
      </c>
      <c r="F503" t="inlineStr">
        <is>
          <t>Sveaskog</t>
        </is>
      </c>
      <c r="G503" t="n">
        <v>2.7</v>
      </c>
      <c r="H503" t="n">
        <v>1</v>
      </c>
      <c r="I503" t="n">
        <v>0</v>
      </c>
      <c r="J503" t="n">
        <v>0</v>
      </c>
      <c r="K503" t="n">
        <v>0</v>
      </c>
      <c r="L503" t="n">
        <v>0</v>
      </c>
      <c r="M503" t="n">
        <v>0</v>
      </c>
      <c r="N503" t="n">
        <v>0</v>
      </c>
      <c r="O503" t="n">
        <v>0</v>
      </c>
      <c r="P503" t="n">
        <v>0</v>
      </c>
      <c r="Q503" t="n">
        <v>1</v>
      </c>
      <c r="R503" s="2" t="inlineStr">
        <is>
          <t>Fläcknycklar</t>
        </is>
      </c>
      <c r="S503">
        <f>HYPERLINK("https://klasma.github.io/Logging_2183/artfynd/A 54083-2022 artfynd.xlsx", "A 54083-2022")</f>
        <v/>
      </c>
      <c r="T503">
        <f>HYPERLINK("https://klasma.github.io/Logging_2183/kartor/A 54083-2022 karta.png", "A 54083-2022")</f>
        <v/>
      </c>
      <c r="V503">
        <f>HYPERLINK("https://klasma.github.io/Logging_2183/klagomål/A 54083-2022 FSC-klagomål.docx", "A 54083-2022")</f>
        <v/>
      </c>
      <c r="W503">
        <f>HYPERLINK("https://klasma.github.io/Logging_2183/klagomålsmail/A 54083-2022 FSC-klagomål mail.docx", "A 54083-2022")</f>
        <v/>
      </c>
      <c r="X503">
        <f>HYPERLINK("https://klasma.github.io/Logging_2183/tillsyn/A 54083-2022 tillsynsbegäran.docx", "A 54083-2022")</f>
        <v/>
      </c>
      <c r="Y503">
        <f>HYPERLINK("https://klasma.github.io/Logging_2183/tillsynsmail/A 54083-2022 tillsynsbegäran mail.docx", "A 54083-2022")</f>
        <v/>
      </c>
    </row>
    <row r="504" ht="15" customHeight="1">
      <c r="A504" t="inlineStr">
        <is>
          <t>A 54188-2022</t>
        </is>
      </c>
      <c r="B504" s="1" t="n">
        <v>44881</v>
      </c>
      <c r="C504" s="1" t="n">
        <v>45677</v>
      </c>
      <c r="D504" t="inlineStr">
        <is>
          <t>GÄVLEBORGS LÄN</t>
        </is>
      </c>
      <c r="E504" t="inlineStr">
        <is>
          <t>HOFORS</t>
        </is>
      </c>
      <c r="F504" t="inlineStr">
        <is>
          <t>Sveaskog</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HYPERLINK("https://klasma.github.io/Logging_2104/artfynd/A 54188-2022 artfynd.xlsx", "A 54188-2022")</f>
        <v/>
      </c>
      <c r="T504">
        <f>HYPERLINK("https://klasma.github.io/Logging_2104/kartor/A 54188-2022 karta.png", "A 54188-2022")</f>
        <v/>
      </c>
      <c r="V504">
        <f>HYPERLINK("https://klasma.github.io/Logging_2104/klagomål/A 54188-2022 FSC-klagomål.docx", "A 54188-2022")</f>
        <v/>
      </c>
      <c r="W504">
        <f>HYPERLINK("https://klasma.github.io/Logging_2104/klagomålsmail/A 54188-2022 FSC-klagomål mail.docx", "A 54188-2022")</f>
        <v/>
      </c>
      <c r="X504">
        <f>HYPERLINK("https://klasma.github.io/Logging_2104/tillsyn/A 54188-2022 tillsynsbegäran.docx", "A 54188-2022")</f>
        <v/>
      </c>
      <c r="Y504">
        <f>HYPERLINK("https://klasma.github.io/Logging_2104/tillsynsmail/A 54188-2022 tillsynsbegäran mail.docx", "A 54188-2022")</f>
        <v/>
      </c>
    </row>
    <row r="505" ht="15" customHeight="1">
      <c r="A505" t="inlineStr">
        <is>
          <t>A 54319-2022</t>
        </is>
      </c>
      <c r="B505" s="1" t="n">
        <v>44882</v>
      </c>
      <c r="C505" s="1" t="n">
        <v>45677</v>
      </c>
      <c r="D505" t="inlineStr">
        <is>
          <t>GÄVLEBORGS LÄN</t>
        </is>
      </c>
      <c r="E505" t="inlineStr">
        <is>
          <t>HOFORS</t>
        </is>
      </c>
      <c r="F505" t="inlineStr">
        <is>
          <t>Sveaskog</t>
        </is>
      </c>
      <c r="G505" t="n">
        <v>10.8</v>
      </c>
      <c r="H505" t="n">
        <v>1</v>
      </c>
      <c r="I505" t="n">
        <v>0</v>
      </c>
      <c r="J505" t="n">
        <v>0</v>
      </c>
      <c r="K505" t="n">
        <v>0</v>
      </c>
      <c r="L505" t="n">
        <v>0</v>
      </c>
      <c r="M505" t="n">
        <v>0</v>
      </c>
      <c r="N505" t="n">
        <v>0</v>
      </c>
      <c r="O505" t="n">
        <v>0</v>
      </c>
      <c r="P505" t="n">
        <v>0</v>
      </c>
      <c r="Q505" t="n">
        <v>1</v>
      </c>
      <c r="R505" s="2" t="inlineStr">
        <is>
          <t>Blåsippa</t>
        </is>
      </c>
      <c r="S505">
        <f>HYPERLINK("https://klasma.github.io/Logging_2104/artfynd/A 54319-2022 artfynd.xlsx", "A 54319-2022")</f>
        <v/>
      </c>
      <c r="T505">
        <f>HYPERLINK("https://klasma.github.io/Logging_2104/kartor/A 54319-2022 karta.png", "A 54319-2022")</f>
        <v/>
      </c>
      <c r="V505">
        <f>HYPERLINK("https://klasma.github.io/Logging_2104/klagomål/A 54319-2022 FSC-klagomål.docx", "A 54319-2022")</f>
        <v/>
      </c>
      <c r="W505">
        <f>HYPERLINK("https://klasma.github.io/Logging_2104/klagomålsmail/A 54319-2022 FSC-klagomål mail.docx", "A 54319-2022")</f>
        <v/>
      </c>
      <c r="X505">
        <f>HYPERLINK("https://klasma.github.io/Logging_2104/tillsyn/A 54319-2022 tillsynsbegäran.docx", "A 54319-2022")</f>
        <v/>
      </c>
      <c r="Y505">
        <f>HYPERLINK("https://klasma.github.io/Logging_2104/tillsynsmail/A 54319-2022 tillsynsbegäran mail.docx", "A 54319-2022")</f>
        <v/>
      </c>
    </row>
    <row r="506" ht="15" customHeight="1">
      <c r="A506" t="inlineStr">
        <is>
          <t>A 62767-2022</t>
        </is>
      </c>
      <c r="B506" s="1" t="n">
        <v>44884</v>
      </c>
      <c r="C506" s="1" t="n">
        <v>45677</v>
      </c>
      <c r="D506" t="inlineStr">
        <is>
          <t>GÄVLEBORGS LÄN</t>
        </is>
      </c>
      <c r="E506" t="inlineStr">
        <is>
          <t>NORDANSTIG</t>
        </is>
      </c>
      <c r="F506" t="inlineStr">
        <is>
          <t>SCA</t>
        </is>
      </c>
      <c r="G506" t="n">
        <v>13.3</v>
      </c>
      <c r="H506" t="n">
        <v>1</v>
      </c>
      <c r="I506" t="n">
        <v>1</v>
      </c>
      <c r="J506" t="n">
        <v>0</v>
      </c>
      <c r="K506" t="n">
        <v>0</v>
      </c>
      <c r="L506" t="n">
        <v>0</v>
      </c>
      <c r="M506" t="n">
        <v>0</v>
      </c>
      <c r="N506" t="n">
        <v>0</v>
      </c>
      <c r="O506" t="n">
        <v>0</v>
      </c>
      <c r="P506" t="n">
        <v>0</v>
      </c>
      <c r="Q506" t="n">
        <v>1</v>
      </c>
      <c r="R506" s="2" t="inlineStr">
        <is>
          <t>Skogsknipprot</t>
        </is>
      </c>
      <c r="S506">
        <f>HYPERLINK("https://klasma.github.io/Logging_2132/artfynd/A 62767-2022 artfynd.xlsx", "A 62767-2022")</f>
        <v/>
      </c>
      <c r="T506">
        <f>HYPERLINK("https://klasma.github.io/Logging_2132/kartor/A 62767-2022 karta.png", "A 62767-2022")</f>
        <v/>
      </c>
      <c r="V506">
        <f>HYPERLINK("https://klasma.github.io/Logging_2132/klagomål/A 62767-2022 FSC-klagomål.docx", "A 62767-2022")</f>
        <v/>
      </c>
      <c r="W506">
        <f>HYPERLINK("https://klasma.github.io/Logging_2132/klagomålsmail/A 62767-2022 FSC-klagomål mail.docx", "A 62767-2022")</f>
        <v/>
      </c>
      <c r="X506">
        <f>HYPERLINK("https://klasma.github.io/Logging_2132/tillsyn/A 62767-2022 tillsynsbegäran.docx", "A 62767-2022")</f>
        <v/>
      </c>
      <c r="Y506">
        <f>HYPERLINK("https://klasma.github.io/Logging_2132/tillsynsmail/A 62767-2022 tillsynsbegäran mail.docx", "A 62767-2022")</f>
        <v/>
      </c>
    </row>
    <row r="507" ht="15" customHeight="1">
      <c r="A507" t="inlineStr">
        <is>
          <t>A 55216-2022</t>
        </is>
      </c>
      <c r="B507" s="1" t="n">
        <v>44886</v>
      </c>
      <c r="C507" s="1" t="n">
        <v>45677</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55253-2022</t>
        </is>
      </c>
      <c r="B508" s="1" t="n">
        <v>44887</v>
      </c>
      <c r="C508" s="1" t="n">
        <v>45677</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58333-2022</t>
        </is>
      </c>
      <c r="B509" s="1" t="n">
        <v>44901</v>
      </c>
      <c r="C509" s="1" t="n">
        <v>45677</v>
      </c>
      <c r="D509" t="inlineStr">
        <is>
          <t>GÄVLEBORGS LÄN</t>
        </is>
      </c>
      <c r="E509" t="inlineStr">
        <is>
          <t>BOLLNÄS</t>
        </is>
      </c>
      <c r="G509" t="n">
        <v>1.8</v>
      </c>
      <c r="H509" t="n">
        <v>0</v>
      </c>
      <c r="I509" t="n">
        <v>0</v>
      </c>
      <c r="J509" t="n">
        <v>1</v>
      </c>
      <c r="K509" t="n">
        <v>0</v>
      </c>
      <c r="L509" t="n">
        <v>0</v>
      </c>
      <c r="M509" t="n">
        <v>0</v>
      </c>
      <c r="N509" t="n">
        <v>0</v>
      </c>
      <c r="O509" t="n">
        <v>1</v>
      </c>
      <c r="P509" t="n">
        <v>0</v>
      </c>
      <c r="Q509" t="n">
        <v>1</v>
      </c>
      <c r="R509" s="2" t="inlineStr">
        <is>
          <t>Granticka</t>
        </is>
      </c>
      <c r="S509">
        <f>HYPERLINK("https://klasma.github.io/Logging_2183/artfynd/A 58333-2022 artfynd.xlsx", "A 58333-2022")</f>
        <v/>
      </c>
      <c r="T509">
        <f>HYPERLINK("https://klasma.github.io/Logging_2183/kartor/A 58333-2022 karta.png", "A 58333-2022")</f>
        <v/>
      </c>
      <c r="V509">
        <f>HYPERLINK("https://klasma.github.io/Logging_2183/klagomål/A 58333-2022 FSC-klagomål.docx", "A 58333-2022")</f>
        <v/>
      </c>
      <c r="W509">
        <f>HYPERLINK("https://klasma.github.io/Logging_2183/klagomålsmail/A 58333-2022 FSC-klagomål mail.docx", "A 58333-2022")</f>
        <v/>
      </c>
      <c r="X509">
        <f>HYPERLINK("https://klasma.github.io/Logging_2183/tillsyn/A 58333-2022 tillsynsbegäran.docx", "A 58333-2022")</f>
        <v/>
      </c>
      <c r="Y509">
        <f>HYPERLINK("https://klasma.github.io/Logging_2183/tillsynsmail/A 58333-2022 tillsynsbegäran mail.docx", "A 58333-2022")</f>
        <v/>
      </c>
    </row>
    <row r="510" ht="15" customHeight="1">
      <c r="A510" t="inlineStr">
        <is>
          <t>A 58774-2022</t>
        </is>
      </c>
      <c r="B510" s="1" t="n">
        <v>44903</v>
      </c>
      <c r="C510" s="1" t="n">
        <v>45677</v>
      </c>
      <c r="D510" t="inlineStr">
        <is>
          <t>GÄVLEBORGS LÄN</t>
        </is>
      </c>
      <c r="E510" t="inlineStr">
        <is>
          <t>SANDVIKEN</t>
        </is>
      </c>
      <c r="F510" t="inlineStr">
        <is>
          <t>Bergvik skog öst AB</t>
        </is>
      </c>
      <c r="G510" t="n">
        <v>7.2</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58774-2022 artfynd.xlsx", "A 58774-2022")</f>
        <v/>
      </c>
      <c r="T510">
        <f>HYPERLINK("https://klasma.github.io/Logging_2181/kartor/A 58774-2022 karta.png", "A 58774-2022")</f>
        <v/>
      </c>
      <c r="V510">
        <f>HYPERLINK("https://klasma.github.io/Logging_2181/klagomål/A 58774-2022 FSC-klagomål.docx", "A 58774-2022")</f>
        <v/>
      </c>
      <c r="W510">
        <f>HYPERLINK("https://klasma.github.io/Logging_2181/klagomålsmail/A 58774-2022 FSC-klagomål mail.docx", "A 58774-2022")</f>
        <v/>
      </c>
      <c r="X510">
        <f>HYPERLINK("https://klasma.github.io/Logging_2181/tillsyn/A 58774-2022 tillsynsbegäran.docx", "A 58774-2022")</f>
        <v/>
      </c>
      <c r="Y510">
        <f>HYPERLINK("https://klasma.github.io/Logging_2181/tillsynsmail/A 58774-2022 tillsynsbegäran mail.docx", "A 58774-2022")</f>
        <v/>
      </c>
    </row>
    <row r="511" ht="15" customHeight="1">
      <c r="A511" t="inlineStr">
        <is>
          <t>A 234-2023</t>
        </is>
      </c>
      <c r="B511" s="1" t="n">
        <v>44928</v>
      </c>
      <c r="C511" s="1" t="n">
        <v>45677</v>
      </c>
      <c r="D511" t="inlineStr">
        <is>
          <t>GÄVLEBORGS LÄN</t>
        </is>
      </c>
      <c r="E511" t="inlineStr">
        <is>
          <t>HOFORS</t>
        </is>
      </c>
      <c r="F511" t="inlineStr">
        <is>
          <t>Sveaskog</t>
        </is>
      </c>
      <c r="G511" t="n">
        <v>5.1</v>
      </c>
      <c r="H511" t="n">
        <v>1</v>
      </c>
      <c r="I511" t="n">
        <v>0</v>
      </c>
      <c r="J511" t="n">
        <v>0</v>
      </c>
      <c r="K511" t="n">
        <v>1</v>
      </c>
      <c r="L511" t="n">
        <v>0</v>
      </c>
      <c r="M511" t="n">
        <v>0</v>
      </c>
      <c r="N511" t="n">
        <v>0</v>
      </c>
      <c r="O511" t="n">
        <v>1</v>
      </c>
      <c r="P511" t="n">
        <v>1</v>
      </c>
      <c r="Q511" t="n">
        <v>1</v>
      </c>
      <c r="R511" s="2" t="inlineStr">
        <is>
          <t>Knärot</t>
        </is>
      </c>
      <c r="S511">
        <f>HYPERLINK("https://klasma.github.io/Logging_2104/artfynd/A 234-2023 artfynd.xlsx", "A 234-2023")</f>
        <v/>
      </c>
      <c r="T511">
        <f>HYPERLINK("https://klasma.github.io/Logging_2104/kartor/A 234-2023 karta.png", "A 234-2023")</f>
        <v/>
      </c>
      <c r="U511">
        <f>HYPERLINK("https://klasma.github.io/Logging_2104/knärot/A 234-2023 karta knärot.png", "A 234-2023")</f>
        <v/>
      </c>
      <c r="V511">
        <f>HYPERLINK("https://klasma.github.io/Logging_2104/klagomål/A 234-2023 FSC-klagomål.docx", "A 234-2023")</f>
        <v/>
      </c>
      <c r="W511">
        <f>HYPERLINK("https://klasma.github.io/Logging_2104/klagomålsmail/A 234-2023 FSC-klagomål mail.docx", "A 234-2023")</f>
        <v/>
      </c>
      <c r="X511">
        <f>HYPERLINK("https://klasma.github.io/Logging_2104/tillsyn/A 234-2023 tillsynsbegäran.docx", "A 234-2023")</f>
        <v/>
      </c>
      <c r="Y511">
        <f>HYPERLINK("https://klasma.github.io/Logging_2104/tillsynsmail/A 234-2023 tillsynsbegäran mail.docx", "A 234-2023")</f>
        <v/>
      </c>
    </row>
    <row r="512" ht="15" customHeight="1">
      <c r="A512" t="inlineStr">
        <is>
          <t>A 3755-2023</t>
        </is>
      </c>
      <c r="B512" s="1" t="n">
        <v>44951</v>
      </c>
      <c r="C512" s="1" t="n">
        <v>45677</v>
      </c>
      <c r="D512" t="inlineStr">
        <is>
          <t>GÄVLEBORGS LÄN</t>
        </is>
      </c>
      <c r="E512" t="inlineStr">
        <is>
          <t>NORDANSTIG</t>
        </is>
      </c>
      <c r="G512" t="n">
        <v>8.199999999999999</v>
      </c>
      <c r="H512" t="n">
        <v>1</v>
      </c>
      <c r="I512" t="n">
        <v>0</v>
      </c>
      <c r="J512" t="n">
        <v>0</v>
      </c>
      <c r="K512" t="n">
        <v>0</v>
      </c>
      <c r="L512" t="n">
        <v>1</v>
      </c>
      <c r="M512" t="n">
        <v>0</v>
      </c>
      <c r="N512" t="n">
        <v>0</v>
      </c>
      <c r="O512" t="n">
        <v>1</v>
      </c>
      <c r="P512" t="n">
        <v>1</v>
      </c>
      <c r="Q512" t="n">
        <v>1</v>
      </c>
      <c r="R512" s="2" t="inlineStr">
        <is>
          <t>Bredgentiana</t>
        </is>
      </c>
      <c r="S512">
        <f>HYPERLINK("https://klasma.github.io/Logging_2132/artfynd/A 3755-2023 artfynd.xlsx", "A 3755-2023")</f>
        <v/>
      </c>
      <c r="T512">
        <f>HYPERLINK("https://klasma.github.io/Logging_2132/kartor/A 3755-2023 karta.png", "A 3755-2023")</f>
        <v/>
      </c>
      <c r="V512">
        <f>HYPERLINK("https://klasma.github.io/Logging_2132/klagomål/A 3755-2023 FSC-klagomål.docx", "A 3755-2023")</f>
        <v/>
      </c>
      <c r="W512">
        <f>HYPERLINK("https://klasma.github.io/Logging_2132/klagomålsmail/A 3755-2023 FSC-klagomål mail.docx", "A 3755-2023")</f>
        <v/>
      </c>
      <c r="X512">
        <f>HYPERLINK("https://klasma.github.io/Logging_2132/tillsyn/A 3755-2023 tillsynsbegäran.docx", "A 3755-2023")</f>
        <v/>
      </c>
      <c r="Y512">
        <f>HYPERLINK("https://klasma.github.io/Logging_2132/tillsynsmail/A 3755-2023 tillsynsbegäran mail.docx", "A 3755-2023")</f>
        <v/>
      </c>
    </row>
    <row r="513" ht="15" customHeight="1">
      <c r="A513" t="inlineStr">
        <is>
          <t>A 4696-2023</t>
        </is>
      </c>
      <c r="B513" s="1" t="n">
        <v>44957</v>
      </c>
      <c r="C513" s="1" t="n">
        <v>45677</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5015-2023</t>
        </is>
      </c>
      <c r="B514" s="1" t="n">
        <v>44958</v>
      </c>
      <c r="C514" s="1" t="n">
        <v>45677</v>
      </c>
      <c r="D514" t="inlineStr">
        <is>
          <t>GÄVLEBORGS LÄN</t>
        </is>
      </c>
      <c r="E514" t="inlineStr">
        <is>
          <t>SANDVIKEN</t>
        </is>
      </c>
      <c r="G514" t="n">
        <v>7.8</v>
      </c>
      <c r="H514" t="n">
        <v>0</v>
      </c>
      <c r="I514" t="n">
        <v>0</v>
      </c>
      <c r="J514" t="n">
        <v>1</v>
      </c>
      <c r="K514" t="n">
        <v>0</v>
      </c>
      <c r="L514" t="n">
        <v>0</v>
      </c>
      <c r="M514" t="n">
        <v>0</v>
      </c>
      <c r="N514" t="n">
        <v>0</v>
      </c>
      <c r="O514" t="n">
        <v>1</v>
      </c>
      <c r="P514" t="n">
        <v>0</v>
      </c>
      <c r="Q514" t="n">
        <v>1</v>
      </c>
      <c r="R514" s="2" t="inlineStr">
        <is>
          <t>Slåtterfibbla</t>
        </is>
      </c>
      <c r="S514">
        <f>HYPERLINK("https://klasma.github.io/Logging_2181/artfynd/A 5015-2023 artfynd.xlsx", "A 5015-2023")</f>
        <v/>
      </c>
      <c r="T514">
        <f>HYPERLINK("https://klasma.github.io/Logging_2181/kartor/A 5015-2023 karta.png", "A 5015-2023")</f>
        <v/>
      </c>
      <c r="V514">
        <f>HYPERLINK("https://klasma.github.io/Logging_2181/klagomål/A 5015-2023 FSC-klagomål.docx", "A 5015-2023")</f>
        <v/>
      </c>
      <c r="W514">
        <f>HYPERLINK("https://klasma.github.io/Logging_2181/klagomålsmail/A 5015-2023 FSC-klagomål mail.docx", "A 5015-2023")</f>
        <v/>
      </c>
      <c r="X514">
        <f>HYPERLINK("https://klasma.github.io/Logging_2181/tillsyn/A 5015-2023 tillsynsbegäran.docx", "A 5015-2023")</f>
        <v/>
      </c>
      <c r="Y514">
        <f>HYPERLINK("https://klasma.github.io/Logging_2181/tillsynsmail/A 5015-2023 tillsynsbegäran mail.docx", "A 5015-2023")</f>
        <v/>
      </c>
    </row>
    <row r="515" ht="15" customHeight="1">
      <c r="A515" t="inlineStr">
        <is>
          <t>A 6378-2023</t>
        </is>
      </c>
      <c r="B515" s="1" t="n">
        <v>44965</v>
      </c>
      <c r="C515" s="1" t="n">
        <v>45677</v>
      </c>
      <c r="D515" t="inlineStr">
        <is>
          <t>GÄVLEBORGS LÄN</t>
        </is>
      </c>
      <c r="E515" t="inlineStr">
        <is>
          <t>SANDVIKEN</t>
        </is>
      </c>
      <c r="G515" t="n">
        <v>4</v>
      </c>
      <c r="H515" t="n">
        <v>1</v>
      </c>
      <c r="I515" t="n">
        <v>0</v>
      </c>
      <c r="J515" t="n">
        <v>1</v>
      </c>
      <c r="K515" t="n">
        <v>0</v>
      </c>
      <c r="L515" t="n">
        <v>0</v>
      </c>
      <c r="M515" t="n">
        <v>0</v>
      </c>
      <c r="N515" t="n">
        <v>0</v>
      </c>
      <c r="O515" t="n">
        <v>1</v>
      </c>
      <c r="P515" t="n">
        <v>0</v>
      </c>
      <c r="Q515" t="n">
        <v>1</v>
      </c>
      <c r="R515" s="2" t="inlineStr">
        <is>
          <t>Rödvingetrast</t>
        </is>
      </c>
      <c r="S515">
        <f>HYPERLINK("https://klasma.github.io/Logging_2181/artfynd/A 6378-2023 artfynd.xlsx", "A 6378-2023")</f>
        <v/>
      </c>
      <c r="T515">
        <f>HYPERLINK("https://klasma.github.io/Logging_2181/kartor/A 6378-2023 karta.png", "A 6378-2023")</f>
        <v/>
      </c>
      <c r="V515">
        <f>HYPERLINK("https://klasma.github.io/Logging_2181/klagomål/A 6378-2023 FSC-klagomål.docx", "A 6378-2023")</f>
        <v/>
      </c>
      <c r="W515">
        <f>HYPERLINK("https://klasma.github.io/Logging_2181/klagomålsmail/A 6378-2023 FSC-klagomål mail.docx", "A 6378-2023")</f>
        <v/>
      </c>
      <c r="X515">
        <f>HYPERLINK("https://klasma.github.io/Logging_2181/tillsyn/A 6378-2023 tillsynsbegäran.docx", "A 6378-2023")</f>
        <v/>
      </c>
      <c r="Y515">
        <f>HYPERLINK("https://klasma.github.io/Logging_2181/tillsynsmail/A 6378-2023 tillsynsbegäran mail.docx", "A 6378-2023")</f>
        <v/>
      </c>
      <c r="Z515">
        <f>HYPERLINK("https://klasma.github.io/Logging_2181/fåglar/A 6378-2023 prioriterade fågelarter.docx", "A 6378-2023")</f>
        <v/>
      </c>
    </row>
    <row r="516" ht="15" customHeight="1">
      <c r="A516" t="inlineStr">
        <is>
          <t>A 7148-2023</t>
        </is>
      </c>
      <c r="B516" s="1" t="n">
        <v>44970</v>
      </c>
      <c r="C516" s="1" t="n">
        <v>45677</v>
      </c>
      <c r="D516" t="inlineStr">
        <is>
          <t>GÄVLEBORGS LÄN</t>
        </is>
      </c>
      <c r="E516" t="inlineStr">
        <is>
          <t>LJUSDAL</t>
        </is>
      </c>
      <c r="F516" t="inlineStr">
        <is>
          <t>Holmen skog AB</t>
        </is>
      </c>
      <c r="G516" t="n">
        <v>4.9</v>
      </c>
      <c r="H516" t="n">
        <v>0</v>
      </c>
      <c r="I516" t="n">
        <v>1</v>
      </c>
      <c r="J516" t="n">
        <v>0</v>
      </c>
      <c r="K516" t="n">
        <v>0</v>
      </c>
      <c r="L516" t="n">
        <v>0</v>
      </c>
      <c r="M516" t="n">
        <v>0</v>
      </c>
      <c r="N516" t="n">
        <v>0</v>
      </c>
      <c r="O516" t="n">
        <v>0</v>
      </c>
      <c r="P516" t="n">
        <v>0</v>
      </c>
      <c r="Q516" t="n">
        <v>1</v>
      </c>
      <c r="R516" s="2" t="inlineStr">
        <is>
          <t>Vedticka</t>
        </is>
      </c>
      <c r="S516">
        <f>HYPERLINK("https://klasma.github.io/Logging_2161/artfynd/A 7148-2023 artfynd.xlsx", "A 7148-2023")</f>
        <v/>
      </c>
      <c r="T516">
        <f>HYPERLINK("https://klasma.github.io/Logging_2161/kartor/A 7148-2023 karta.png", "A 7148-2023")</f>
        <v/>
      </c>
      <c r="V516">
        <f>HYPERLINK("https://klasma.github.io/Logging_2161/klagomål/A 7148-2023 FSC-klagomål.docx", "A 7148-2023")</f>
        <v/>
      </c>
      <c r="W516">
        <f>HYPERLINK("https://klasma.github.io/Logging_2161/klagomålsmail/A 7148-2023 FSC-klagomål mail.docx", "A 7148-2023")</f>
        <v/>
      </c>
      <c r="X516">
        <f>HYPERLINK("https://klasma.github.io/Logging_2161/tillsyn/A 7148-2023 tillsynsbegäran.docx", "A 7148-2023")</f>
        <v/>
      </c>
      <c r="Y516">
        <f>HYPERLINK("https://klasma.github.io/Logging_2161/tillsynsmail/A 7148-2023 tillsynsbegäran mail.docx", "A 7148-2023")</f>
        <v/>
      </c>
    </row>
    <row r="517" ht="15" customHeight="1">
      <c r="A517" t="inlineStr">
        <is>
          <t>A 8078-2023</t>
        </is>
      </c>
      <c r="B517" s="1" t="n">
        <v>44974</v>
      </c>
      <c r="C517" s="1" t="n">
        <v>45677</v>
      </c>
      <c r="D517" t="inlineStr">
        <is>
          <t>GÄVLEBORGS LÄN</t>
        </is>
      </c>
      <c r="E517" t="inlineStr">
        <is>
          <t>LJUSDAL</t>
        </is>
      </c>
      <c r="G517" t="n">
        <v>19.1</v>
      </c>
      <c r="H517" t="n">
        <v>0</v>
      </c>
      <c r="I517" t="n">
        <v>0</v>
      </c>
      <c r="J517" t="n">
        <v>0</v>
      </c>
      <c r="K517" t="n">
        <v>1</v>
      </c>
      <c r="L517" t="n">
        <v>0</v>
      </c>
      <c r="M517" t="n">
        <v>0</v>
      </c>
      <c r="N517" t="n">
        <v>0</v>
      </c>
      <c r="O517" t="n">
        <v>1</v>
      </c>
      <c r="P517" t="n">
        <v>1</v>
      </c>
      <c r="Q517" t="n">
        <v>1</v>
      </c>
      <c r="R517" s="2" t="inlineStr">
        <is>
          <t>Gräddporing</t>
        </is>
      </c>
      <c r="S517">
        <f>HYPERLINK("https://klasma.github.io/Logging_2161/artfynd/A 8078-2023 artfynd.xlsx", "A 8078-2023")</f>
        <v/>
      </c>
      <c r="T517">
        <f>HYPERLINK("https://klasma.github.io/Logging_2161/kartor/A 8078-2023 karta.png", "A 8078-2023")</f>
        <v/>
      </c>
      <c r="V517">
        <f>HYPERLINK("https://klasma.github.io/Logging_2161/klagomål/A 8078-2023 FSC-klagomål.docx", "A 8078-2023")</f>
        <v/>
      </c>
      <c r="W517">
        <f>HYPERLINK("https://klasma.github.io/Logging_2161/klagomålsmail/A 8078-2023 FSC-klagomål mail.docx", "A 8078-2023")</f>
        <v/>
      </c>
      <c r="X517">
        <f>HYPERLINK("https://klasma.github.io/Logging_2161/tillsyn/A 8078-2023 tillsynsbegäran.docx", "A 8078-2023")</f>
        <v/>
      </c>
      <c r="Y517">
        <f>HYPERLINK("https://klasma.github.io/Logging_2161/tillsynsmail/A 8078-2023 tillsynsbegäran mail.docx", "A 8078-2023")</f>
        <v/>
      </c>
    </row>
    <row r="518" ht="15" customHeight="1">
      <c r="A518" t="inlineStr">
        <is>
          <t>A 8622-2023</t>
        </is>
      </c>
      <c r="B518" s="1" t="n">
        <v>44977</v>
      </c>
      <c r="C518" s="1" t="n">
        <v>45677</v>
      </c>
      <c r="D518" t="inlineStr">
        <is>
          <t>GÄVLEBORGS LÄN</t>
        </is>
      </c>
      <c r="E518" t="inlineStr">
        <is>
          <t>GÄVLE</t>
        </is>
      </c>
      <c r="G518" t="n">
        <v>9.199999999999999</v>
      </c>
      <c r="H518" t="n">
        <v>1</v>
      </c>
      <c r="I518" t="n">
        <v>0</v>
      </c>
      <c r="J518" t="n">
        <v>0</v>
      </c>
      <c r="K518" t="n">
        <v>1</v>
      </c>
      <c r="L518" t="n">
        <v>0</v>
      </c>
      <c r="M518" t="n">
        <v>0</v>
      </c>
      <c r="N518" t="n">
        <v>0</v>
      </c>
      <c r="O518" t="n">
        <v>1</v>
      </c>
      <c r="P518" t="n">
        <v>1</v>
      </c>
      <c r="Q518" t="n">
        <v>1</v>
      </c>
      <c r="R518" s="2" t="inlineStr">
        <is>
          <t>Knärot</t>
        </is>
      </c>
      <c r="S518">
        <f>HYPERLINK("https://klasma.github.io/Logging_2180/artfynd/A 8622-2023 artfynd.xlsx", "A 8622-2023")</f>
        <v/>
      </c>
      <c r="T518">
        <f>HYPERLINK("https://klasma.github.io/Logging_2180/kartor/A 8622-2023 karta.png", "A 8622-2023")</f>
        <v/>
      </c>
      <c r="U518">
        <f>HYPERLINK("https://klasma.github.io/Logging_2180/knärot/A 8622-2023 karta knärot.png", "A 8622-2023")</f>
        <v/>
      </c>
      <c r="V518">
        <f>HYPERLINK("https://klasma.github.io/Logging_2180/klagomål/A 8622-2023 FSC-klagomål.docx", "A 8622-2023")</f>
        <v/>
      </c>
      <c r="W518">
        <f>HYPERLINK("https://klasma.github.io/Logging_2180/klagomålsmail/A 8622-2023 FSC-klagomål mail.docx", "A 8622-2023")</f>
        <v/>
      </c>
      <c r="X518">
        <f>HYPERLINK("https://klasma.github.io/Logging_2180/tillsyn/A 8622-2023 tillsynsbegäran.docx", "A 8622-2023")</f>
        <v/>
      </c>
      <c r="Y518">
        <f>HYPERLINK("https://klasma.github.io/Logging_2180/tillsynsmail/A 8622-2023 tillsynsbegäran mail.docx", "A 8622-2023")</f>
        <v/>
      </c>
    </row>
    <row r="519" ht="15" customHeight="1">
      <c r="A519" t="inlineStr">
        <is>
          <t>A 8636-2023</t>
        </is>
      </c>
      <c r="B519" s="1" t="n">
        <v>44977</v>
      </c>
      <c r="C519" s="1" t="n">
        <v>45677</v>
      </c>
      <c r="D519" t="inlineStr">
        <is>
          <t>GÄVLEBORGS LÄN</t>
        </is>
      </c>
      <c r="E519" t="inlineStr">
        <is>
          <t>HUDIKSVALL</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HYPERLINK("https://klasma.github.io/Logging_2184/artfynd/A 8636-2023 artfynd.xlsx", "A 8636-2023")</f>
        <v/>
      </c>
      <c r="T519">
        <f>HYPERLINK("https://klasma.github.io/Logging_2184/kartor/A 8636-2023 karta.png", "A 8636-2023")</f>
        <v/>
      </c>
      <c r="V519">
        <f>HYPERLINK("https://klasma.github.io/Logging_2184/klagomål/A 8636-2023 FSC-klagomål.docx", "A 8636-2023")</f>
        <v/>
      </c>
      <c r="W519">
        <f>HYPERLINK("https://klasma.github.io/Logging_2184/klagomålsmail/A 8636-2023 FSC-klagomål mail.docx", "A 8636-2023")</f>
        <v/>
      </c>
      <c r="X519">
        <f>HYPERLINK("https://klasma.github.io/Logging_2184/tillsyn/A 8636-2023 tillsynsbegäran.docx", "A 8636-2023")</f>
        <v/>
      </c>
      <c r="Y519">
        <f>HYPERLINK("https://klasma.github.io/Logging_2184/tillsynsmail/A 8636-2023 tillsynsbegäran mail.docx", "A 8636-2023")</f>
        <v/>
      </c>
    </row>
    <row r="520" ht="15" customHeight="1">
      <c r="A520" t="inlineStr">
        <is>
          <t>A 9312-2023</t>
        </is>
      </c>
      <c r="B520" s="1" t="n">
        <v>44980</v>
      </c>
      <c r="C520" s="1" t="n">
        <v>45677</v>
      </c>
      <c r="D520" t="inlineStr">
        <is>
          <t>GÄVLEBORGS LÄN</t>
        </is>
      </c>
      <c r="E520" t="inlineStr">
        <is>
          <t>NORDANSTIG</t>
        </is>
      </c>
      <c r="F520" t="inlineStr">
        <is>
          <t>Holmen skog AB</t>
        </is>
      </c>
      <c r="G520" t="n">
        <v>11.7</v>
      </c>
      <c r="H520" t="n">
        <v>0</v>
      </c>
      <c r="I520" t="n">
        <v>0</v>
      </c>
      <c r="J520" t="n">
        <v>1</v>
      </c>
      <c r="K520" t="n">
        <v>0</v>
      </c>
      <c r="L520" t="n">
        <v>0</v>
      </c>
      <c r="M520" t="n">
        <v>0</v>
      </c>
      <c r="N520" t="n">
        <v>0</v>
      </c>
      <c r="O520" t="n">
        <v>1</v>
      </c>
      <c r="P520" t="n">
        <v>0</v>
      </c>
      <c r="Q520" t="n">
        <v>1</v>
      </c>
      <c r="R520" s="2" t="inlineStr">
        <is>
          <t>Vedtrappmossa</t>
        </is>
      </c>
      <c r="S520">
        <f>HYPERLINK("https://klasma.github.io/Logging_2132/artfynd/A 9312-2023 artfynd.xlsx", "A 9312-2023")</f>
        <v/>
      </c>
      <c r="T520">
        <f>HYPERLINK("https://klasma.github.io/Logging_2132/kartor/A 9312-2023 karta.png", "A 9312-2023")</f>
        <v/>
      </c>
      <c r="V520">
        <f>HYPERLINK("https://klasma.github.io/Logging_2132/klagomål/A 9312-2023 FSC-klagomål.docx", "A 9312-2023")</f>
        <v/>
      </c>
      <c r="W520">
        <f>HYPERLINK("https://klasma.github.io/Logging_2132/klagomålsmail/A 9312-2023 FSC-klagomål mail.docx", "A 9312-2023")</f>
        <v/>
      </c>
      <c r="X520">
        <f>HYPERLINK("https://klasma.github.io/Logging_2132/tillsyn/A 9312-2023 tillsynsbegäran.docx", "A 9312-2023")</f>
        <v/>
      </c>
      <c r="Y520">
        <f>HYPERLINK("https://klasma.github.io/Logging_2132/tillsynsmail/A 9312-2023 tillsynsbegäran mail.docx", "A 9312-2023")</f>
        <v/>
      </c>
    </row>
    <row r="521" ht="15" customHeight="1">
      <c r="A521" t="inlineStr">
        <is>
          <t>A 10646-2023</t>
        </is>
      </c>
      <c r="B521" s="1" t="n">
        <v>44988</v>
      </c>
      <c r="C521" s="1" t="n">
        <v>45677</v>
      </c>
      <c r="D521" t="inlineStr">
        <is>
          <t>GÄVLEBORGS LÄN</t>
        </is>
      </c>
      <c r="E521" t="inlineStr">
        <is>
          <t>LJUSDAL</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HYPERLINK("https://klasma.github.io/Logging_2161/artfynd/A 10646-2023 artfynd.xlsx", "A 10646-2023")</f>
        <v/>
      </c>
      <c r="T521">
        <f>HYPERLINK("https://klasma.github.io/Logging_2161/kartor/A 10646-2023 karta.png", "A 10646-2023")</f>
        <v/>
      </c>
      <c r="V521">
        <f>HYPERLINK("https://klasma.github.io/Logging_2161/klagomål/A 10646-2023 FSC-klagomål.docx", "A 10646-2023")</f>
        <v/>
      </c>
      <c r="W521">
        <f>HYPERLINK("https://klasma.github.io/Logging_2161/klagomålsmail/A 10646-2023 FSC-klagomål mail.docx", "A 10646-2023")</f>
        <v/>
      </c>
      <c r="X521">
        <f>HYPERLINK("https://klasma.github.io/Logging_2161/tillsyn/A 10646-2023 tillsynsbegäran.docx", "A 10646-2023")</f>
        <v/>
      </c>
      <c r="Y521">
        <f>HYPERLINK("https://klasma.github.io/Logging_2161/tillsynsmail/A 10646-2023 tillsynsbegäran mail.docx", "A 10646-2023")</f>
        <v/>
      </c>
    </row>
    <row r="522" ht="15" customHeight="1">
      <c r="A522" t="inlineStr">
        <is>
          <t>A 13742-2023</t>
        </is>
      </c>
      <c r="B522" s="1" t="n">
        <v>45007</v>
      </c>
      <c r="C522" s="1" t="n">
        <v>45677</v>
      </c>
      <c r="D522" t="inlineStr">
        <is>
          <t>GÄVLEBORGS LÄN</t>
        </is>
      </c>
      <c r="E522" t="inlineStr">
        <is>
          <t>HOFORS</t>
        </is>
      </c>
      <c r="F522" t="inlineStr">
        <is>
          <t>Övriga statliga verk och myndigheter</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HYPERLINK("https://klasma.github.io/Logging_2104/artfynd/A 13742-2023 artfynd.xlsx", "A 13742-2023")</f>
        <v/>
      </c>
      <c r="T522">
        <f>HYPERLINK("https://klasma.github.io/Logging_2104/kartor/A 13742-2023 karta.png", "A 13742-2023")</f>
        <v/>
      </c>
      <c r="V522">
        <f>HYPERLINK("https://klasma.github.io/Logging_2104/klagomål/A 13742-2023 FSC-klagomål.docx", "A 13742-2023")</f>
        <v/>
      </c>
      <c r="W522">
        <f>HYPERLINK("https://klasma.github.io/Logging_2104/klagomålsmail/A 13742-2023 FSC-klagomål mail.docx", "A 13742-2023")</f>
        <v/>
      </c>
      <c r="X522">
        <f>HYPERLINK("https://klasma.github.io/Logging_2104/tillsyn/A 13742-2023 tillsynsbegäran.docx", "A 13742-2023")</f>
        <v/>
      </c>
      <c r="Y522">
        <f>HYPERLINK("https://klasma.github.io/Logging_2104/tillsynsmail/A 13742-2023 tillsynsbegäran mail.docx", "A 13742-2023")</f>
        <v/>
      </c>
      <c r="Z522">
        <f>HYPERLINK("https://klasma.github.io/Logging_2104/fåglar/A 13742-2023 prioriterade fågelarter.docx", "A 13742-2023")</f>
        <v/>
      </c>
    </row>
    <row r="523" ht="15" customHeight="1">
      <c r="A523" t="inlineStr">
        <is>
          <t>A 13741-2023</t>
        </is>
      </c>
      <c r="B523" s="1" t="n">
        <v>45007</v>
      </c>
      <c r="C523" s="1" t="n">
        <v>45677</v>
      </c>
      <c r="D523" t="inlineStr">
        <is>
          <t>GÄVLEBORGS LÄN</t>
        </is>
      </c>
      <c r="E523" t="inlineStr">
        <is>
          <t>HOFORS</t>
        </is>
      </c>
      <c r="F523" t="inlineStr">
        <is>
          <t>Övriga statliga verk och myndigheter</t>
        </is>
      </c>
      <c r="G523" t="n">
        <v>1.6</v>
      </c>
      <c r="H523" t="n">
        <v>0</v>
      </c>
      <c r="I523" t="n">
        <v>1</v>
      </c>
      <c r="J523" t="n">
        <v>0</v>
      </c>
      <c r="K523" t="n">
        <v>0</v>
      </c>
      <c r="L523" t="n">
        <v>0</v>
      </c>
      <c r="M523" t="n">
        <v>0</v>
      </c>
      <c r="N523" t="n">
        <v>0</v>
      </c>
      <c r="O523" t="n">
        <v>0</v>
      </c>
      <c r="P523" t="n">
        <v>0</v>
      </c>
      <c r="Q523" t="n">
        <v>1</v>
      </c>
      <c r="R523" s="2" t="inlineStr">
        <is>
          <t>Skarp dropptaggsvamp</t>
        </is>
      </c>
      <c r="S523">
        <f>HYPERLINK("https://klasma.github.io/Logging_2104/artfynd/A 13741-2023 artfynd.xlsx", "A 13741-2023")</f>
        <v/>
      </c>
      <c r="T523">
        <f>HYPERLINK("https://klasma.github.io/Logging_2104/kartor/A 13741-2023 karta.png", "A 13741-2023")</f>
        <v/>
      </c>
      <c r="V523">
        <f>HYPERLINK("https://klasma.github.io/Logging_2104/klagomål/A 13741-2023 FSC-klagomål.docx", "A 13741-2023")</f>
        <v/>
      </c>
      <c r="W523">
        <f>HYPERLINK("https://klasma.github.io/Logging_2104/klagomålsmail/A 13741-2023 FSC-klagomål mail.docx", "A 13741-2023")</f>
        <v/>
      </c>
      <c r="X523">
        <f>HYPERLINK("https://klasma.github.io/Logging_2104/tillsyn/A 13741-2023 tillsynsbegäran.docx", "A 13741-2023")</f>
        <v/>
      </c>
      <c r="Y523">
        <f>HYPERLINK("https://klasma.github.io/Logging_2104/tillsynsmail/A 13741-2023 tillsynsbegäran mail.docx", "A 13741-2023")</f>
        <v/>
      </c>
    </row>
    <row r="524" ht="15" customHeight="1">
      <c r="A524" t="inlineStr">
        <is>
          <t>A 14449-2023</t>
        </is>
      </c>
      <c r="B524" s="1" t="n">
        <v>45012</v>
      </c>
      <c r="C524" s="1" t="n">
        <v>45677</v>
      </c>
      <c r="D524" t="inlineStr">
        <is>
          <t>GÄVLEBORGS LÄN</t>
        </is>
      </c>
      <c r="E524" t="inlineStr">
        <is>
          <t>HUDIKSVALL</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HYPERLINK("https://klasma.github.io/Logging_2184/artfynd/A 14449-2023 artfynd.xlsx", "A 14449-2023")</f>
        <v/>
      </c>
      <c r="T524">
        <f>HYPERLINK("https://klasma.github.io/Logging_2184/kartor/A 14449-2023 karta.png", "A 14449-2023")</f>
        <v/>
      </c>
      <c r="U524">
        <f>HYPERLINK("https://klasma.github.io/Logging_2184/knärot/A 14449-2023 karta knärot.png", "A 14449-2023")</f>
        <v/>
      </c>
      <c r="V524">
        <f>HYPERLINK("https://klasma.github.io/Logging_2184/klagomål/A 14449-2023 FSC-klagomål.docx", "A 14449-2023")</f>
        <v/>
      </c>
      <c r="W524">
        <f>HYPERLINK("https://klasma.github.io/Logging_2184/klagomålsmail/A 14449-2023 FSC-klagomål mail.docx", "A 14449-2023")</f>
        <v/>
      </c>
      <c r="X524">
        <f>HYPERLINK("https://klasma.github.io/Logging_2184/tillsyn/A 14449-2023 tillsynsbegäran.docx", "A 14449-2023")</f>
        <v/>
      </c>
      <c r="Y524">
        <f>HYPERLINK("https://klasma.github.io/Logging_2184/tillsynsmail/A 14449-2023 tillsynsbegäran mail.docx", "A 14449-2023")</f>
        <v/>
      </c>
    </row>
    <row r="525" ht="15" customHeight="1">
      <c r="A525" t="inlineStr">
        <is>
          <t>A 14358-2023</t>
        </is>
      </c>
      <c r="B525" s="1" t="n">
        <v>45012</v>
      </c>
      <c r="C525" s="1" t="n">
        <v>45677</v>
      </c>
      <c r="D525" t="inlineStr">
        <is>
          <t>GÄVLEBORGS LÄN</t>
        </is>
      </c>
      <c r="E525" t="inlineStr">
        <is>
          <t>HOFORS</t>
        </is>
      </c>
      <c r="F525" t="inlineStr">
        <is>
          <t>Övriga statliga verk och myndigheter</t>
        </is>
      </c>
      <c r="G525" t="n">
        <v>1.2</v>
      </c>
      <c r="H525" t="n">
        <v>0</v>
      </c>
      <c r="I525" t="n">
        <v>1</v>
      </c>
      <c r="J525" t="n">
        <v>0</v>
      </c>
      <c r="K525" t="n">
        <v>0</v>
      </c>
      <c r="L525" t="n">
        <v>0</v>
      </c>
      <c r="M525" t="n">
        <v>0</v>
      </c>
      <c r="N525" t="n">
        <v>0</v>
      </c>
      <c r="O525" t="n">
        <v>0</v>
      </c>
      <c r="P525" t="n">
        <v>0</v>
      </c>
      <c r="Q525" t="n">
        <v>1</v>
      </c>
      <c r="R525" s="2" t="inlineStr">
        <is>
          <t>Bronshjon</t>
        </is>
      </c>
      <c r="S525">
        <f>HYPERLINK("https://klasma.github.io/Logging_2104/artfynd/A 14358-2023 artfynd.xlsx", "A 14358-2023")</f>
        <v/>
      </c>
      <c r="T525">
        <f>HYPERLINK("https://klasma.github.io/Logging_2104/kartor/A 14358-2023 karta.png", "A 14358-2023")</f>
        <v/>
      </c>
      <c r="V525">
        <f>HYPERLINK("https://klasma.github.io/Logging_2104/klagomål/A 14358-2023 FSC-klagomål.docx", "A 14358-2023")</f>
        <v/>
      </c>
      <c r="W525">
        <f>HYPERLINK("https://klasma.github.io/Logging_2104/klagomålsmail/A 14358-2023 FSC-klagomål mail.docx", "A 14358-2023")</f>
        <v/>
      </c>
      <c r="X525">
        <f>HYPERLINK("https://klasma.github.io/Logging_2104/tillsyn/A 14358-2023 tillsynsbegäran.docx", "A 14358-2023")</f>
        <v/>
      </c>
      <c r="Y525">
        <f>HYPERLINK("https://klasma.github.io/Logging_2104/tillsynsmail/A 14358-2023 tillsynsbegäran mail.docx", "A 14358-2023")</f>
        <v/>
      </c>
    </row>
    <row r="526" ht="15" customHeight="1">
      <c r="A526" t="inlineStr">
        <is>
          <t>A 15841-2023</t>
        </is>
      </c>
      <c r="B526" s="1" t="n">
        <v>45022</v>
      </c>
      <c r="C526" s="1" t="n">
        <v>45677</v>
      </c>
      <c r="D526" t="inlineStr">
        <is>
          <t>GÄVLEBORGS LÄN</t>
        </is>
      </c>
      <c r="E526" t="inlineStr">
        <is>
          <t>OCKELBO</t>
        </is>
      </c>
      <c r="F526" t="inlineStr">
        <is>
          <t>Bergvik skog väst AB</t>
        </is>
      </c>
      <c r="G526" t="n">
        <v>2.1</v>
      </c>
      <c r="H526" t="n">
        <v>1</v>
      </c>
      <c r="I526" t="n">
        <v>0</v>
      </c>
      <c r="J526" t="n">
        <v>1</v>
      </c>
      <c r="K526" t="n">
        <v>0</v>
      </c>
      <c r="L526" t="n">
        <v>0</v>
      </c>
      <c r="M526" t="n">
        <v>0</v>
      </c>
      <c r="N526" t="n">
        <v>0</v>
      </c>
      <c r="O526" t="n">
        <v>1</v>
      </c>
      <c r="P526" t="n">
        <v>0</v>
      </c>
      <c r="Q526" t="n">
        <v>1</v>
      </c>
      <c r="R526" s="2" t="inlineStr">
        <is>
          <t>Havsörn</t>
        </is>
      </c>
      <c r="S526">
        <f>HYPERLINK("https://klasma.github.io/Logging_2101/artfynd/A 15841-2023 artfynd.xlsx", "A 15841-2023")</f>
        <v/>
      </c>
      <c r="T526">
        <f>HYPERLINK("https://klasma.github.io/Logging_2101/kartor/A 15841-2023 karta.png", "A 15841-2023")</f>
        <v/>
      </c>
      <c r="V526">
        <f>HYPERLINK("https://klasma.github.io/Logging_2101/klagomål/A 15841-2023 FSC-klagomål.docx", "A 15841-2023")</f>
        <v/>
      </c>
      <c r="W526">
        <f>HYPERLINK("https://klasma.github.io/Logging_2101/klagomålsmail/A 15841-2023 FSC-klagomål mail.docx", "A 15841-2023")</f>
        <v/>
      </c>
      <c r="X526">
        <f>HYPERLINK("https://klasma.github.io/Logging_2101/tillsyn/A 15841-2023 tillsynsbegäran.docx", "A 15841-2023")</f>
        <v/>
      </c>
      <c r="Y526">
        <f>HYPERLINK("https://klasma.github.io/Logging_2101/tillsynsmail/A 15841-2023 tillsynsbegäran mail.docx", "A 15841-2023")</f>
        <v/>
      </c>
      <c r="Z526">
        <f>HYPERLINK("https://klasma.github.io/Logging_2101/fåglar/A 15841-2023 prioriterade fågelarter.docx", "A 15841-2023")</f>
        <v/>
      </c>
    </row>
    <row r="527" ht="15" customHeight="1">
      <c r="A527" t="inlineStr">
        <is>
          <t>A 18683-2023</t>
        </is>
      </c>
      <c r="B527" s="1" t="n">
        <v>45043</v>
      </c>
      <c r="C527" s="1" t="n">
        <v>45677</v>
      </c>
      <c r="D527" t="inlineStr">
        <is>
          <t>GÄVLEBORGS LÄN</t>
        </is>
      </c>
      <c r="E527" t="inlineStr">
        <is>
          <t>HOFORS</t>
        </is>
      </c>
      <c r="G527" t="n">
        <v>32.2</v>
      </c>
      <c r="H527" t="n">
        <v>1</v>
      </c>
      <c r="I527" t="n">
        <v>0</v>
      </c>
      <c r="J527" t="n">
        <v>0</v>
      </c>
      <c r="K527" t="n">
        <v>0</v>
      </c>
      <c r="L527" t="n">
        <v>0</v>
      </c>
      <c r="M527" t="n">
        <v>0</v>
      </c>
      <c r="N527" t="n">
        <v>0</v>
      </c>
      <c r="O527" t="n">
        <v>0</v>
      </c>
      <c r="P527" t="n">
        <v>0</v>
      </c>
      <c r="Q527" t="n">
        <v>1</v>
      </c>
      <c r="R527" s="2" t="inlineStr">
        <is>
          <t>Blåsippa</t>
        </is>
      </c>
      <c r="S527">
        <f>HYPERLINK("https://klasma.github.io/Logging_2104/artfynd/A 18683-2023 artfynd.xlsx", "A 18683-2023")</f>
        <v/>
      </c>
      <c r="T527">
        <f>HYPERLINK("https://klasma.github.io/Logging_2104/kartor/A 18683-2023 karta.png", "A 18683-2023")</f>
        <v/>
      </c>
      <c r="V527">
        <f>HYPERLINK("https://klasma.github.io/Logging_2104/klagomål/A 18683-2023 FSC-klagomål.docx", "A 18683-2023")</f>
        <v/>
      </c>
      <c r="W527">
        <f>HYPERLINK("https://klasma.github.io/Logging_2104/klagomålsmail/A 18683-2023 FSC-klagomål mail.docx", "A 18683-2023")</f>
        <v/>
      </c>
      <c r="X527">
        <f>HYPERLINK("https://klasma.github.io/Logging_2104/tillsyn/A 18683-2023 tillsynsbegäran.docx", "A 18683-2023")</f>
        <v/>
      </c>
      <c r="Y527">
        <f>HYPERLINK("https://klasma.github.io/Logging_2104/tillsynsmail/A 18683-2023 tillsynsbegäran mail.docx", "A 18683-2023")</f>
        <v/>
      </c>
    </row>
    <row r="528" ht="15" customHeight="1">
      <c r="A528" t="inlineStr">
        <is>
          <t>A 19255-2023</t>
        </is>
      </c>
      <c r="B528" s="1" t="n">
        <v>45049</v>
      </c>
      <c r="C528" s="1" t="n">
        <v>45677</v>
      </c>
      <c r="D528" t="inlineStr">
        <is>
          <t>GÄVLEBORGS LÄN</t>
        </is>
      </c>
      <c r="E528" t="inlineStr">
        <is>
          <t>HUDIKSVALL</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HYPERLINK("https://klasma.github.io/Logging_2184/artfynd/A 19255-2023 artfynd.xlsx", "A 19255-2023")</f>
        <v/>
      </c>
      <c r="T528">
        <f>HYPERLINK("https://klasma.github.io/Logging_2184/kartor/A 19255-2023 karta.png", "A 19255-2023")</f>
        <v/>
      </c>
      <c r="V528">
        <f>HYPERLINK("https://klasma.github.io/Logging_2184/klagomål/A 19255-2023 FSC-klagomål.docx", "A 19255-2023")</f>
        <v/>
      </c>
      <c r="W528">
        <f>HYPERLINK("https://klasma.github.io/Logging_2184/klagomålsmail/A 19255-2023 FSC-klagomål mail.docx", "A 19255-2023")</f>
        <v/>
      </c>
      <c r="X528">
        <f>HYPERLINK("https://klasma.github.io/Logging_2184/tillsyn/A 19255-2023 tillsynsbegäran.docx", "A 19255-2023")</f>
        <v/>
      </c>
      <c r="Y528">
        <f>HYPERLINK("https://klasma.github.io/Logging_2184/tillsynsmail/A 19255-2023 tillsynsbegäran mail.docx", "A 19255-2023")</f>
        <v/>
      </c>
    </row>
    <row r="529" ht="15" customHeight="1">
      <c r="A529" t="inlineStr">
        <is>
          <t>A 20661-2023</t>
        </is>
      </c>
      <c r="B529" s="1" t="n">
        <v>45058</v>
      </c>
      <c r="C529" s="1" t="n">
        <v>45677</v>
      </c>
      <c r="D529" t="inlineStr">
        <is>
          <t>GÄVLEBORGS LÄN</t>
        </is>
      </c>
      <c r="E529" t="inlineStr">
        <is>
          <t>OVANÅKER</t>
        </is>
      </c>
      <c r="F529" t="inlineStr">
        <is>
          <t>Sveaskog</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HYPERLINK("https://klasma.github.io/Logging_2121/artfynd/A 20661-2023 artfynd.xlsx", "A 20661-2023")</f>
        <v/>
      </c>
      <c r="T529">
        <f>HYPERLINK("https://klasma.github.io/Logging_2121/kartor/A 20661-2023 karta.png", "A 20661-2023")</f>
        <v/>
      </c>
      <c r="V529">
        <f>HYPERLINK("https://klasma.github.io/Logging_2121/klagomål/A 20661-2023 FSC-klagomål.docx", "A 20661-2023")</f>
        <v/>
      </c>
      <c r="W529">
        <f>HYPERLINK("https://klasma.github.io/Logging_2121/klagomålsmail/A 20661-2023 FSC-klagomål mail.docx", "A 20661-2023")</f>
        <v/>
      </c>
      <c r="X529">
        <f>HYPERLINK("https://klasma.github.io/Logging_2121/tillsyn/A 20661-2023 tillsynsbegäran.docx", "A 20661-2023")</f>
        <v/>
      </c>
      <c r="Y529">
        <f>HYPERLINK("https://klasma.github.io/Logging_2121/tillsynsmail/A 20661-2023 tillsynsbegäran mail.docx", "A 20661-2023")</f>
        <v/>
      </c>
    </row>
    <row r="530" ht="15" customHeight="1">
      <c r="A530" t="inlineStr">
        <is>
          <t>A 21030-2023</t>
        </is>
      </c>
      <c r="B530" s="1" t="n">
        <v>45061</v>
      </c>
      <c r="C530" s="1" t="n">
        <v>45677</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Havstrut</t>
        </is>
      </c>
      <c r="S530">
        <f>HYPERLINK("https://klasma.github.io/Logging_2104/artfynd/A 21030-2023 artfynd.xlsx", "A 21030-2023")</f>
        <v/>
      </c>
      <c r="T530">
        <f>HYPERLINK("https://klasma.github.io/Logging_2104/kartor/A 21030-2023 karta.png", "A 21030-2023")</f>
        <v/>
      </c>
      <c r="V530">
        <f>HYPERLINK("https://klasma.github.io/Logging_2104/klagomål/A 21030-2023 FSC-klagomål.docx", "A 21030-2023")</f>
        <v/>
      </c>
      <c r="W530">
        <f>HYPERLINK("https://klasma.github.io/Logging_2104/klagomålsmail/A 21030-2023 FSC-klagomål mail.docx", "A 21030-2023")</f>
        <v/>
      </c>
      <c r="X530">
        <f>HYPERLINK("https://klasma.github.io/Logging_2104/tillsyn/A 21030-2023 tillsynsbegäran.docx", "A 21030-2023")</f>
        <v/>
      </c>
      <c r="Y530">
        <f>HYPERLINK("https://klasma.github.io/Logging_2104/tillsynsmail/A 21030-2023 tillsynsbegäran mail.docx", "A 21030-2023")</f>
        <v/>
      </c>
    </row>
    <row r="531" ht="15" customHeight="1">
      <c r="A531" t="inlineStr">
        <is>
          <t>A 21245-2023</t>
        </is>
      </c>
      <c r="B531" s="1" t="n">
        <v>45062</v>
      </c>
      <c r="C531" s="1" t="n">
        <v>45677</v>
      </c>
      <c r="D531" t="inlineStr">
        <is>
          <t>GÄVLEBORGS LÄN</t>
        </is>
      </c>
      <c r="E531" t="inlineStr">
        <is>
          <t>OCKELBO</t>
        </is>
      </c>
      <c r="F531" t="inlineStr">
        <is>
          <t>Bergvik skog väst AB</t>
        </is>
      </c>
      <c r="G531" t="n">
        <v>21.7</v>
      </c>
      <c r="H531" t="n">
        <v>1</v>
      </c>
      <c r="I531" t="n">
        <v>0</v>
      </c>
      <c r="J531" t="n">
        <v>0</v>
      </c>
      <c r="K531" t="n">
        <v>0</v>
      </c>
      <c r="L531" t="n">
        <v>0</v>
      </c>
      <c r="M531" t="n">
        <v>0</v>
      </c>
      <c r="N531" t="n">
        <v>0</v>
      </c>
      <c r="O531" t="n">
        <v>0</v>
      </c>
      <c r="P531" t="n">
        <v>0</v>
      </c>
      <c r="Q531" t="n">
        <v>1</v>
      </c>
      <c r="R531" s="2" t="inlineStr">
        <is>
          <t>Tjäder</t>
        </is>
      </c>
      <c r="S531">
        <f>HYPERLINK("https://klasma.github.io/Logging_2101/artfynd/A 21245-2023 artfynd.xlsx", "A 21245-2023")</f>
        <v/>
      </c>
      <c r="T531">
        <f>HYPERLINK("https://klasma.github.io/Logging_2101/kartor/A 21245-2023 karta.png", "A 21245-2023")</f>
        <v/>
      </c>
      <c r="V531">
        <f>HYPERLINK("https://klasma.github.io/Logging_2101/klagomål/A 21245-2023 FSC-klagomål.docx", "A 21245-2023")</f>
        <v/>
      </c>
      <c r="W531">
        <f>HYPERLINK("https://klasma.github.io/Logging_2101/klagomålsmail/A 21245-2023 FSC-klagomål mail.docx", "A 21245-2023")</f>
        <v/>
      </c>
      <c r="X531">
        <f>HYPERLINK("https://klasma.github.io/Logging_2101/tillsyn/A 21245-2023 tillsynsbegäran.docx", "A 21245-2023")</f>
        <v/>
      </c>
      <c r="Y531">
        <f>HYPERLINK("https://klasma.github.io/Logging_2101/tillsynsmail/A 21245-2023 tillsynsbegäran mail.docx", "A 21245-2023")</f>
        <v/>
      </c>
      <c r="Z531">
        <f>HYPERLINK("https://klasma.github.io/Logging_2101/fåglar/A 21245-2023 prioriterade fågelarter.docx", "A 21245-2023")</f>
        <v/>
      </c>
    </row>
    <row r="532" ht="15" customHeight="1">
      <c r="A532" t="inlineStr">
        <is>
          <t>A 21889-2023</t>
        </is>
      </c>
      <c r="B532" s="1" t="n">
        <v>45068</v>
      </c>
      <c r="C532" s="1" t="n">
        <v>45677</v>
      </c>
      <c r="D532" t="inlineStr">
        <is>
          <t>GÄVLEBORGS LÄN</t>
        </is>
      </c>
      <c r="E532" t="inlineStr">
        <is>
          <t>OCKELBO</t>
        </is>
      </c>
      <c r="F532" t="inlineStr">
        <is>
          <t>Bergvik skog väst AB</t>
        </is>
      </c>
      <c r="G532" t="n">
        <v>2.9</v>
      </c>
      <c r="H532" t="n">
        <v>0</v>
      </c>
      <c r="I532" t="n">
        <v>1</v>
      </c>
      <c r="J532" t="n">
        <v>0</v>
      </c>
      <c r="K532" t="n">
        <v>0</v>
      </c>
      <c r="L532" t="n">
        <v>0</v>
      </c>
      <c r="M532" t="n">
        <v>0</v>
      </c>
      <c r="N532" t="n">
        <v>0</v>
      </c>
      <c r="O532" t="n">
        <v>0</v>
      </c>
      <c r="P532" t="n">
        <v>0</v>
      </c>
      <c r="Q532" t="n">
        <v>1</v>
      </c>
      <c r="R532" s="2" t="inlineStr">
        <is>
          <t>Tibast</t>
        </is>
      </c>
      <c r="S532">
        <f>HYPERLINK("https://klasma.github.io/Logging_2101/artfynd/A 21889-2023 artfynd.xlsx", "A 21889-2023")</f>
        <v/>
      </c>
      <c r="T532">
        <f>HYPERLINK("https://klasma.github.io/Logging_2101/kartor/A 21889-2023 karta.png", "A 21889-2023")</f>
        <v/>
      </c>
      <c r="V532">
        <f>HYPERLINK("https://klasma.github.io/Logging_2101/klagomål/A 21889-2023 FSC-klagomål.docx", "A 21889-2023")</f>
        <v/>
      </c>
      <c r="W532">
        <f>HYPERLINK("https://klasma.github.io/Logging_2101/klagomålsmail/A 21889-2023 FSC-klagomål mail.docx", "A 21889-2023")</f>
        <v/>
      </c>
      <c r="X532">
        <f>HYPERLINK("https://klasma.github.io/Logging_2101/tillsyn/A 21889-2023 tillsynsbegäran.docx", "A 21889-2023")</f>
        <v/>
      </c>
      <c r="Y532">
        <f>HYPERLINK("https://klasma.github.io/Logging_2101/tillsynsmail/A 21889-2023 tillsynsbegäran mail.docx", "A 21889-2023")</f>
        <v/>
      </c>
    </row>
    <row r="533" ht="15" customHeight="1">
      <c r="A533" t="inlineStr">
        <is>
          <t>A 21887-2023</t>
        </is>
      </c>
      <c r="B533" s="1" t="n">
        <v>45068</v>
      </c>
      <c r="C533" s="1" t="n">
        <v>45677</v>
      </c>
      <c r="D533" t="inlineStr">
        <is>
          <t>GÄVLEBORGS LÄN</t>
        </is>
      </c>
      <c r="E533" t="inlineStr">
        <is>
          <t>OCKELBO</t>
        </is>
      </c>
      <c r="F533" t="inlineStr">
        <is>
          <t>Bergvik skog väst AB</t>
        </is>
      </c>
      <c r="G533" t="n">
        <v>1.6</v>
      </c>
      <c r="H533" t="n">
        <v>0</v>
      </c>
      <c r="I533" t="n">
        <v>0</v>
      </c>
      <c r="J533" t="n">
        <v>0</v>
      </c>
      <c r="K533" t="n">
        <v>0</v>
      </c>
      <c r="L533" t="n">
        <v>0</v>
      </c>
      <c r="M533" t="n">
        <v>1</v>
      </c>
      <c r="N533" t="n">
        <v>0</v>
      </c>
      <c r="O533" t="n">
        <v>1</v>
      </c>
      <c r="P533" t="n">
        <v>1</v>
      </c>
      <c r="Q533" t="n">
        <v>1</v>
      </c>
      <c r="R533" s="2" t="inlineStr">
        <is>
          <t>Skogsalm</t>
        </is>
      </c>
      <c r="S533">
        <f>HYPERLINK("https://klasma.github.io/Logging_2101/artfynd/A 21887-2023 artfynd.xlsx", "A 21887-2023")</f>
        <v/>
      </c>
      <c r="T533">
        <f>HYPERLINK("https://klasma.github.io/Logging_2101/kartor/A 21887-2023 karta.png", "A 21887-2023")</f>
        <v/>
      </c>
      <c r="V533">
        <f>HYPERLINK("https://klasma.github.io/Logging_2101/klagomål/A 21887-2023 FSC-klagomål.docx", "A 21887-2023")</f>
        <v/>
      </c>
      <c r="W533">
        <f>HYPERLINK("https://klasma.github.io/Logging_2101/klagomålsmail/A 21887-2023 FSC-klagomål mail.docx", "A 21887-2023")</f>
        <v/>
      </c>
      <c r="X533">
        <f>HYPERLINK("https://klasma.github.io/Logging_2101/tillsyn/A 21887-2023 tillsynsbegäran.docx", "A 21887-2023")</f>
        <v/>
      </c>
      <c r="Y533">
        <f>HYPERLINK("https://klasma.github.io/Logging_2101/tillsynsmail/A 21887-2023 tillsynsbegäran mail.docx", "A 21887-2023")</f>
        <v/>
      </c>
    </row>
    <row r="534" ht="15" customHeight="1">
      <c r="A534" t="inlineStr">
        <is>
          <t>A 22973-2023</t>
        </is>
      </c>
      <c r="B534" s="1" t="n">
        <v>45072</v>
      </c>
      <c r="C534" s="1" t="n">
        <v>45677</v>
      </c>
      <c r="D534" t="inlineStr">
        <is>
          <t>GÄVLEBORGS LÄN</t>
        </is>
      </c>
      <c r="E534" t="inlineStr">
        <is>
          <t>LJUSDAL</t>
        </is>
      </c>
      <c r="F534" t="inlineStr">
        <is>
          <t>Sveaskog</t>
        </is>
      </c>
      <c r="G534" t="n">
        <v>20.4</v>
      </c>
      <c r="H534" t="n">
        <v>0</v>
      </c>
      <c r="I534" t="n">
        <v>0</v>
      </c>
      <c r="J534" t="n">
        <v>1</v>
      </c>
      <c r="K534" t="n">
        <v>0</v>
      </c>
      <c r="L534" t="n">
        <v>0</v>
      </c>
      <c r="M534" t="n">
        <v>0</v>
      </c>
      <c r="N534" t="n">
        <v>0</v>
      </c>
      <c r="O534" t="n">
        <v>1</v>
      </c>
      <c r="P534" t="n">
        <v>0</v>
      </c>
      <c r="Q534" t="n">
        <v>1</v>
      </c>
      <c r="R534" s="2" t="inlineStr">
        <is>
          <t>Kolflarnlav</t>
        </is>
      </c>
      <c r="S534">
        <f>HYPERLINK("https://klasma.github.io/Logging_2161/artfynd/A 22973-2023 artfynd.xlsx", "A 22973-2023")</f>
        <v/>
      </c>
      <c r="T534">
        <f>HYPERLINK("https://klasma.github.io/Logging_2161/kartor/A 22973-2023 karta.png", "A 22973-2023")</f>
        <v/>
      </c>
      <c r="V534">
        <f>HYPERLINK("https://klasma.github.io/Logging_2161/klagomål/A 22973-2023 FSC-klagomål.docx", "A 22973-2023")</f>
        <v/>
      </c>
      <c r="W534">
        <f>HYPERLINK("https://klasma.github.io/Logging_2161/klagomålsmail/A 22973-2023 FSC-klagomål mail.docx", "A 22973-2023")</f>
        <v/>
      </c>
      <c r="X534">
        <f>HYPERLINK("https://klasma.github.io/Logging_2161/tillsyn/A 22973-2023 tillsynsbegäran.docx", "A 22973-2023")</f>
        <v/>
      </c>
      <c r="Y534">
        <f>HYPERLINK("https://klasma.github.io/Logging_2161/tillsynsmail/A 22973-2023 tillsynsbegäran mail.docx", "A 22973-2023")</f>
        <v/>
      </c>
    </row>
    <row r="535" ht="15" customHeight="1">
      <c r="A535" t="inlineStr">
        <is>
          <t>A 23560-2023</t>
        </is>
      </c>
      <c r="B535" s="1" t="n">
        <v>45077</v>
      </c>
      <c r="C535" s="1" t="n">
        <v>45677</v>
      </c>
      <c r="D535" t="inlineStr">
        <is>
          <t>GÄVLEBORGS LÄN</t>
        </is>
      </c>
      <c r="E535" t="inlineStr">
        <is>
          <t>LJUSDAL</t>
        </is>
      </c>
      <c r="F535" t="inlineStr">
        <is>
          <t>Allmännings- och besparingsskogar</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HYPERLINK("https://klasma.github.io/Logging_2161/artfynd/A 23560-2023 artfynd.xlsx", "A 23560-2023")</f>
        <v/>
      </c>
      <c r="T535">
        <f>HYPERLINK("https://klasma.github.io/Logging_2161/kartor/A 23560-2023 karta.png", "A 23560-2023")</f>
        <v/>
      </c>
      <c r="V535">
        <f>HYPERLINK("https://klasma.github.io/Logging_2161/klagomål/A 23560-2023 FSC-klagomål.docx", "A 23560-2023")</f>
        <v/>
      </c>
      <c r="W535">
        <f>HYPERLINK("https://klasma.github.io/Logging_2161/klagomålsmail/A 23560-2023 FSC-klagomål mail.docx", "A 23560-2023")</f>
        <v/>
      </c>
      <c r="X535">
        <f>HYPERLINK("https://klasma.github.io/Logging_2161/tillsyn/A 23560-2023 tillsynsbegäran.docx", "A 23560-2023")</f>
        <v/>
      </c>
      <c r="Y535">
        <f>HYPERLINK("https://klasma.github.io/Logging_2161/tillsynsmail/A 23560-2023 tillsynsbegäran mail.docx", "A 23560-2023")</f>
        <v/>
      </c>
    </row>
    <row r="536" ht="15" customHeight="1">
      <c r="A536" t="inlineStr">
        <is>
          <t>A 25114-2023</t>
        </is>
      </c>
      <c r="B536" s="1" t="n">
        <v>45086</v>
      </c>
      <c r="C536" s="1" t="n">
        <v>45677</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26003-2023</t>
        </is>
      </c>
      <c r="B537" s="1" t="n">
        <v>45090</v>
      </c>
      <c r="C537" s="1" t="n">
        <v>45677</v>
      </c>
      <c r="D537" t="inlineStr">
        <is>
          <t>GÄVLEBORGS LÄN</t>
        </is>
      </c>
      <c r="E537" t="inlineStr">
        <is>
          <t>LJUSDAL</t>
        </is>
      </c>
      <c r="F537" t="inlineStr">
        <is>
          <t>SCA</t>
        </is>
      </c>
      <c r="G537" t="n">
        <v>19.8</v>
      </c>
      <c r="H537" t="n">
        <v>0</v>
      </c>
      <c r="I537" t="n">
        <v>0</v>
      </c>
      <c r="J537" t="n">
        <v>1</v>
      </c>
      <c r="K537" t="n">
        <v>0</v>
      </c>
      <c r="L537" t="n">
        <v>0</v>
      </c>
      <c r="M537" t="n">
        <v>0</v>
      </c>
      <c r="N537" t="n">
        <v>0</v>
      </c>
      <c r="O537" t="n">
        <v>1</v>
      </c>
      <c r="P537" t="n">
        <v>0</v>
      </c>
      <c r="Q537" t="n">
        <v>1</v>
      </c>
      <c r="R537" s="2" t="inlineStr">
        <is>
          <t>Lunglav</t>
        </is>
      </c>
      <c r="S537">
        <f>HYPERLINK("https://klasma.github.io/Logging_2161/artfynd/A 26003-2023 artfynd.xlsx", "A 26003-2023")</f>
        <v/>
      </c>
      <c r="T537">
        <f>HYPERLINK("https://klasma.github.io/Logging_2161/kartor/A 26003-2023 karta.png", "A 26003-2023")</f>
        <v/>
      </c>
      <c r="V537">
        <f>HYPERLINK("https://klasma.github.io/Logging_2161/klagomål/A 26003-2023 FSC-klagomål.docx", "A 26003-2023")</f>
        <v/>
      </c>
      <c r="W537">
        <f>HYPERLINK("https://klasma.github.io/Logging_2161/klagomålsmail/A 26003-2023 FSC-klagomål mail.docx", "A 26003-2023")</f>
        <v/>
      </c>
      <c r="X537">
        <f>HYPERLINK("https://klasma.github.io/Logging_2161/tillsyn/A 26003-2023 tillsynsbegäran.docx", "A 26003-2023")</f>
        <v/>
      </c>
      <c r="Y537">
        <f>HYPERLINK("https://klasma.github.io/Logging_2161/tillsynsmail/A 26003-2023 tillsynsbegäran mail.docx", "A 26003-2023")</f>
        <v/>
      </c>
    </row>
    <row r="538" ht="15" customHeight="1">
      <c r="A538" t="inlineStr">
        <is>
          <t>A 25802-2023</t>
        </is>
      </c>
      <c r="B538" s="1" t="n">
        <v>45090</v>
      </c>
      <c r="C538" s="1" t="n">
        <v>45677</v>
      </c>
      <c r="D538" t="inlineStr">
        <is>
          <t>GÄVLEBORGS LÄN</t>
        </is>
      </c>
      <c r="E538" t="inlineStr">
        <is>
          <t>BOLLNÄS</t>
        </is>
      </c>
      <c r="G538" t="n">
        <v>12.1</v>
      </c>
      <c r="H538" t="n">
        <v>1</v>
      </c>
      <c r="I538" t="n">
        <v>0</v>
      </c>
      <c r="J538" t="n">
        <v>0</v>
      </c>
      <c r="K538" t="n">
        <v>0</v>
      </c>
      <c r="L538" t="n">
        <v>0</v>
      </c>
      <c r="M538" t="n">
        <v>0</v>
      </c>
      <c r="N538" t="n">
        <v>0</v>
      </c>
      <c r="O538" t="n">
        <v>0</v>
      </c>
      <c r="P538" t="n">
        <v>0</v>
      </c>
      <c r="Q538" t="n">
        <v>1</v>
      </c>
      <c r="R538" s="2" t="inlineStr">
        <is>
          <t>Fläcknycklar</t>
        </is>
      </c>
      <c r="S538">
        <f>HYPERLINK("https://klasma.github.io/Logging_2183/artfynd/A 25802-2023 artfynd.xlsx", "A 25802-2023")</f>
        <v/>
      </c>
      <c r="T538">
        <f>HYPERLINK("https://klasma.github.io/Logging_2183/kartor/A 25802-2023 karta.png", "A 25802-2023")</f>
        <v/>
      </c>
      <c r="V538">
        <f>HYPERLINK("https://klasma.github.io/Logging_2183/klagomål/A 25802-2023 FSC-klagomål.docx", "A 25802-2023")</f>
        <v/>
      </c>
      <c r="W538">
        <f>HYPERLINK("https://klasma.github.io/Logging_2183/klagomålsmail/A 25802-2023 FSC-klagomål mail.docx", "A 25802-2023")</f>
        <v/>
      </c>
      <c r="X538">
        <f>HYPERLINK("https://klasma.github.io/Logging_2183/tillsyn/A 25802-2023 tillsynsbegäran.docx", "A 25802-2023")</f>
        <v/>
      </c>
      <c r="Y538">
        <f>HYPERLINK("https://klasma.github.io/Logging_2183/tillsynsmail/A 25802-2023 tillsynsbegäran mail.docx", "A 25802-2023")</f>
        <v/>
      </c>
    </row>
    <row r="539" ht="15" customHeight="1">
      <c r="A539" t="inlineStr">
        <is>
          <t>A 26526-2023</t>
        </is>
      </c>
      <c r="B539" s="1" t="n">
        <v>45092</v>
      </c>
      <c r="C539" s="1" t="n">
        <v>45677</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Kolflarnlav</t>
        </is>
      </c>
      <c r="S539">
        <f>HYPERLINK("https://klasma.github.io/Logging_2161/artfynd/A 26526-2023 artfynd.xlsx", "A 26526-2023")</f>
        <v/>
      </c>
      <c r="T539">
        <f>HYPERLINK("https://klasma.github.io/Logging_2161/kartor/A 26526-2023 karta.png", "A 26526-2023")</f>
        <v/>
      </c>
      <c r="V539">
        <f>HYPERLINK("https://klasma.github.io/Logging_2161/klagomål/A 26526-2023 FSC-klagomål.docx", "A 26526-2023")</f>
        <v/>
      </c>
      <c r="W539">
        <f>HYPERLINK("https://klasma.github.io/Logging_2161/klagomålsmail/A 26526-2023 FSC-klagomål mail.docx", "A 26526-2023")</f>
        <v/>
      </c>
      <c r="X539">
        <f>HYPERLINK("https://klasma.github.io/Logging_2161/tillsyn/A 26526-2023 tillsynsbegäran.docx", "A 26526-2023")</f>
        <v/>
      </c>
      <c r="Y539">
        <f>HYPERLINK("https://klasma.github.io/Logging_2161/tillsynsmail/A 26526-2023 tillsynsbegäran mail.docx", "A 26526-2023")</f>
        <v/>
      </c>
    </row>
    <row r="540" ht="15" customHeight="1">
      <c r="A540" t="inlineStr">
        <is>
          <t>A 26538-2023</t>
        </is>
      </c>
      <c r="B540" s="1" t="n">
        <v>45092</v>
      </c>
      <c r="C540" s="1" t="n">
        <v>45677</v>
      </c>
      <c r="D540" t="inlineStr">
        <is>
          <t>GÄVLEBORGS LÄN</t>
        </is>
      </c>
      <c r="E540" t="inlineStr">
        <is>
          <t>LJUSDAL</t>
        </is>
      </c>
      <c r="F540" t="inlineStr">
        <is>
          <t>Sveaskog</t>
        </is>
      </c>
      <c r="G540" t="n">
        <v>22.1</v>
      </c>
      <c r="H540" t="n">
        <v>0</v>
      </c>
      <c r="I540" t="n">
        <v>0</v>
      </c>
      <c r="J540" t="n">
        <v>1</v>
      </c>
      <c r="K540" t="n">
        <v>0</v>
      </c>
      <c r="L540" t="n">
        <v>0</v>
      </c>
      <c r="M540" t="n">
        <v>0</v>
      </c>
      <c r="N540" t="n">
        <v>0</v>
      </c>
      <c r="O540" t="n">
        <v>1</v>
      </c>
      <c r="P540" t="n">
        <v>0</v>
      </c>
      <c r="Q540" t="n">
        <v>1</v>
      </c>
      <c r="R540" s="2" t="inlineStr">
        <is>
          <t>Lunglav</t>
        </is>
      </c>
      <c r="S540">
        <f>HYPERLINK("https://klasma.github.io/Logging_2161/artfynd/A 26538-2023 artfynd.xlsx", "A 26538-2023")</f>
        <v/>
      </c>
      <c r="T540">
        <f>HYPERLINK("https://klasma.github.io/Logging_2161/kartor/A 26538-2023 karta.png", "A 26538-2023")</f>
        <v/>
      </c>
      <c r="V540">
        <f>HYPERLINK("https://klasma.github.io/Logging_2161/klagomål/A 26538-2023 FSC-klagomål.docx", "A 26538-2023")</f>
        <v/>
      </c>
      <c r="W540">
        <f>HYPERLINK("https://klasma.github.io/Logging_2161/klagomålsmail/A 26538-2023 FSC-klagomål mail.docx", "A 26538-2023")</f>
        <v/>
      </c>
      <c r="X540">
        <f>HYPERLINK("https://klasma.github.io/Logging_2161/tillsyn/A 26538-2023 tillsynsbegäran.docx", "A 26538-2023")</f>
        <v/>
      </c>
      <c r="Y540">
        <f>HYPERLINK("https://klasma.github.io/Logging_2161/tillsynsmail/A 26538-2023 tillsynsbegäran mail.docx", "A 26538-2023")</f>
        <v/>
      </c>
    </row>
    <row r="541" ht="15" customHeight="1">
      <c r="A541" t="inlineStr">
        <is>
          <t>A 26929-2023</t>
        </is>
      </c>
      <c r="B541" s="1" t="n">
        <v>45093</v>
      </c>
      <c r="C541" s="1" t="n">
        <v>45677</v>
      </c>
      <c r="D541" t="inlineStr">
        <is>
          <t>GÄVLEBORGS LÄN</t>
        </is>
      </c>
      <c r="E541" t="inlineStr">
        <is>
          <t>BOLLNÄS</t>
        </is>
      </c>
      <c r="F541" t="inlineStr">
        <is>
          <t>Sveaskog</t>
        </is>
      </c>
      <c r="G541" t="n">
        <v>7.6</v>
      </c>
      <c r="H541" t="n">
        <v>1</v>
      </c>
      <c r="I541" t="n">
        <v>0</v>
      </c>
      <c r="J541" t="n">
        <v>0</v>
      </c>
      <c r="K541" t="n">
        <v>1</v>
      </c>
      <c r="L541" t="n">
        <v>0</v>
      </c>
      <c r="M541" t="n">
        <v>0</v>
      </c>
      <c r="N541" t="n">
        <v>0</v>
      </c>
      <c r="O541" t="n">
        <v>1</v>
      </c>
      <c r="P541" t="n">
        <v>1</v>
      </c>
      <c r="Q541" t="n">
        <v>1</v>
      </c>
      <c r="R541" s="2" t="inlineStr">
        <is>
          <t>Knärot</t>
        </is>
      </c>
      <c r="S541">
        <f>HYPERLINK("https://klasma.github.io/Logging_2183/artfynd/A 26929-2023 artfynd.xlsx", "A 26929-2023")</f>
        <v/>
      </c>
      <c r="T541">
        <f>HYPERLINK("https://klasma.github.io/Logging_2183/kartor/A 26929-2023 karta.png", "A 26929-2023")</f>
        <v/>
      </c>
      <c r="U541">
        <f>HYPERLINK("https://klasma.github.io/Logging_2183/knärot/A 26929-2023 karta knärot.png", "A 26929-2023")</f>
        <v/>
      </c>
      <c r="V541">
        <f>HYPERLINK("https://klasma.github.io/Logging_2183/klagomål/A 26929-2023 FSC-klagomål.docx", "A 26929-2023")</f>
        <v/>
      </c>
      <c r="W541">
        <f>HYPERLINK("https://klasma.github.io/Logging_2183/klagomålsmail/A 26929-2023 FSC-klagomål mail.docx", "A 26929-2023")</f>
        <v/>
      </c>
      <c r="X541">
        <f>HYPERLINK("https://klasma.github.io/Logging_2183/tillsyn/A 26929-2023 tillsynsbegäran.docx", "A 26929-2023")</f>
        <v/>
      </c>
      <c r="Y541">
        <f>HYPERLINK("https://klasma.github.io/Logging_2183/tillsynsmail/A 26929-2023 tillsynsbegäran mail.docx", "A 26929-2023")</f>
        <v/>
      </c>
    </row>
    <row r="542" ht="15" customHeight="1">
      <c r="A542" t="inlineStr">
        <is>
          <t>A 27148-2023</t>
        </is>
      </c>
      <c r="B542" s="1" t="n">
        <v>45096</v>
      </c>
      <c r="C542" s="1" t="n">
        <v>45677</v>
      </c>
      <c r="D542" t="inlineStr">
        <is>
          <t>GÄVLEBORGS LÄN</t>
        </is>
      </c>
      <c r="E542" t="inlineStr">
        <is>
          <t>SÖDERHAMN</t>
        </is>
      </c>
      <c r="G542" t="n">
        <v>3.8</v>
      </c>
      <c r="H542" t="n">
        <v>0</v>
      </c>
      <c r="I542" t="n">
        <v>1</v>
      </c>
      <c r="J542" t="n">
        <v>0</v>
      </c>
      <c r="K542" t="n">
        <v>0</v>
      </c>
      <c r="L542" t="n">
        <v>0</v>
      </c>
      <c r="M542" t="n">
        <v>0</v>
      </c>
      <c r="N542" t="n">
        <v>0</v>
      </c>
      <c r="O542" t="n">
        <v>0</v>
      </c>
      <c r="P542" t="n">
        <v>0</v>
      </c>
      <c r="Q542" t="n">
        <v>1</v>
      </c>
      <c r="R542" s="2" t="inlineStr">
        <is>
          <t>Gulskölding</t>
        </is>
      </c>
      <c r="S542">
        <f>HYPERLINK("https://klasma.github.io/Logging_2182/artfynd/A 27148-2023 artfynd.xlsx", "A 27148-2023")</f>
        <v/>
      </c>
      <c r="T542">
        <f>HYPERLINK("https://klasma.github.io/Logging_2182/kartor/A 27148-2023 karta.png", "A 27148-2023")</f>
        <v/>
      </c>
      <c r="V542">
        <f>HYPERLINK("https://klasma.github.io/Logging_2182/klagomål/A 27148-2023 FSC-klagomål.docx", "A 27148-2023")</f>
        <v/>
      </c>
      <c r="W542">
        <f>HYPERLINK("https://klasma.github.io/Logging_2182/klagomålsmail/A 27148-2023 FSC-klagomål mail.docx", "A 27148-2023")</f>
        <v/>
      </c>
      <c r="X542">
        <f>HYPERLINK("https://klasma.github.io/Logging_2182/tillsyn/A 27148-2023 tillsynsbegäran.docx", "A 27148-2023")</f>
        <v/>
      </c>
      <c r="Y542">
        <f>HYPERLINK("https://klasma.github.io/Logging_2182/tillsynsmail/A 27148-2023 tillsynsbegäran mail.docx", "A 27148-2023")</f>
        <v/>
      </c>
    </row>
    <row r="543" ht="15" customHeight="1">
      <c r="A543" t="inlineStr">
        <is>
          <t>A 27637-2023</t>
        </is>
      </c>
      <c r="B543" s="1" t="n">
        <v>45097</v>
      </c>
      <c r="C543" s="1" t="n">
        <v>45677</v>
      </c>
      <c r="D543" t="inlineStr">
        <is>
          <t>GÄVLEBORGS LÄN</t>
        </is>
      </c>
      <c r="E543" t="inlineStr">
        <is>
          <t>NORDANSTIG</t>
        </is>
      </c>
      <c r="F543" t="inlineStr">
        <is>
          <t>Holmen skog AB</t>
        </is>
      </c>
      <c r="G543" t="n">
        <v>1.8</v>
      </c>
      <c r="H543" t="n">
        <v>0</v>
      </c>
      <c r="I543" t="n">
        <v>1</v>
      </c>
      <c r="J543" t="n">
        <v>0</v>
      </c>
      <c r="K543" t="n">
        <v>0</v>
      </c>
      <c r="L543" t="n">
        <v>0</v>
      </c>
      <c r="M543" t="n">
        <v>0</v>
      </c>
      <c r="N543" t="n">
        <v>0</v>
      </c>
      <c r="O543" t="n">
        <v>0</v>
      </c>
      <c r="P543" t="n">
        <v>0</v>
      </c>
      <c r="Q543" t="n">
        <v>1</v>
      </c>
      <c r="R543" s="2" t="inlineStr">
        <is>
          <t>Skogshakmossa</t>
        </is>
      </c>
      <c r="S543">
        <f>HYPERLINK("https://klasma.github.io/Logging_2132/artfynd/A 27637-2023 artfynd.xlsx", "A 27637-2023")</f>
        <v/>
      </c>
      <c r="T543">
        <f>HYPERLINK("https://klasma.github.io/Logging_2132/kartor/A 27637-2023 karta.png", "A 27637-2023")</f>
        <v/>
      </c>
      <c r="V543">
        <f>HYPERLINK("https://klasma.github.io/Logging_2132/klagomål/A 27637-2023 FSC-klagomål.docx", "A 27637-2023")</f>
        <v/>
      </c>
      <c r="W543">
        <f>HYPERLINK("https://klasma.github.io/Logging_2132/klagomålsmail/A 27637-2023 FSC-klagomål mail.docx", "A 27637-2023")</f>
        <v/>
      </c>
      <c r="X543">
        <f>HYPERLINK("https://klasma.github.io/Logging_2132/tillsyn/A 27637-2023 tillsynsbegäran.docx", "A 27637-2023")</f>
        <v/>
      </c>
      <c r="Y543">
        <f>HYPERLINK("https://klasma.github.io/Logging_2132/tillsynsmail/A 27637-2023 tillsynsbegäran mail.docx", "A 27637-2023")</f>
        <v/>
      </c>
    </row>
    <row r="544" ht="15" customHeight="1">
      <c r="A544" t="inlineStr">
        <is>
          <t>A 29400-2023</t>
        </is>
      </c>
      <c r="B544" s="1" t="n">
        <v>45106</v>
      </c>
      <c r="C544" s="1" t="n">
        <v>45677</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Knärot</t>
        </is>
      </c>
      <c r="S544">
        <f>HYPERLINK("https://klasma.github.io/Logging_2104/artfynd/A 29400-2023 artfynd.xlsx", "A 29400-2023")</f>
        <v/>
      </c>
      <c r="T544">
        <f>HYPERLINK("https://klasma.github.io/Logging_2104/kartor/A 29400-2023 karta.png", "A 29400-2023")</f>
        <v/>
      </c>
      <c r="U544">
        <f>HYPERLINK("https://klasma.github.io/Logging_2104/knärot/A 29400-2023 karta knärot.png", "A 29400-2023")</f>
        <v/>
      </c>
      <c r="V544">
        <f>HYPERLINK("https://klasma.github.io/Logging_2104/klagomål/A 29400-2023 FSC-klagomål.docx", "A 29400-2023")</f>
        <v/>
      </c>
      <c r="W544">
        <f>HYPERLINK("https://klasma.github.io/Logging_2104/klagomålsmail/A 29400-2023 FSC-klagomål mail.docx", "A 29400-2023")</f>
        <v/>
      </c>
      <c r="X544">
        <f>HYPERLINK("https://klasma.github.io/Logging_2104/tillsyn/A 29400-2023 tillsynsbegäran.docx", "A 29400-2023")</f>
        <v/>
      </c>
      <c r="Y544">
        <f>HYPERLINK("https://klasma.github.io/Logging_2104/tillsynsmail/A 29400-2023 tillsynsbegäran mail.docx", "A 29400-2023")</f>
        <v/>
      </c>
    </row>
    <row r="545" ht="15" customHeight="1">
      <c r="A545" t="inlineStr">
        <is>
          <t>A 29578-2023</t>
        </is>
      </c>
      <c r="B545" s="1" t="n">
        <v>45106</v>
      </c>
      <c r="C545" s="1" t="n">
        <v>45677</v>
      </c>
      <c r="D545" t="inlineStr">
        <is>
          <t>GÄVLEBORGS LÄN</t>
        </is>
      </c>
      <c r="E545" t="inlineStr">
        <is>
          <t>NORDANSTIG</t>
        </is>
      </c>
      <c r="F545" t="inlineStr">
        <is>
          <t>Holmen skog AB</t>
        </is>
      </c>
      <c r="G545" t="n">
        <v>5.3</v>
      </c>
      <c r="H545" t="n">
        <v>1</v>
      </c>
      <c r="I545" t="n">
        <v>0</v>
      </c>
      <c r="J545" t="n">
        <v>0</v>
      </c>
      <c r="K545" t="n">
        <v>0</v>
      </c>
      <c r="L545" t="n">
        <v>0</v>
      </c>
      <c r="M545" t="n">
        <v>0</v>
      </c>
      <c r="N545" t="n">
        <v>0</v>
      </c>
      <c r="O545" t="n">
        <v>0</v>
      </c>
      <c r="P545" t="n">
        <v>0</v>
      </c>
      <c r="Q545" t="n">
        <v>1</v>
      </c>
      <c r="R545" s="2" t="inlineStr">
        <is>
          <t>Blåsippa</t>
        </is>
      </c>
      <c r="S545">
        <f>HYPERLINK("https://klasma.github.io/Logging_2132/artfynd/A 29578-2023 artfynd.xlsx", "A 29578-2023")</f>
        <v/>
      </c>
      <c r="T545">
        <f>HYPERLINK("https://klasma.github.io/Logging_2132/kartor/A 29578-2023 karta.png", "A 29578-2023")</f>
        <v/>
      </c>
      <c r="V545">
        <f>HYPERLINK("https://klasma.github.io/Logging_2132/klagomål/A 29578-2023 FSC-klagomål.docx", "A 29578-2023")</f>
        <v/>
      </c>
      <c r="W545">
        <f>HYPERLINK("https://klasma.github.io/Logging_2132/klagomålsmail/A 29578-2023 FSC-klagomål mail.docx", "A 29578-2023")</f>
        <v/>
      </c>
      <c r="X545">
        <f>HYPERLINK("https://klasma.github.io/Logging_2132/tillsyn/A 29578-2023 tillsynsbegäran.docx", "A 29578-2023")</f>
        <v/>
      </c>
      <c r="Y545">
        <f>HYPERLINK("https://klasma.github.io/Logging_2132/tillsynsmail/A 29578-2023 tillsynsbegäran mail.docx", "A 29578-2023")</f>
        <v/>
      </c>
    </row>
    <row r="546" ht="15" customHeight="1">
      <c r="A546" t="inlineStr">
        <is>
          <t>A 29464-2023</t>
        </is>
      </c>
      <c r="B546" s="1" t="n">
        <v>45106</v>
      </c>
      <c r="C546" s="1" t="n">
        <v>45677</v>
      </c>
      <c r="D546" t="inlineStr">
        <is>
          <t>GÄVLEBORGS LÄN</t>
        </is>
      </c>
      <c r="E546" t="inlineStr">
        <is>
          <t>LJUSDAL</t>
        </is>
      </c>
      <c r="F546" t="inlineStr">
        <is>
          <t>Sveaskog</t>
        </is>
      </c>
      <c r="G546" t="n">
        <v>3.7</v>
      </c>
      <c r="H546" t="n">
        <v>1</v>
      </c>
      <c r="I546" t="n">
        <v>0</v>
      </c>
      <c r="J546" t="n">
        <v>0</v>
      </c>
      <c r="K546" t="n">
        <v>0</v>
      </c>
      <c r="L546" t="n">
        <v>0</v>
      </c>
      <c r="M546" t="n">
        <v>0</v>
      </c>
      <c r="N546" t="n">
        <v>0</v>
      </c>
      <c r="O546" t="n">
        <v>0</v>
      </c>
      <c r="P546" t="n">
        <v>0</v>
      </c>
      <c r="Q546" t="n">
        <v>1</v>
      </c>
      <c r="R546" s="2" t="inlineStr">
        <is>
          <t>Orre</t>
        </is>
      </c>
      <c r="S546">
        <f>HYPERLINK("https://klasma.github.io/Logging_2161/artfynd/A 29464-2023 artfynd.xlsx", "A 29464-2023")</f>
        <v/>
      </c>
      <c r="T546">
        <f>HYPERLINK("https://klasma.github.io/Logging_2161/kartor/A 29464-2023 karta.png", "A 29464-2023")</f>
        <v/>
      </c>
      <c r="V546">
        <f>HYPERLINK("https://klasma.github.io/Logging_2161/klagomål/A 29464-2023 FSC-klagomål.docx", "A 29464-2023")</f>
        <v/>
      </c>
      <c r="W546">
        <f>HYPERLINK("https://klasma.github.io/Logging_2161/klagomålsmail/A 29464-2023 FSC-klagomål mail.docx", "A 29464-2023")</f>
        <v/>
      </c>
      <c r="X546">
        <f>HYPERLINK("https://klasma.github.io/Logging_2161/tillsyn/A 29464-2023 tillsynsbegäran.docx", "A 29464-2023")</f>
        <v/>
      </c>
      <c r="Y546">
        <f>HYPERLINK("https://klasma.github.io/Logging_2161/tillsynsmail/A 29464-2023 tillsynsbegäran mail.docx", "A 29464-2023")</f>
        <v/>
      </c>
      <c r="Z546">
        <f>HYPERLINK("https://klasma.github.io/Logging_2161/fåglar/A 29464-2023 prioriterade fågelarter.docx", "A 29464-2023")</f>
        <v/>
      </c>
    </row>
    <row r="547" ht="15" customHeight="1">
      <c r="A547" t="inlineStr">
        <is>
          <t>A 29784-2023</t>
        </is>
      </c>
      <c r="B547" s="1" t="n">
        <v>45107</v>
      </c>
      <c r="C547" s="1" t="n">
        <v>45677</v>
      </c>
      <c r="D547" t="inlineStr">
        <is>
          <t>GÄVLEBORGS LÄN</t>
        </is>
      </c>
      <c r="E547" t="inlineStr">
        <is>
          <t>LJUSDAL</t>
        </is>
      </c>
      <c r="F547" t="inlineStr">
        <is>
          <t>Sveaskog</t>
        </is>
      </c>
      <c r="G547" t="n">
        <v>17.1</v>
      </c>
      <c r="H547" t="n">
        <v>1</v>
      </c>
      <c r="I547" t="n">
        <v>0</v>
      </c>
      <c r="J547" t="n">
        <v>0</v>
      </c>
      <c r="K547" t="n">
        <v>0</v>
      </c>
      <c r="L547" t="n">
        <v>0</v>
      </c>
      <c r="M547" t="n">
        <v>0</v>
      </c>
      <c r="N547" t="n">
        <v>0</v>
      </c>
      <c r="O547" t="n">
        <v>0</v>
      </c>
      <c r="P547" t="n">
        <v>0</v>
      </c>
      <c r="Q547" t="n">
        <v>1</v>
      </c>
      <c r="R547" s="2" t="inlineStr">
        <is>
          <t>Nattviol</t>
        </is>
      </c>
      <c r="S547">
        <f>HYPERLINK("https://klasma.github.io/Logging_2161/artfynd/A 29784-2023 artfynd.xlsx", "A 29784-2023")</f>
        <v/>
      </c>
      <c r="T547">
        <f>HYPERLINK("https://klasma.github.io/Logging_2161/kartor/A 29784-2023 karta.png", "A 29784-2023")</f>
        <v/>
      </c>
      <c r="V547">
        <f>HYPERLINK("https://klasma.github.io/Logging_2161/klagomål/A 29784-2023 FSC-klagomål.docx", "A 29784-2023")</f>
        <v/>
      </c>
      <c r="W547">
        <f>HYPERLINK("https://klasma.github.io/Logging_2161/klagomålsmail/A 29784-2023 FSC-klagomål mail.docx", "A 29784-2023")</f>
        <v/>
      </c>
      <c r="X547">
        <f>HYPERLINK("https://klasma.github.io/Logging_2161/tillsyn/A 29784-2023 tillsynsbegäran.docx", "A 29784-2023")</f>
        <v/>
      </c>
      <c r="Y547">
        <f>HYPERLINK("https://klasma.github.io/Logging_2161/tillsynsmail/A 29784-2023 tillsynsbegäran mail.docx", "A 29784-2023")</f>
        <v/>
      </c>
    </row>
    <row r="548" ht="15" customHeight="1">
      <c r="A548" t="inlineStr">
        <is>
          <t>A 29821-2023</t>
        </is>
      </c>
      <c r="B548" s="1" t="n">
        <v>45107</v>
      </c>
      <c r="C548" s="1" t="n">
        <v>45677</v>
      </c>
      <c r="D548" t="inlineStr">
        <is>
          <t>GÄVLEBORGS LÄN</t>
        </is>
      </c>
      <c r="E548" t="inlineStr">
        <is>
          <t>GÄVLE</t>
        </is>
      </c>
      <c r="G548" t="n">
        <v>5.3</v>
      </c>
      <c r="H548" t="n">
        <v>1</v>
      </c>
      <c r="I548" t="n">
        <v>0</v>
      </c>
      <c r="J548" t="n">
        <v>1</v>
      </c>
      <c r="K548" t="n">
        <v>0</v>
      </c>
      <c r="L548" t="n">
        <v>0</v>
      </c>
      <c r="M548" t="n">
        <v>0</v>
      </c>
      <c r="N548" t="n">
        <v>0</v>
      </c>
      <c r="O548" t="n">
        <v>1</v>
      </c>
      <c r="P548" t="n">
        <v>0</v>
      </c>
      <c r="Q548" t="n">
        <v>1</v>
      </c>
      <c r="R548" s="2" t="inlineStr">
        <is>
          <t>Svartvit flugsnappare</t>
        </is>
      </c>
      <c r="S548">
        <f>HYPERLINK("https://klasma.github.io/Logging_2180/artfynd/A 29821-2023 artfynd.xlsx", "A 29821-2023")</f>
        <v/>
      </c>
      <c r="T548">
        <f>HYPERLINK("https://klasma.github.io/Logging_2180/kartor/A 29821-2023 karta.png", "A 29821-2023")</f>
        <v/>
      </c>
      <c r="V548">
        <f>HYPERLINK("https://klasma.github.io/Logging_2180/klagomål/A 29821-2023 FSC-klagomål.docx", "A 29821-2023")</f>
        <v/>
      </c>
      <c r="W548">
        <f>HYPERLINK("https://klasma.github.io/Logging_2180/klagomålsmail/A 29821-2023 FSC-klagomål mail.docx", "A 29821-2023")</f>
        <v/>
      </c>
      <c r="X548">
        <f>HYPERLINK("https://klasma.github.io/Logging_2180/tillsyn/A 29821-2023 tillsynsbegäran.docx", "A 29821-2023")</f>
        <v/>
      </c>
      <c r="Y548">
        <f>HYPERLINK("https://klasma.github.io/Logging_2180/tillsynsmail/A 29821-2023 tillsynsbegäran mail.docx", "A 29821-2023")</f>
        <v/>
      </c>
      <c r="Z548">
        <f>HYPERLINK("https://klasma.github.io/Logging_2180/fåglar/A 29821-2023 prioriterade fågelarter.docx", "A 29821-2023")</f>
        <v/>
      </c>
    </row>
    <row r="549" ht="15" customHeight="1">
      <c r="A549" t="inlineStr">
        <is>
          <t>A 32171-2023</t>
        </is>
      </c>
      <c r="B549" s="1" t="n">
        <v>45107</v>
      </c>
      <c r="C549" s="1" t="n">
        <v>45677</v>
      </c>
      <c r="D549" t="inlineStr">
        <is>
          <t>GÄVLEBORGS LÄN</t>
        </is>
      </c>
      <c r="E549" t="inlineStr">
        <is>
          <t>LJUSDAL</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HYPERLINK("https://klasma.github.io/Logging_2161/artfynd/A 32171-2023 artfynd.xlsx", "A 32171-2023")</f>
        <v/>
      </c>
      <c r="T549">
        <f>HYPERLINK("https://klasma.github.io/Logging_2161/kartor/A 32171-2023 karta.png", "A 32171-2023")</f>
        <v/>
      </c>
      <c r="V549">
        <f>HYPERLINK("https://klasma.github.io/Logging_2161/klagomål/A 32171-2023 FSC-klagomål.docx", "A 32171-2023")</f>
        <v/>
      </c>
      <c r="W549">
        <f>HYPERLINK("https://klasma.github.io/Logging_2161/klagomålsmail/A 32171-2023 FSC-klagomål mail.docx", "A 32171-2023")</f>
        <v/>
      </c>
      <c r="X549">
        <f>HYPERLINK("https://klasma.github.io/Logging_2161/tillsyn/A 32171-2023 tillsynsbegäran.docx", "A 32171-2023")</f>
        <v/>
      </c>
      <c r="Y549">
        <f>HYPERLINK("https://klasma.github.io/Logging_2161/tillsynsmail/A 32171-2023 tillsynsbegäran mail.docx", "A 32171-2023")</f>
        <v/>
      </c>
      <c r="Z549">
        <f>HYPERLINK("https://klasma.github.io/Logging_2161/fåglar/A 32171-2023 prioriterade fågelarter.docx", "A 32171-2023")</f>
        <v/>
      </c>
    </row>
    <row r="550" ht="15" customHeight="1">
      <c r="A550" t="inlineStr">
        <is>
          <t>A 30245-2023</t>
        </is>
      </c>
      <c r="B550" s="1" t="n">
        <v>45110</v>
      </c>
      <c r="C550" s="1" t="n">
        <v>45677</v>
      </c>
      <c r="D550" t="inlineStr">
        <is>
          <t>GÄVLEBORGS LÄN</t>
        </is>
      </c>
      <c r="E550" t="inlineStr">
        <is>
          <t>LJUSDAL</t>
        </is>
      </c>
      <c r="F550" t="inlineStr">
        <is>
          <t>Sveaskog</t>
        </is>
      </c>
      <c r="G550" t="n">
        <v>32.1</v>
      </c>
      <c r="H550" t="n">
        <v>0</v>
      </c>
      <c r="I550" t="n">
        <v>0</v>
      </c>
      <c r="J550" t="n">
        <v>1</v>
      </c>
      <c r="K550" t="n">
        <v>0</v>
      </c>
      <c r="L550" t="n">
        <v>0</v>
      </c>
      <c r="M550" t="n">
        <v>0</v>
      </c>
      <c r="N550" t="n">
        <v>0</v>
      </c>
      <c r="O550" t="n">
        <v>1</v>
      </c>
      <c r="P550" t="n">
        <v>0</v>
      </c>
      <c r="Q550" t="n">
        <v>1</v>
      </c>
      <c r="R550" s="2" t="inlineStr">
        <is>
          <t>Kolflarnlav</t>
        </is>
      </c>
      <c r="S550">
        <f>HYPERLINK("https://klasma.github.io/Logging_2161/artfynd/A 30245-2023 artfynd.xlsx", "A 30245-2023")</f>
        <v/>
      </c>
      <c r="T550">
        <f>HYPERLINK("https://klasma.github.io/Logging_2161/kartor/A 30245-2023 karta.png", "A 30245-2023")</f>
        <v/>
      </c>
      <c r="V550">
        <f>HYPERLINK("https://klasma.github.io/Logging_2161/klagomål/A 30245-2023 FSC-klagomål.docx", "A 30245-2023")</f>
        <v/>
      </c>
      <c r="W550">
        <f>HYPERLINK("https://klasma.github.io/Logging_2161/klagomålsmail/A 30245-2023 FSC-klagomål mail.docx", "A 30245-2023")</f>
        <v/>
      </c>
      <c r="X550">
        <f>HYPERLINK("https://klasma.github.io/Logging_2161/tillsyn/A 30245-2023 tillsynsbegäran.docx", "A 30245-2023")</f>
        <v/>
      </c>
      <c r="Y550">
        <f>HYPERLINK("https://klasma.github.io/Logging_2161/tillsynsmail/A 30245-2023 tillsynsbegäran mail.docx", "A 30245-2023")</f>
        <v/>
      </c>
    </row>
    <row r="551" ht="15" customHeight="1">
      <c r="A551" t="inlineStr">
        <is>
          <t>A 30610-2023</t>
        </is>
      </c>
      <c r="B551" s="1" t="n">
        <v>45112</v>
      </c>
      <c r="C551" s="1" t="n">
        <v>45677</v>
      </c>
      <c r="D551" t="inlineStr">
        <is>
          <t>GÄVLEBORGS LÄN</t>
        </is>
      </c>
      <c r="E551" t="inlineStr">
        <is>
          <t>LJUSDAL</t>
        </is>
      </c>
      <c r="F551" t="inlineStr">
        <is>
          <t>Sveaskog</t>
        </is>
      </c>
      <c r="G551" t="n">
        <v>3.2</v>
      </c>
      <c r="H551" t="n">
        <v>1</v>
      </c>
      <c r="I551" t="n">
        <v>0</v>
      </c>
      <c r="J551" t="n">
        <v>0</v>
      </c>
      <c r="K551" t="n">
        <v>1</v>
      </c>
      <c r="L551" t="n">
        <v>0</v>
      </c>
      <c r="M551" t="n">
        <v>0</v>
      </c>
      <c r="N551" t="n">
        <v>0</v>
      </c>
      <c r="O551" t="n">
        <v>1</v>
      </c>
      <c r="P551" t="n">
        <v>1</v>
      </c>
      <c r="Q551" t="n">
        <v>1</v>
      </c>
      <c r="R551" s="2" t="inlineStr">
        <is>
          <t>Knärot</t>
        </is>
      </c>
      <c r="S551">
        <f>HYPERLINK("https://klasma.github.io/Logging_2161/artfynd/A 30610-2023 artfynd.xlsx", "A 30610-2023")</f>
        <v/>
      </c>
      <c r="T551">
        <f>HYPERLINK("https://klasma.github.io/Logging_2161/kartor/A 30610-2023 karta.png", "A 30610-2023")</f>
        <v/>
      </c>
      <c r="U551">
        <f>HYPERLINK("https://klasma.github.io/Logging_2161/knärot/A 30610-2023 karta knärot.png", "A 30610-2023")</f>
        <v/>
      </c>
      <c r="V551">
        <f>HYPERLINK("https://klasma.github.io/Logging_2161/klagomål/A 30610-2023 FSC-klagomål.docx", "A 30610-2023")</f>
        <v/>
      </c>
      <c r="W551">
        <f>HYPERLINK("https://klasma.github.io/Logging_2161/klagomålsmail/A 30610-2023 FSC-klagomål mail.docx", "A 30610-2023")</f>
        <v/>
      </c>
      <c r="X551">
        <f>HYPERLINK("https://klasma.github.io/Logging_2161/tillsyn/A 30610-2023 tillsynsbegäran.docx", "A 30610-2023")</f>
        <v/>
      </c>
      <c r="Y551">
        <f>HYPERLINK("https://klasma.github.io/Logging_2161/tillsynsmail/A 30610-2023 tillsynsbegäran mail.docx", "A 30610-2023")</f>
        <v/>
      </c>
    </row>
    <row r="552" ht="15" customHeight="1">
      <c r="A552" t="inlineStr">
        <is>
          <t>A 31125-2023</t>
        </is>
      </c>
      <c r="B552" s="1" t="n">
        <v>45113</v>
      </c>
      <c r="C552" s="1" t="n">
        <v>45677</v>
      </c>
      <c r="D552" t="inlineStr">
        <is>
          <t>GÄVLEBORGS LÄN</t>
        </is>
      </c>
      <c r="E552" t="inlineStr">
        <is>
          <t>LJUSDAL</t>
        </is>
      </c>
      <c r="F552" t="inlineStr">
        <is>
          <t>Sveaskog</t>
        </is>
      </c>
      <c r="G552" t="n">
        <v>1.8</v>
      </c>
      <c r="H552" t="n">
        <v>0</v>
      </c>
      <c r="I552" t="n">
        <v>1</v>
      </c>
      <c r="J552" t="n">
        <v>0</v>
      </c>
      <c r="K552" t="n">
        <v>0</v>
      </c>
      <c r="L552" t="n">
        <v>0</v>
      </c>
      <c r="M552" t="n">
        <v>0</v>
      </c>
      <c r="N552" t="n">
        <v>0</v>
      </c>
      <c r="O552" t="n">
        <v>0</v>
      </c>
      <c r="P552" t="n">
        <v>0</v>
      </c>
      <c r="Q552" t="n">
        <v>1</v>
      </c>
      <c r="R552" s="2" t="inlineStr">
        <is>
          <t>Stuplav</t>
        </is>
      </c>
      <c r="S552">
        <f>HYPERLINK("https://klasma.github.io/Logging_2161/artfynd/A 31125-2023 artfynd.xlsx", "A 31125-2023")</f>
        <v/>
      </c>
      <c r="T552">
        <f>HYPERLINK("https://klasma.github.io/Logging_2161/kartor/A 31125-2023 karta.png", "A 31125-2023")</f>
        <v/>
      </c>
      <c r="V552">
        <f>HYPERLINK("https://klasma.github.io/Logging_2161/klagomål/A 31125-2023 FSC-klagomål.docx", "A 31125-2023")</f>
        <v/>
      </c>
      <c r="W552">
        <f>HYPERLINK("https://klasma.github.io/Logging_2161/klagomålsmail/A 31125-2023 FSC-klagomål mail.docx", "A 31125-2023")</f>
        <v/>
      </c>
      <c r="X552">
        <f>HYPERLINK("https://klasma.github.io/Logging_2161/tillsyn/A 31125-2023 tillsynsbegäran.docx", "A 31125-2023")</f>
        <v/>
      </c>
      <c r="Y552">
        <f>HYPERLINK("https://klasma.github.io/Logging_2161/tillsynsmail/A 31125-2023 tillsynsbegäran mail.docx", "A 31125-2023")</f>
        <v/>
      </c>
    </row>
    <row r="553" ht="15" customHeight="1">
      <c r="A553" t="inlineStr">
        <is>
          <t>A 31127-2023</t>
        </is>
      </c>
      <c r="B553" s="1" t="n">
        <v>45113</v>
      </c>
      <c r="C553" s="1" t="n">
        <v>45677</v>
      </c>
      <c r="D553" t="inlineStr">
        <is>
          <t>GÄVLEBORGS LÄN</t>
        </is>
      </c>
      <c r="E553" t="inlineStr">
        <is>
          <t>LJUSDAL</t>
        </is>
      </c>
      <c r="F553" t="inlineStr">
        <is>
          <t>Sveaskog</t>
        </is>
      </c>
      <c r="G553" t="n">
        <v>6.8</v>
      </c>
      <c r="H553" t="n">
        <v>0</v>
      </c>
      <c r="I553" t="n">
        <v>0</v>
      </c>
      <c r="J553" t="n">
        <v>1</v>
      </c>
      <c r="K553" t="n">
        <v>0</v>
      </c>
      <c r="L553" t="n">
        <v>0</v>
      </c>
      <c r="M553" t="n">
        <v>0</v>
      </c>
      <c r="N553" t="n">
        <v>0</v>
      </c>
      <c r="O553" t="n">
        <v>1</v>
      </c>
      <c r="P553" t="n">
        <v>0</v>
      </c>
      <c r="Q553" t="n">
        <v>1</v>
      </c>
      <c r="R553" s="2" t="inlineStr">
        <is>
          <t>Mörk kolflarnlav</t>
        </is>
      </c>
      <c r="S553">
        <f>HYPERLINK("https://klasma.github.io/Logging_2161/artfynd/A 31127-2023 artfynd.xlsx", "A 31127-2023")</f>
        <v/>
      </c>
      <c r="T553">
        <f>HYPERLINK("https://klasma.github.io/Logging_2161/kartor/A 31127-2023 karta.png", "A 31127-2023")</f>
        <v/>
      </c>
      <c r="V553">
        <f>HYPERLINK("https://klasma.github.io/Logging_2161/klagomål/A 31127-2023 FSC-klagomål.docx", "A 31127-2023")</f>
        <v/>
      </c>
      <c r="W553">
        <f>HYPERLINK("https://klasma.github.io/Logging_2161/klagomålsmail/A 31127-2023 FSC-klagomål mail.docx", "A 31127-2023")</f>
        <v/>
      </c>
      <c r="X553">
        <f>HYPERLINK("https://klasma.github.io/Logging_2161/tillsyn/A 31127-2023 tillsynsbegäran.docx", "A 31127-2023")</f>
        <v/>
      </c>
      <c r="Y553">
        <f>HYPERLINK("https://klasma.github.io/Logging_2161/tillsynsmail/A 31127-2023 tillsynsbegäran mail.docx", "A 31127-2023")</f>
        <v/>
      </c>
    </row>
    <row r="554" ht="15" customHeight="1">
      <c r="A554" t="inlineStr">
        <is>
          <t>A 33491-2023</t>
        </is>
      </c>
      <c r="B554" s="1" t="n">
        <v>45118</v>
      </c>
      <c r="C554" s="1" t="n">
        <v>45677</v>
      </c>
      <c r="D554" t="inlineStr">
        <is>
          <t>GÄVLEBORGS LÄN</t>
        </is>
      </c>
      <c r="E554" t="inlineStr">
        <is>
          <t>HOFORS</t>
        </is>
      </c>
      <c r="F554" t="inlineStr">
        <is>
          <t>Bergvik skog väst AB</t>
        </is>
      </c>
      <c r="G554" t="n">
        <v>32.3</v>
      </c>
      <c r="H554" t="n">
        <v>1</v>
      </c>
      <c r="I554" t="n">
        <v>0</v>
      </c>
      <c r="J554" t="n">
        <v>0</v>
      </c>
      <c r="K554" t="n">
        <v>0</v>
      </c>
      <c r="L554" t="n">
        <v>0</v>
      </c>
      <c r="M554" t="n">
        <v>0</v>
      </c>
      <c r="N554" t="n">
        <v>0</v>
      </c>
      <c r="O554" t="n">
        <v>0</v>
      </c>
      <c r="P554" t="n">
        <v>0</v>
      </c>
      <c r="Q554" t="n">
        <v>1</v>
      </c>
      <c r="R554" s="2" t="inlineStr">
        <is>
          <t>Revlummer</t>
        </is>
      </c>
      <c r="S554">
        <f>HYPERLINK("https://klasma.github.io/Logging_2104/artfynd/A 33491-2023 artfynd.xlsx", "A 33491-2023")</f>
        <v/>
      </c>
      <c r="T554">
        <f>HYPERLINK("https://klasma.github.io/Logging_2104/kartor/A 33491-2023 karta.png", "A 33491-2023")</f>
        <v/>
      </c>
      <c r="V554">
        <f>HYPERLINK("https://klasma.github.io/Logging_2104/klagomål/A 33491-2023 FSC-klagomål.docx", "A 33491-2023")</f>
        <v/>
      </c>
      <c r="W554">
        <f>HYPERLINK("https://klasma.github.io/Logging_2104/klagomålsmail/A 33491-2023 FSC-klagomål mail.docx", "A 33491-2023")</f>
        <v/>
      </c>
      <c r="X554">
        <f>HYPERLINK("https://klasma.github.io/Logging_2104/tillsyn/A 33491-2023 tillsynsbegäran.docx", "A 33491-2023")</f>
        <v/>
      </c>
      <c r="Y554">
        <f>HYPERLINK("https://klasma.github.io/Logging_2104/tillsynsmail/A 33491-2023 tillsynsbegäran mail.docx", "A 33491-2023")</f>
        <v/>
      </c>
    </row>
    <row r="555" ht="15" customHeight="1">
      <c r="A555" t="inlineStr">
        <is>
          <t>A 32254-2023</t>
        </is>
      </c>
      <c r="B555" s="1" t="n">
        <v>45120</v>
      </c>
      <c r="C555" s="1" t="n">
        <v>45677</v>
      </c>
      <c r="D555" t="inlineStr">
        <is>
          <t>GÄVLEBORGS LÄN</t>
        </is>
      </c>
      <c r="E555" t="inlineStr">
        <is>
          <t>GÄVLE</t>
        </is>
      </c>
      <c r="G555" t="n">
        <v>2.5</v>
      </c>
      <c r="H555" t="n">
        <v>0</v>
      </c>
      <c r="I555" t="n">
        <v>0</v>
      </c>
      <c r="J555" t="n">
        <v>1</v>
      </c>
      <c r="K555" t="n">
        <v>0</v>
      </c>
      <c r="L555" t="n">
        <v>0</v>
      </c>
      <c r="M555" t="n">
        <v>0</v>
      </c>
      <c r="N555" t="n">
        <v>0</v>
      </c>
      <c r="O555" t="n">
        <v>1</v>
      </c>
      <c r="P555" t="n">
        <v>0</v>
      </c>
      <c r="Q555" t="n">
        <v>1</v>
      </c>
      <c r="R555" s="2" t="inlineStr">
        <is>
          <t>Slåtterfibbla</t>
        </is>
      </c>
      <c r="S555">
        <f>HYPERLINK("https://klasma.github.io/Logging_2180/artfynd/A 32254-2023 artfynd.xlsx", "A 32254-2023")</f>
        <v/>
      </c>
      <c r="T555">
        <f>HYPERLINK("https://klasma.github.io/Logging_2180/kartor/A 32254-2023 karta.png", "A 32254-2023")</f>
        <v/>
      </c>
      <c r="V555">
        <f>HYPERLINK("https://klasma.github.io/Logging_2180/klagomål/A 32254-2023 FSC-klagomål.docx", "A 32254-2023")</f>
        <v/>
      </c>
      <c r="W555">
        <f>HYPERLINK("https://klasma.github.io/Logging_2180/klagomålsmail/A 32254-2023 FSC-klagomål mail.docx", "A 32254-2023")</f>
        <v/>
      </c>
      <c r="X555">
        <f>HYPERLINK("https://klasma.github.io/Logging_2180/tillsyn/A 32254-2023 tillsynsbegäran.docx", "A 32254-2023")</f>
        <v/>
      </c>
      <c r="Y555">
        <f>HYPERLINK("https://klasma.github.io/Logging_2180/tillsynsmail/A 32254-2023 tillsynsbegäran mail.docx", "A 32254-2023")</f>
        <v/>
      </c>
    </row>
    <row r="556" ht="15" customHeight="1">
      <c r="A556" t="inlineStr">
        <is>
          <t>A 32499-2023</t>
        </is>
      </c>
      <c r="B556" s="1" t="n">
        <v>45121</v>
      </c>
      <c r="C556" s="1" t="n">
        <v>45677</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32499-2023 artfynd.xlsx", "A 32499-2023")</f>
        <v/>
      </c>
      <c r="T556">
        <f>HYPERLINK("https://klasma.github.io/Logging_2161/kartor/A 32499-2023 karta.png", "A 32499-2023")</f>
        <v/>
      </c>
      <c r="U556">
        <f>HYPERLINK("https://klasma.github.io/Logging_2161/knärot/A 32499-2023 karta knärot.png", "A 32499-2023")</f>
        <v/>
      </c>
      <c r="V556">
        <f>HYPERLINK("https://klasma.github.io/Logging_2161/klagomål/A 32499-2023 FSC-klagomål.docx", "A 32499-2023")</f>
        <v/>
      </c>
      <c r="W556">
        <f>HYPERLINK("https://klasma.github.io/Logging_2161/klagomålsmail/A 32499-2023 FSC-klagomål mail.docx", "A 32499-2023")</f>
        <v/>
      </c>
      <c r="X556">
        <f>HYPERLINK("https://klasma.github.io/Logging_2161/tillsyn/A 32499-2023 tillsynsbegäran.docx", "A 32499-2023")</f>
        <v/>
      </c>
      <c r="Y556">
        <f>HYPERLINK("https://klasma.github.io/Logging_2161/tillsynsmail/A 32499-2023 tillsynsbegäran mail.docx", "A 32499-2023")</f>
        <v/>
      </c>
    </row>
    <row r="557" ht="15" customHeight="1">
      <c r="A557" t="inlineStr">
        <is>
          <t>A 32497-2023</t>
        </is>
      </c>
      <c r="B557" s="1" t="n">
        <v>45121</v>
      </c>
      <c r="C557" s="1" t="n">
        <v>45677</v>
      </c>
      <c r="D557" t="inlineStr">
        <is>
          <t>GÄVLEBORGS LÄN</t>
        </is>
      </c>
      <c r="E557" t="inlineStr">
        <is>
          <t>LJUSDAL</t>
        </is>
      </c>
      <c r="F557" t="inlineStr">
        <is>
          <t>Sveaskog</t>
        </is>
      </c>
      <c r="G557" t="n">
        <v>2.6</v>
      </c>
      <c r="H557" t="n">
        <v>1</v>
      </c>
      <c r="I557" t="n">
        <v>0</v>
      </c>
      <c r="J557" t="n">
        <v>0</v>
      </c>
      <c r="K557" t="n">
        <v>1</v>
      </c>
      <c r="L557" t="n">
        <v>0</v>
      </c>
      <c r="M557" t="n">
        <v>0</v>
      </c>
      <c r="N557" t="n">
        <v>0</v>
      </c>
      <c r="O557" t="n">
        <v>1</v>
      </c>
      <c r="P557" t="n">
        <v>1</v>
      </c>
      <c r="Q557" t="n">
        <v>1</v>
      </c>
      <c r="R557" s="2" t="inlineStr">
        <is>
          <t>Knärot</t>
        </is>
      </c>
      <c r="S557">
        <f>HYPERLINK("https://klasma.github.io/Logging_2161/artfynd/A 32497-2023 artfynd.xlsx", "A 32497-2023")</f>
        <v/>
      </c>
      <c r="T557">
        <f>HYPERLINK("https://klasma.github.io/Logging_2161/kartor/A 32497-2023 karta.png", "A 32497-2023")</f>
        <v/>
      </c>
      <c r="U557">
        <f>HYPERLINK("https://klasma.github.io/Logging_2161/knärot/A 32497-2023 karta knärot.png", "A 32497-2023")</f>
        <v/>
      </c>
      <c r="V557">
        <f>HYPERLINK("https://klasma.github.io/Logging_2161/klagomål/A 32497-2023 FSC-klagomål.docx", "A 32497-2023")</f>
        <v/>
      </c>
      <c r="W557">
        <f>HYPERLINK("https://klasma.github.io/Logging_2161/klagomålsmail/A 32497-2023 FSC-klagomål mail.docx", "A 32497-2023")</f>
        <v/>
      </c>
      <c r="X557">
        <f>HYPERLINK("https://klasma.github.io/Logging_2161/tillsyn/A 32497-2023 tillsynsbegäran.docx", "A 32497-2023")</f>
        <v/>
      </c>
      <c r="Y557">
        <f>HYPERLINK("https://klasma.github.io/Logging_2161/tillsynsmail/A 32497-2023 tillsynsbegäran mail.docx", "A 32497-2023")</f>
        <v/>
      </c>
    </row>
    <row r="558" ht="15" customHeight="1">
      <c r="A558" t="inlineStr">
        <is>
          <t>A 33298-2023</t>
        </is>
      </c>
      <c r="B558" s="1" t="n">
        <v>45127</v>
      </c>
      <c r="C558" s="1" t="n">
        <v>45677</v>
      </c>
      <c r="D558" t="inlineStr">
        <is>
          <t>GÄVLEBORGS LÄN</t>
        </is>
      </c>
      <c r="E558" t="inlineStr">
        <is>
          <t>HOFORS</t>
        </is>
      </c>
      <c r="F558" t="inlineStr">
        <is>
          <t>Sveaskog</t>
        </is>
      </c>
      <c r="G558" t="n">
        <v>5.6</v>
      </c>
      <c r="H558" t="n">
        <v>0</v>
      </c>
      <c r="I558" t="n">
        <v>1</v>
      </c>
      <c r="J558" t="n">
        <v>0</v>
      </c>
      <c r="K558" t="n">
        <v>0</v>
      </c>
      <c r="L558" t="n">
        <v>0</v>
      </c>
      <c r="M558" t="n">
        <v>0</v>
      </c>
      <c r="N558" t="n">
        <v>0</v>
      </c>
      <c r="O558" t="n">
        <v>0</v>
      </c>
      <c r="P558" t="n">
        <v>0</v>
      </c>
      <c r="Q558" t="n">
        <v>1</v>
      </c>
      <c r="R558" s="2" t="inlineStr">
        <is>
          <t>Vedticka</t>
        </is>
      </c>
      <c r="S558">
        <f>HYPERLINK("https://klasma.github.io/Logging_2104/artfynd/A 33298-2023 artfynd.xlsx", "A 33298-2023")</f>
        <v/>
      </c>
      <c r="T558">
        <f>HYPERLINK("https://klasma.github.io/Logging_2104/kartor/A 33298-2023 karta.png", "A 33298-2023")</f>
        <v/>
      </c>
      <c r="V558">
        <f>HYPERLINK("https://klasma.github.io/Logging_2104/klagomål/A 33298-2023 FSC-klagomål.docx", "A 33298-2023")</f>
        <v/>
      </c>
      <c r="W558">
        <f>HYPERLINK("https://klasma.github.io/Logging_2104/klagomålsmail/A 33298-2023 FSC-klagomål mail.docx", "A 33298-2023")</f>
        <v/>
      </c>
      <c r="X558">
        <f>HYPERLINK("https://klasma.github.io/Logging_2104/tillsyn/A 33298-2023 tillsynsbegäran.docx", "A 33298-2023")</f>
        <v/>
      </c>
      <c r="Y558">
        <f>HYPERLINK("https://klasma.github.io/Logging_2104/tillsynsmail/A 33298-2023 tillsynsbegäran mail.docx", "A 33298-2023")</f>
        <v/>
      </c>
    </row>
    <row r="559" ht="15" customHeight="1">
      <c r="A559" t="inlineStr">
        <is>
          <t>A 34244-2023</t>
        </is>
      </c>
      <c r="B559" s="1" t="n">
        <v>45138</v>
      </c>
      <c r="C559" s="1" t="n">
        <v>45677</v>
      </c>
      <c r="D559" t="inlineStr">
        <is>
          <t>GÄVLEBORGS LÄN</t>
        </is>
      </c>
      <c r="E559" t="inlineStr">
        <is>
          <t>HOFORS</t>
        </is>
      </c>
      <c r="F559" t="inlineStr">
        <is>
          <t>Sveaskog</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HYPERLINK("https://klasma.github.io/Logging_2104/artfynd/A 34244-2023 artfynd.xlsx", "A 34244-2023")</f>
        <v/>
      </c>
      <c r="T559">
        <f>HYPERLINK("https://klasma.github.io/Logging_2104/kartor/A 34244-2023 karta.png", "A 34244-2023")</f>
        <v/>
      </c>
      <c r="V559">
        <f>HYPERLINK("https://klasma.github.io/Logging_2104/klagomål/A 34244-2023 FSC-klagomål.docx", "A 34244-2023")</f>
        <v/>
      </c>
      <c r="W559">
        <f>HYPERLINK("https://klasma.github.io/Logging_2104/klagomålsmail/A 34244-2023 FSC-klagomål mail.docx", "A 34244-2023")</f>
        <v/>
      </c>
      <c r="X559">
        <f>HYPERLINK("https://klasma.github.io/Logging_2104/tillsyn/A 34244-2023 tillsynsbegäran.docx", "A 34244-2023")</f>
        <v/>
      </c>
      <c r="Y559">
        <f>HYPERLINK("https://klasma.github.io/Logging_2104/tillsynsmail/A 34244-2023 tillsynsbegäran mail.docx", "A 34244-2023")</f>
        <v/>
      </c>
    </row>
    <row r="560" ht="15" customHeight="1">
      <c r="A560" t="inlineStr">
        <is>
          <t>A 35086-2023</t>
        </is>
      </c>
      <c r="B560" s="1" t="n">
        <v>45145</v>
      </c>
      <c r="C560" s="1" t="n">
        <v>45677</v>
      </c>
      <c r="D560" t="inlineStr">
        <is>
          <t>GÄVLEBORGS LÄN</t>
        </is>
      </c>
      <c r="E560" t="inlineStr">
        <is>
          <t>LJUSDAL</t>
        </is>
      </c>
      <c r="F560" t="inlineStr">
        <is>
          <t>Sveaskog</t>
        </is>
      </c>
      <c r="G560" t="n">
        <v>5</v>
      </c>
      <c r="H560" t="n">
        <v>0</v>
      </c>
      <c r="I560" t="n">
        <v>0</v>
      </c>
      <c r="J560" t="n">
        <v>1</v>
      </c>
      <c r="K560" t="n">
        <v>0</v>
      </c>
      <c r="L560" t="n">
        <v>0</v>
      </c>
      <c r="M560" t="n">
        <v>0</v>
      </c>
      <c r="N560" t="n">
        <v>0</v>
      </c>
      <c r="O560" t="n">
        <v>1</v>
      </c>
      <c r="P560" t="n">
        <v>0</v>
      </c>
      <c r="Q560" t="n">
        <v>1</v>
      </c>
      <c r="R560" s="2" t="inlineStr">
        <is>
          <t>Kolflarnlav</t>
        </is>
      </c>
      <c r="S560">
        <f>HYPERLINK("https://klasma.github.io/Logging_2161/artfynd/A 35086-2023 artfynd.xlsx", "A 35086-2023")</f>
        <v/>
      </c>
      <c r="T560">
        <f>HYPERLINK("https://klasma.github.io/Logging_2161/kartor/A 35086-2023 karta.png", "A 35086-2023")</f>
        <v/>
      </c>
      <c r="V560">
        <f>HYPERLINK("https://klasma.github.io/Logging_2161/klagomål/A 35086-2023 FSC-klagomål.docx", "A 35086-2023")</f>
        <v/>
      </c>
      <c r="W560">
        <f>HYPERLINK("https://klasma.github.io/Logging_2161/klagomålsmail/A 35086-2023 FSC-klagomål mail.docx", "A 35086-2023")</f>
        <v/>
      </c>
      <c r="X560">
        <f>HYPERLINK("https://klasma.github.io/Logging_2161/tillsyn/A 35086-2023 tillsynsbegäran.docx", "A 35086-2023")</f>
        <v/>
      </c>
      <c r="Y560">
        <f>HYPERLINK("https://klasma.github.io/Logging_2161/tillsynsmail/A 35086-2023 tillsynsbegäran mail.docx", "A 35086-2023")</f>
        <v/>
      </c>
    </row>
    <row r="561" ht="15" customHeight="1">
      <c r="A561" t="inlineStr">
        <is>
          <t>A 35080-2023</t>
        </is>
      </c>
      <c r="B561" s="1" t="n">
        <v>45145</v>
      </c>
      <c r="C561" s="1" t="n">
        <v>45677</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Vedflamlav</t>
        </is>
      </c>
      <c r="S561">
        <f>HYPERLINK("https://klasma.github.io/Logging_2161/artfynd/A 35080-2023 artfynd.xlsx", "A 35080-2023")</f>
        <v/>
      </c>
      <c r="T561">
        <f>HYPERLINK("https://klasma.github.io/Logging_2161/kartor/A 35080-2023 karta.png", "A 35080-2023")</f>
        <v/>
      </c>
      <c r="V561">
        <f>HYPERLINK("https://klasma.github.io/Logging_2161/klagomål/A 35080-2023 FSC-klagomål.docx", "A 35080-2023")</f>
        <v/>
      </c>
      <c r="W561">
        <f>HYPERLINK("https://klasma.github.io/Logging_2161/klagomålsmail/A 35080-2023 FSC-klagomål mail.docx", "A 35080-2023")</f>
        <v/>
      </c>
      <c r="X561">
        <f>HYPERLINK("https://klasma.github.io/Logging_2161/tillsyn/A 35080-2023 tillsynsbegäran.docx", "A 35080-2023")</f>
        <v/>
      </c>
      <c r="Y561">
        <f>HYPERLINK("https://klasma.github.io/Logging_2161/tillsynsmail/A 35080-2023 tillsynsbegäran mail.docx", "A 35080-2023")</f>
        <v/>
      </c>
    </row>
    <row r="562" ht="15" customHeight="1">
      <c r="A562" t="inlineStr">
        <is>
          <t>A 35614-2023</t>
        </is>
      </c>
      <c r="B562" s="1" t="n">
        <v>45147</v>
      </c>
      <c r="C562" s="1" t="n">
        <v>45677</v>
      </c>
      <c r="D562" t="inlineStr">
        <is>
          <t>GÄVLEBORGS LÄN</t>
        </is>
      </c>
      <c r="E562" t="inlineStr">
        <is>
          <t>HOFORS</t>
        </is>
      </c>
      <c r="G562" t="n">
        <v>0.9</v>
      </c>
      <c r="H562" t="n">
        <v>0</v>
      </c>
      <c r="I562" t="n">
        <v>0</v>
      </c>
      <c r="J562" t="n">
        <v>1</v>
      </c>
      <c r="K562" t="n">
        <v>0</v>
      </c>
      <c r="L562" t="n">
        <v>0</v>
      </c>
      <c r="M562" t="n">
        <v>0</v>
      </c>
      <c r="N562" t="n">
        <v>0</v>
      </c>
      <c r="O562" t="n">
        <v>1</v>
      </c>
      <c r="P562" t="n">
        <v>0</v>
      </c>
      <c r="Q562" t="n">
        <v>1</v>
      </c>
      <c r="R562" s="2" t="inlineStr">
        <is>
          <t>Slät tallkapuschongbagge</t>
        </is>
      </c>
      <c r="S562">
        <f>HYPERLINK("https://klasma.github.io/Logging_2104/artfynd/A 35614-2023 artfynd.xlsx", "A 35614-2023")</f>
        <v/>
      </c>
      <c r="T562">
        <f>HYPERLINK("https://klasma.github.io/Logging_2104/kartor/A 35614-2023 karta.png", "A 35614-2023")</f>
        <v/>
      </c>
      <c r="V562">
        <f>HYPERLINK("https://klasma.github.io/Logging_2104/klagomål/A 35614-2023 FSC-klagomål.docx", "A 35614-2023")</f>
        <v/>
      </c>
      <c r="W562">
        <f>HYPERLINK("https://klasma.github.io/Logging_2104/klagomålsmail/A 35614-2023 FSC-klagomål mail.docx", "A 35614-2023")</f>
        <v/>
      </c>
      <c r="X562">
        <f>HYPERLINK("https://klasma.github.io/Logging_2104/tillsyn/A 35614-2023 tillsynsbegäran.docx", "A 35614-2023")</f>
        <v/>
      </c>
      <c r="Y562">
        <f>HYPERLINK("https://klasma.github.io/Logging_2104/tillsynsmail/A 35614-2023 tillsynsbegäran mail.docx", "A 35614-2023")</f>
        <v/>
      </c>
    </row>
    <row r="563" ht="15" customHeight="1">
      <c r="A563" t="inlineStr">
        <is>
          <t>A 36101-2023</t>
        </is>
      </c>
      <c r="B563" s="1" t="n">
        <v>45149</v>
      </c>
      <c r="C563" s="1" t="n">
        <v>45677</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Lunglav</t>
        </is>
      </c>
      <c r="S563">
        <f>HYPERLINK("https://klasma.github.io/Logging_2161/artfynd/A 36101-2023 artfynd.xlsx", "A 36101-2023")</f>
        <v/>
      </c>
      <c r="T563">
        <f>HYPERLINK("https://klasma.github.io/Logging_2161/kartor/A 36101-2023 karta.png", "A 36101-2023")</f>
        <v/>
      </c>
      <c r="V563">
        <f>HYPERLINK("https://klasma.github.io/Logging_2161/klagomål/A 36101-2023 FSC-klagomål.docx", "A 36101-2023")</f>
        <v/>
      </c>
      <c r="W563">
        <f>HYPERLINK("https://klasma.github.io/Logging_2161/klagomålsmail/A 36101-2023 FSC-klagomål mail.docx", "A 36101-2023")</f>
        <v/>
      </c>
      <c r="X563">
        <f>HYPERLINK("https://klasma.github.io/Logging_2161/tillsyn/A 36101-2023 tillsynsbegäran.docx", "A 36101-2023")</f>
        <v/>
      </c>
      <c r="Y563">
        <f>HYPERLINK("https://klasma.github.io/Logging_2161/tillsynsmail/A 36101-2023 tillsynsbegäran mail.docx", "A 36101-2023")</f>
        <v/>
      </c>
    </row>
    <row r="564" ht="15" customHeight="1">
      <c r="A564" t="inlineStr">
        <is>
          <t>A 36184-2023</t>
        </is>
      </c>
      <c r="B564" s="1" t="n">
        <v>45149</v>
      </c>
      <c r="C564" s="1" t="n">
        <v>45677</v>
      </c>
      <c r="D564" t="inlineStr">
        <is>
          <t>GÄVLEBORGS LÄN</t>
        </is>
      </c>
      <c r="E564" t="inlineStr">
        <is>
          <t>LJUSDAL</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HYPERLINK("https://klasma.github.io/Logging_2161/artfynd/A 36184-2023 artfynd.xlsx", "A 36184-2023")</f>
        <v/>
      </c>
      <c r="T564">
        <f>HYPERLINK("https://klasma.github.io/Logging_2161/kartor/A 36184-2023 karta.png", "A 36184-2023")</f>
        <v/>
      </c>
      <c r="V564">
        <f>HYPERLINK("https://klasma.github.io/Logging_2161/klagomål/A 36184-2023 FSC-klagomål.docx", "A 36184-2023")</f>
        <v/>
      </c>
      <c r="W564">
        <f>HYPERLINK("https://klasma.github.io/Logging_2161/klagomålsmail/A 36184-2023 FSC-klagomål mail.docx", "A 36184-2023")</f>
        <v/>
      </c>
      <c r="X564">
        <f>HYPERLINK("https://klasma.github.io/Logging_2161/tillsyn/A 36184-2023 tillsynsbegäran.docx", "A 36184-2023")</f>
        <v/>
      </c>
      <c r="Y564">
        <f>HYPERLINK("https://klasma.github.io/Logging_2161/tillsynsmail/A 36184-2023 tillsynsbegäran mail.docx", "A 36184-2023")</f>
        <v/>
      </c>
    </row>
    <row r="565" ht="15" customHeight="1">
      <c r="A565" t="inlineStr">
        <is>
          <t>A 36353-2023</t>
        </is>
      </c>
      <c r="B565" s="1" t="n">
        <v>45152</v>
      </c>
      <c r="C565" s="1" t="n">
        <v>45677</v>
      </c>
      <c r="D565" t="inlineStr">
        <is>
          <t>GÄVLEBORGS LÄN</t>
        </is>
      </c>
      <c r="E565" t="inlineStr">
        <is>
          <t>GÄVLE</t>
        </is>
      </c>
      <c r="F565" t="inlineStr">
        <is>
          <t>Bergvik skog öst AB</t>
        </is>
      </c>
      <c r="G565" t="n">
        <v>9.9</v>
      </c>
      <c r="H565" t="n">
        <v>1</v>
      </c>
      <c r="I565" t="n">
        <v>0</v>
      </c>
      <c r="J565" t="n">
        <v>0</v>
      </c>
      <c r="K565" t="n">
        <v>0</v>
      </c>
      <c r="L565" t="n">
        <v>0</v>
      </c>
      <c r="M565" t="n">
        <v>0</v>
      </c>
      <c r="N565" t="n">
        <v>0</v>
      </c>
      <c r="O565" t="n">
        <v>0</v>
      </c>
      <c r="P565" t="n">
        <v>0</v>
      </c>
      <c r="Q565" t="n">
        <v>1</v>
      </c>
      <c r="R565" s="2" t="inlineStr">
        <is>
          <t>Mattlummer</t>
        </is>
      </c>
      <c r="S565">
        <f>HYPERLINK("https://klasma.github.io/Logging_2180/artfynd/A 36353-2023 artfynd.xlsx", "A 36353-2023")</f>
        <v/>
      </c>
      <c r="T565">
        <f>HYPERLINK("https://klasma.github.io/Logging_2180/kartor/A 36353-2023 karta.png", "A 36353-2023")</f>
        <v/>
      </c>
      <c r="V565">
        <f>HYPERLINK("https://klasma.github.io/Logging_2180/klagomål/A 36353-2023 FSC-klagomål.docx", "A 36353-2023")</f>
        <v/>
      </c>
      <c r="W565">
        <f>HYPERLINK("https://klasma.github.io/Logging_2180/klagomålsmail/A 36353-2023 FSC-klagomål mail.docx", "A 36353-2023")</f>
        <v/>
      </c>
      <c r="X565">
        <f>HYPERLINK("https://klasma.github.io/Logging_2180/tillsyn/A 36353-2023 tillsynsbegäran.docx", "A 36353-2023")</f>
        <v/>
      </c>
      <c r="Y565">
        <f>HYPERLINK("https://klasma.github.io/Logging_2180/tillsynsmail/A 36353-2023 tillsynsbegäran mail.docx", "A 36353-2023")</f>
        <v/>
      </c>
    </row>
    <row r="566" ht="15" customHeight="1">
      <c r="A566" t="inlineStr">
        <is>
          <t>A 36809-2023</t>
        </is>
      </c>
      <c r="B566" s="1" t="n">
        <v>45154</v>
      </c>
      <c r="C566" s="1" t="n">
        <v>45677</v>
      </c>
      <c r="D566" t="inlineStr">
        <is>
          <t>GÄVLEBORGS LÄN</t>
        </is>
      </c>
      <c r="E566" t="inlineStr">
        <is>
          <t>OVANÅKER</t>
        </is>
      </c>
      <c r="F566" t="inlineStr">
        <is>
          <t>Bergvik skog väst AB</t>
        </is>
      </c>
      <c r="G566" t="n">
        <v>1.7</v>
      </c>
      <c r="H566" t="n">
        <v>0</v>
      </c>
      <c r="I566" t="n">
        <v>0</v>
      </c>
      <c r="J566" t="n">
        <v>1</v>
      </c>
      <c r="K566" t="n">
        <v>0</v>
      </c>
      <c r="L566" t="n">
        <v>0</v>
      </c>
      <c r="M566" t="n">
        <v>0</v>
      </c>
      <c r="N566" t="n">
        <v>0</v>
      </c>
      <c r="O566" t="n">
        <v>1</v>
      </c>
      <c r="P566" t="n">
        <v>0</v>
      </c>
      <c r="Q566" t="n">
        <v>1</v>
      </c>
      <c r="R566" s="2" t="inlineStr">
        <is>
          <t>Garnlav</t>
        </is>
      </c>
      <c r="S566">
        <f>HYPERLINK("https://klasma.github.io/Logging_2121/artfynd/A 36809-2023 artfynd.xlsx", "A 36809-2023")</f>
        <v/>
      </c>
      <c r="T566">
        <f>HYPERLINK("https://klasma.github.io/Logging_2121/kartor/A 36809-2023 karta.png", "A 36809-2023")</f>
        <v/>
      </c>
      <c r="V566">
        <f>HYPERLINK("https://klasma.github.io/Logging_2121/klagomål/A 36809-2023 FSC-klagomål.docx", "A 36809-2023")</f>
        <v/>
      </c>
      <c r="W566">
        <f>HYPERLINK("https://klasma.github.io/Logging_2121/klagomålsmail/A 36809-2023 FSC-klagomål mail.docx", "A 36809-2023")</f>
        <v/>
      </c>
      <c r="X566">
        <f>HYPERLINK("https://klasma.github.io/Logging_2121/tillsyn/A 36809-2023 tillsynsbegäran.docx", "A 36809-2023")</f>
        <v/>
      </c>
      <c r="Y566">
        <f>HYPERLINK("https://klasma.github.io/Logging_2121/tillsynsmail/A 36809-2023 tillsynsbegäran mail.docx", "A 36809-2023")</f>
        <v/>
      </c>
    </row>
    <row r="567" ht="15" customHeight="1">
      <c r="A567" t="inlineStr">
        <is>
          <t>A 37610-2023</t>
        </is>
      </c>
      <c r="B567" s="1" t="n">
        <v>45159</v>
      </c>
      <c r="C567" s="1" t="n">
        <v>45677</v>
      </c>
      <c r="D567" t="inlineStr">
        <is>
          <t>GÄVLEBORGS LÄN</t>
        </is>
      </c>
      <c r="E567" t="inlineStr">
        <is>
          <t>LJUSDAL</t>
        </is>
      </c>
      <c r="F567" t="inlineStr">
        <is>
          <t>Sveaskog</t>
        </is>
      </c>
      <c r="G567" t="n">
        <v>1.2</v>
      </c>
      <c r="H567" t="n">
        <v>0</v>
      </c>
      <c r="I567" t="n">
        <v>0</v>
      </c>
      <c r="J567" t="n">
        <v>1</v>
      </c>
      <c r="K567" t="n">
        <v>0</v>
      </c>
      <c r="L567" t="n">
        <v>0</v>
      </c>
      <c r="M567" t="n">
        <v>0</v>
      </c>
      <c r="N567" t="n">
        <v>0</v>
      </c>
      <c r="O567" t="n">
        <v>1</v>
      </c>
      <c r="P567" t="n">
        <v>0</v>
      </c>
      <c r="Q567" t="n">
        <v>1</v>
      </c>
      <c r="R567" s="2" t="inlineStr">
        <is>
          <t>Kolflarnlav</t>
        </is>
      </c>
      <c r="S567">
        <f>HYPERLINK("https://klasma.github.io/Logging_2161/artfynd/A 37610-2023 artfynd.xlsx", "A 37610-2023")</f>
        <v/>
      </c>
      <c r="T567">
        <f>HYPERLINK("https://klasma.github.io/Logging_2161/kartor/A 37610-2023 karta.png", "A 37610-2023")</f>
        <v/>
      </c>
      <c r="V567">
        <f>HYPERLINK("https://klasma.github.io/Logging_2161/klagomål/A 37610-2023 FSC-klagomål.docx", "A 37610-2023")</f>
        <v/>
      </c>
      <c r="W567">
        <f>HYPERLINK("https://klasma.github.io/Logging_2161/klagomålsmail/A 37610-2023 FSC-klagomål mail.docx", "A 37610-2023")</f>
        <v/>
      </c>
      <c r="X567">
        <f>HYPERLINK("https://klasma.github.io/Logging_2161/tillsyn/A 37610-2023 tillsynsbegäran.docx", "A 37610-2023")</f>
        <v/>
      </c>
      <c r="Y567">
        <f>HYPERLINK("https://klasma.github.io/Logging_2161/tillsynsmail/A 37610-2023 tillsynsbegäran mail.docx", "A 37610-2023")</f>
        <v/>
      </c>
    </row>
    <row r="568" ht="15" customHeight="1">
      <c r="A568" t="inlineStr">
        <is>
          <t>A 37660-2023</t>
        </is>
      </c>
      <c r="B568" s="1" t="n">
        <v>45159</v>
      </c>
      <c r="C568" s="1" t="n">
        <v>45677</v>
      </c>
      <c r="D568" t="inlineStr">
        <is>
          <t>GÄVLEBORGS LÄN</t>
        </is>
      </c>
      <c r="E568" t="inlineStr">
        <is>
          <t>LJUSDAL</t>
        </is>
      </c>
      <c r="F568" t="inlineStr">
        <is>
          <t>Sveaskog</t>
        </is>
      </c>
      <c r="G568" t="n">
        <v>8.300000000000001</v>
      </c>
      <c r="H568" t="n">
        <v>0</v>
      </c>
      <c r="I568" t="n">
        <v>0</v>
      </c>
      <c r="J568" t="n">
        <v>1</v>
      </c>
      <c r="K568" t="n">
        <v>0</v>
      </c>
      <c r="L568" t="n">
        <v>0</v>
      </c>
      <c r="M568" t="n">
        <v>0</v>
      </c>
      <c r="N568" t="n">
        <v>0</v>
      </c>
      <c r="O568" t="n">
        <v>1</v>
      </c>
      <c r="P568" t="n">
        <v>0</v>
      </c>
      <c r="Q568" t="n">
        <v>1</v>
      </c>
      <c r="R568" s="2" t="inlineStr">
        <is>
          <t>Lunglav</t>
        </is>
      </c>
      <c r="S568">
        <f>HYPERLINK("https://klasma.github.io/Logging_2161/artfynd/A 37660-2023 artfynd.xlsx", "A 37660-2023")</f>
        <v/>
      </c>
      <c r="T568">
        <f>HYPERLINK("https://klasma.github.io/Logging_2161/kartor/A 37660-2023 karta.png", "A 37660-2023")</f>
        <v/>
      </c>
      <c r="V568">
        <f>HYPERLINK("https://klasma.github.io/Logging_2161/klagomål/A 37660-2023 FSC-klagomål.docx", "A 37660-2023")</f>
        <v/>
      </c>
      <c r="W568">
        <f>HYPERLINK("https://klasma.github.io/Logging_2161/klagomålsmail/A 37660-2023 FSC-klagomål mail.docx", "A 37660-2023")</f>
        <v/>
      </c>
      <c r="X568">
        <f>HYPERLINK("https://klasma.github.io/Logging_2161/tillsyn/A 37660-2023 tillsynsbegäran.docx", "A 37660-2023")</f>
        <v/>
      </c>
      <c r="Y568">
        <f>HYPERLINK("https://klasma.github.io/Logging_2161/tillsynsmail/A 37660-2023 tillsynsbegäran mail.docx", "A 37660-2023")</f>
        <v/>
      </c>
    </row>
    <row r="569" ht="15" customHeight="1">
      <c r="A569" t="inlineStr">
        <is>
          <t>A 38400-2023</t>
        </is>
      </c>
      <c r="B569" s="1" t="n">
        <v>45162</v>
      </c>
      <c r="C569" s="1" t="n">
        <v>45677</v>
      </c>
      <c r="D569" t="inlineStr">
        <is>
          <t>GÄVLEBORGS LÄN</t>
        </is>
      </c>
      <c r="E569" t="inlineStr">
        <is>
          <t>LJUSDAL</t>
        </is>
      </c>
      <c r="G569" t="n">
        <v>7</v>
      </c>
      <c r="H569" t="n">
        <v>1</v>
      </c>
      <c r="I569" t="n">
        <v>0</v>
      </c>
      <c r="J569" t="n">
        <v>0</v>
      </c>
      <c r="K569" t="n">
        <v>1</v>
      </c>
      <c r="L569" t="n">
        <v>0</v>
      </c>
      <c r="M569" t="n">
        <v>0</v>
      </c>
      <c r="N569" t="n">
        <v>0</v>
      </c>
      <c r="O569" t="n">
        <v>1</v>
      </c>
      <c r="P569" t="n">
        <v>1</v>
      </c>
      <c r="Q569" t="n">
        <v>1</v>
      </c>
      <c r="R569" s="2" t="inlineStr">
        <is>
          <t>Knärot</t>
        </is>
      </c>
      <c r="S569">
        <f>HYPERLINK("https://klasma.github.io/Logging_2161/artfynd/A 38400-2023 artfynd.xlsx", "A 38400-2023")</f>
        <v/>
      </c>
      <c r="T569">
        <f>HYPERLINK("https://klasma.github.io/Logging_2161/kartor/A 38400-2023 karta.png", "A 38400-2023")</f>
        <v/>
      </c>
      <c r="U569">
        <f>HYPERLINK("https://klasma.github.io/Logging_2161/knärot/A 38400-2023 karta knärot.png", "A 38400-2023")</f>
        <v/>
      </c>
      <c r="V569">
        <f>HYPERLINK("https://klasma.github.io/Logging_2161/klagomål/A 38400-2023 FSC-klagomål.docx", "A 38400-2023")</f>
        <v/>
      </c>
      <c r="W569">
        <f>HYPERLINK("https://klasma.github.io/Logging_2161/klagomålsmail/A 38400-2023 FSC-klagomål mail.docx", "A 38400-2023")</f>
        <v/>
      </c>
      <c r="X569">
        <f>HYPERLINK("https://klasma.github.io/Logging_2161/tillsyn/A 38400-2023 tillsynsbegäran.docx", "A 38400-2023")</f>
        <v/>
      </c>
      <c r="Y569">
        <f>HYPERLINK("https://klasma.github.io/Logging_2161/tillsynsmail/A 38400-2023 tillsynsbegäran mail.docx", "A 38400-2023")</f>
        <v/>
      </c>
    </row>
    <row r="570" ht="15" customHeight="1">
      <c r="A570" t="inlineStr">
        <is>
          <t>A 39001-2023</t>
        </is>
      </c>
      <c r="B570" s="1" t="n">
        <v>45163</v>
      </c>
      <c r="C570" s="1" t="n">
        <v>45677</v>
      </c>
      <c r="D570" t="inlineStr">
        <is>
          <t>GÄVLEBORGS LÄN</t>
        </is>
      </c>
      <c r="E570" t="inlineStr">
        <is>
          <t>HOFORS</t>
        </is>
      </c>
      <c r="F570" t="inlineStr">
        <is>
          <t>Sveaskog</t>
        </is>
      </c>
      <c r="G570" t="n">
        <v>2.1</v>
      </c>
      <c r="H570" t="n">
        <v>1</v>
      </c>
      <c r="I570" t="n">
        <v>0</v>
      </c>
      <c r="J570" t="n">
        <v>0</v>
      </c>
      <c r="K570" t="n">
        <v>0</v>
      </c>
      <c r="L570" t="n">
        <v>0</v>
      </c>
      <c r="M570" t="n">
        <v>0</v>
      </c>
      <c r="N570" t="n">
        <v>0</v>
      </c>
      <c r="O570" t="n">
        <v>0</v>
      </c>
      <c r="P570" t="n">
        <v>0</v>
      </c>
      <c r="Q570" t="n">
        <v>1</v>
      </c>
      <c r="R570" s="2" t="inlineStr">
        <is>
          <t>Revlummer</t>
        </is>
      </c>
      <c r="S570">
        <f>HYPERLINK("https://klasma.github.io/Logging_2104/artfynd/A 39001-2023 artfynd.xlsx", "A 39001-2023")</f>
        <v/>
      </c>
      <c r="T570">
        <f>HYPERLINK("https://klasma.github.io/Logging_2104/kartor/A 39001-2023 karta.png", "A 39001-2023")</f>
        <v/>
      </c>
      <c r="V570">
        <f>HYPERLINK("https://klasma.github.io/Logging_2104/klagomål/A 39001-2023 FSC-klagomål.docx", "A 39001-2023")</f>
        <v/>
      </c>
      <c r="W570">
        <f>HYPERLINK("https://klasma.github.io/Logging_2104/klagomålsmail/A 39001-2023 FSC-klagomål mail.docx", "A 39001-2023")</f>
        <v/>
      </c>
      <c r="X570">
        <f>HYPERLINK("https://klasma.github.io/Logging_2104/tillsyn/A 39001-2023 tillsynsbegäran.docx", "A 39001-2023")</f>
        <v/>
      </c>
      <c r="Y570">
        <f>HYPERLINK("https://klasma.github.io/Logging_2104/tillsynsmail/A 39001-2023 tillsynsbegäran mail.docx", "A 39001-2023")</f>
        <v/>
      </c>
    </row>
    <row r="571" ht="15" customHeight="1">
      <c r="A571" t="inlineStr">
        <is>
          <t>A 40943-2023</t>
        </is>
      </c>
      <c r="B571" s="1" t="n">
        <v>45173</v>
      </c>
      <c r="C571" s="1" t="n">
        <v>45677</v>
      </c>
      <c r="D571" t="inlineStr">
        <is>
          <t>GÄVLEBORGS LÄN</t>
        </is>
      </c>
      <c r="E571" t="inlineStr">
        <is>
          <t>LJUSDAL</t>
        </is>
      </c>
      <c r="G571" t="n">
        <v>5.8</v>
      </c>
      <c r="H571" t="n">
        <v>0</v>
      </c>
      <c r="I571" t="n">
        <v>0</v>
      </c>
      <c r="J571" t="n">
        <v>1</v>
      </c>
      <c r="K571" t="n">
        <v>0</v>
      </c>
      <c r="L571" t="n">
        <v>0</v>
      </c>
      <c r="M571" t="n">
        <v>0</v>
      </c>
      <c r="N571" t="n">
        <v>0</v>
      </c>
      <c r="O571" t="n">
        <v>1</v>
      </c>
      <c r="P571" t="n">
        <v>0</v>
      </c>
      <c r="Q571" t="n">
        <v>1</v>
      </c>
      <c r="R571" s="2" t="inlineStr">
        <is>
          <t>Mörk kolflarnlav</t>
        </is>
      </c>
      <c r="S571">
        <f>HYPERLINK("https://klasma.github.io/Logging_2161/artfynd/A 40943-2023 artfynd.xlsx", "A 40943-2023")</f>
        <v/>
      </c>
      <c r="T571">
        <f>HYPERLINK("https://klasma.github.io/Logging_2161/kartor/A 40943-2023 karta.png", "A 40943-2023")</f>
        <v/>
      </c>
      <c r="V571">
        <f>HYPERLINK("https://klasma.github.io/Logging_2161/klagomål/A 40943-2023 FSC-klagomål.docx", "A 40943-2023")</f>
        <v/>
      </c>
      <c r="W571">
        <f>HYPERLINK("https://klasma.github.io/Logging_2161/klagomålsmail/A 40943-2023 FSC-klagomål mail.docx", "A 40943-2023")</f>
        <v/>
      </c>
      <c r="X571">
        <f>HYPERLINK("https://klasma.github.io/Logging_2161/tillsyn/A 40943-2023 tillsynsbegäran.docx", "A 40943-2023")</f>
        <v/>
      </c>
      <c r="Y571">
        <f>HYPERLINK("https://klasma.github.io/Logging_2161/tillsynsmail/A 40943-2023 tillsynsbegäran mail.docx", "A 40943-2023")</f>
        <v/>
      </c>
    </row>
    <row r="572" ht="15" customHeight="1">
      <c r="A572" t="inlineStr">
        <is>
          <t>A 42115-2023</t>
        </is>
      </c>
      <c r="B572" s="1" t="n">
        <v>45177</v>
      </c>
      <c r="C572" s="1" t="n">
        <v>45677</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44032-2023</t>
        </is>
      </c>
      <c r="B573" s="1" t="n">
        <v>45188</v>
      </c>
      <c r="C573" s="1" t="n">
        <v>45677</v>
      </c>
      <c r="D573" t="inlineStr">
        <is>
          <t>GÄVLEBORGS LÄN</t>
        </is>
      </c>
      <c r="E573" t="inlineStr">
        <is>
          <t>NORDANSTIG</t>
        </is>
      </c>
      <c r="F573" t="inlineStr">
        <is>
          <t>Holmen skog AB</t>
        </is>
      </c>
      <c r="G573" t="n">
        <v>5.3</v>
      </c>
      <c r="H573" t="n">
        <v>1</v>
      </c>
      <c r="I573" t="n">
        <v>0</v>
      </c>
      <c r="J573" t="n">
        <v>0</v>
      </c>
      <c r="K573" t="n">
        <v>0</v>
      </c>
      <c r="L573" t="n">
        <v>0</v>
      </c>
      <c r="M573" t="n">
        <v>0</v>
      </c>
      <c r="N573" t="n">
        <v>0</v>
      </c>
      <c r="O573" t="n">
        <v>0</v>
      </c>
      <c r="P573" t="n">
        <v>0</v>
      </c>
      <c r="Q573" t="n">
        <v>1</v>
      </c>
      <c r="R573" s="2" t="inlineStr">
        <is>
          <t>Revlummer</t>
        </is>
      </c>
      <c r="S573">
        <f>HYPERLINK("https://klasma.github.io/Logging_2132/artfynd/A 44032-2023 artfynd.xlsx", "A 44032-2023")</f>
        <v/>
      </c>
      <c r="T573">
        <f>HYPERLINK("https://klasma.github.io/Logging_2132/kartor/A 44032-2023 karta.png", "A 44032-2023")</f>
        <v/>
      </c>
      <c r="V573">
        <f>HYPERLINK("https://klasma.github.io/Logging_2132/klagomål/A 44032-2023 FSC-klagomål.docx", "A 44032-2023")</f>
        <v/>
      </c>
      <c r="W573">
        <f>HYPERLINK("https://klasma.github.io/Logging_2132/klagomålsmail/A 44032-2023 FSC-klagomål mail.docx", "A 44032-2023")</f>
        <v/>
      </c>
      <c r="X573">
        <f>HYPERLINK("https://klasma.github.io/Logging_2132/tillsyn/A 44032-2023 tillsynsbegäran.docx", "A 44032-2023")</f>
        <v/>
      </c>
      <c r="Y573">
        <f>HYPERLINK("https://klasma.github.io/Logging_2132/tillsynsmail/A 44032-2023 tillsynsbegäran mail.docx", "A 44032-2023")</f>
        <v/>
      </c>
    </row>
    <row r="574" ht="15" customHeight="1">
      <c r="A574" t="inlineStr">
        <is>
          <t>A 45204-2023</t>
        </is>
      </c>
      <c r="B574" s="1" t="n">
        <v>45191</v>
      </c>
      <c r="C574" s="1" t="n">
        <v>45677</v>
      </c>
      <c r="D574" t="inlineStr">
        <is>
          <t>GÄVLEBORGS LÄN</t>
        </is>
      </c>
      <c r="E574" t="inlineStr">
        <is>
          <t>LJUSDAL</t>
        </is>
      </c>
      <c r="F574" t="inlineStr">
        <is>
          <t>Sveaskog</t>
        </is>
      </c>
      <c r="G574" t="n">
        <v>5.1</v>
      </c>
      <c r="H574" t="n">
        <v>0</v>
      </c>
      <c r="I574" t="n">
        <v>0</v>
      </c>
      <c r="J574" t="n">
        <v>1</v>
      </c>
      <c r="K574" t="n">
        <v>0</v>
      </c>
      <c r="L574" t="n">
        <v>0</v>
      </c>
      <c r="M574" t="n">
        <v>0</v>
      </c>
      <c r="N574" t="n">
        <v>0</v>
      </c>
      <c r="O574" t="n">
        <v>1</v>
      </c>
      <c r="P574" t="n">
        <v>0</v>
      </c>
      <c r="Q574" t="n">
        <v>1</v>
      </c>
      <c r="R574" s="2" t="inlineStr">
        <is>
          <t>Lunglav</t>
        </is>
      </c>
      <c r="S574">
        <f>HYPERLINK("https://klasma.github.io/Logging_2161/artfynd/A 45204-2023 artfynd.xlsx", "A 45204-2023")</f>
        <v/>
      </c>
      <c r="T574">
        <f>HYPERLINK("https://klasma.github.io/Logging_2161/kartor/A 45204-2023 karta.png", "A 45204-2023")</f>
        <v/>
      </c>
      <c r="V574">
        <f>HYPERLINK("https://klasma.github.io/Logging_2161/klagomål/A 45204-2023 FSC-klagomål.docx", "A 45204-2023")</f>
        <v/>
      </c>
      <c r="W574">
        <f>HYPERLINK("https://klasma.github.io/Logging_2161/klagomålsmail/A 45204-2023 FSC-klagomål mail.docx", "A 45204-2023")</f>
        <v/>
      </c>
      <c r="X574">
        <f>HYPERLINK("https://klasma.github.io/Logging_2161/tillsyn/A 45204-2023 tillsynsbegäran.docx", "A 45204-2023")</f>
        <v/>
      </c>
      <c r="Y574">
        <f>HYPERLINK("https://klasma.github.io/Logging_2161/tillsynsmail/A 45204-2023 tillsynsbegäran mail.docx", "A 45204-2023")</f>
        <v/>
      </c>
    </row>
    <row r="575" ht="15" customHeight="1">
      <c r="A575" t="inlineStr">
        <is>
          <t>A 45427-2023</t>
        </is>
      </c>
      <c r="B575" s="1" t="n">
        <v>45194</v>
      </c>
      <c r="C575" s="1" t="n">
        <v>45677</v>
      </c>
      <c r="D575" t="inlineStr">
        <is>
          <t>GÄVLEBORGS LÄN</t>
        </is>
      </c>
      <c r="E575" t="inlineStr">
        <is>
          <t>SANDVIKEN</t>
        </is>
      </c>
      <c r="F575" t="inlineStr">
        <is>
          <t>Bergvik skog öst AB</t>
        </is>
      </c>
      <c r="G575" t="n">
        <v>3.5</v>
      </c>
      <c r="H575" t="n">
        <v>1</v>
      </c>
      <c r="I575" t="n">
        <v>0</v>
      </c>
      <c r="J575" t="n">
        <v>0</v>
      </c>
      <c r="K575" t="n">
        <v>0</v>
      </c>
      <c r="L575" t="n">
        <v>0</v>
      </c>
      <c r="M575" t="n">
        <v>0</v>
      </c>
      <c r="N575" t="n">
        <v>0</v>
      </c>
      <c r="O575" t="n">
        <v>0</v>
      </c>
      <c r="P575" t="n">
        <v>0</v>
      </c>
      <c r="Q575" t="n">
        <v>1</v>
      </c>
      <c r="R575" s="2" t="inlineStr">
        <is>
          <t>Mattlummer</t>
        </is>
      </c>
      <c r="S575">
        <f>HYPERLINK("https://klasma.github.io/Logging_2181/artfynd/A 45427-2023 artfynd.xlsx", "A 45427-2023")</f>
        <v/>
      </c>
      <c r="T575">
        <f>HYPERLINK("https://klasma.github.io/Logging_2181/kartor/A 45427-2023 karta.png", "A 45427-2023")</f>
        <v/>
      </c>
      <c r="V575">
        <f>HYPERLINK("https://klasma.github.io/Logging_2181/klagomål/A 45427-2023 FSC-klagomål.docx", "A 45427-2023")</f>
        <v/>
      </c>
      <c r="W575">
        <f>HYPERLINK("https://klasma.github.io/Logging_2181/klagomålsmail/A 45427-2023 FSC-klagomål mail.docx", "A 45427-2023")</f>
        <v/>
      </c>
      <c r="X575">
        <f>HYPERLINK("https://klasma.github.io/Logging_2181/tillsyn/A 45427-2023 tillsynsbegäran.docx", "A 45427-2023")</f>
        <v/>
      </c>
      <c r="Y575">
        <f>HYPERLINK("https://klasma.github.io/Logging_2181/tillsynsmail/A 45427-2023 tillsynsbegäran mail.docx", "A 45427-2023")</f>
        <v/>
      </c>
    </row>
    <row r="576" ht="15" customHeight="1">
      <c r="A576" t="inlineStr">
        <is>
          <t>A 46903-2023</t>
        </is>
      </c>
      <c r="B576" s="1" t="n">
        <v>45201</v>
      </c>
      <c r="C576" s="1" t="n">
        <v>45677</v>
      </c>
      <c r="D576" t="inlineStr">
        <is>
          <t>GÄVLEBORGS LÄN</t>
        </is>
      </c>
      <c r="E576" t="inlineStr">
        <is>
          <t>HUDIKSVALL</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HYPERLINK("https://klasma.github.io/Logging_2184/artfynd/A 46903-2023 artfynd.xlsx", "A 46903-2023")</f>
        <v/>
      </c>
      <c r="T576">
        <f>HYPERLINK("https://klasma.github.io/Logging_2184/kartor/A 46903-2023 karta.png", "A 46903-2023")</f>
        <v/>
      </c>
      <c r="U576">
        <f>HYPERLINK("https://klasma.github.io/Logging_2184/knärot/A 46903-2023 karta knärot.png", "A 46903-2023")</f>
        <v/>
      </c>
      <c r="V576">
        <f>HYPERLINK("https://klasma.github.io/Logging_2184/klagomål/A 46903-2023 FSC-klagomål.docx", "A 46903-2023")</f>
        <v/>
      </c>
      <c r="W576">
        <f>HYPERLINK("https://klasma.github.io/Logging_2184/klagomålsmail/A 46903-2023 FSC-klagomål mail.docx", "A 46903-2023")</f>
        <v/>
      </c>
      <c r="X576">
        <f>HYPERLINK("https://klasma.github.io/Logging_2184/tillsyn/A 46903-2023 tillsynsbegäran.docx", "A 46903-2023")</f>
        <v/>
      </c>
      <c r="Y576">
        <f>HYPERLINK("https://klasma.github.io/Logging_2184/tillsynsmail/A 46903-2023 tillsynsbegäran mail.docx", "A 46903-2023")</f>
        <v/>
      </c>
    </row>
    <row r="577" ht="15" customHeight="1">
      <c r="A577" t="inlineStr">
        <is>
          <t>A 47459-2023</t>
        </is>
      </c>
      <c r="B577" s="1" t="n">
        <v>45202</v>
      </c>
      <c r="C577" s="1" t="n">
        <v>45677</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47717-2023</t>
        </is>
      </c>
      <c r="B578" s="1" t="n">
        <v>45203</v>
      </c>
      <c r="C578" s="1" t="n">
        <v>45677</v>
      </c>
      <c r="D578" t="inlineStr">
        <is>
          <t>GÄVLEBORGS LÄN</t>
        </is>
      </c>
      <c r="E578" t="inlineStr">
        <is>
          <t>LJUSDAL</t>
        </is>
      </c>
      <c r="F578" t="inlineStr">
        <is>
          <t>Sveaskog</t>
        </is>
      </c>
      <c r="G578" t="n">
        <v>3.8</v>
      </c>
      <c r="H578" t="n">
        <v>0</v>
      </c>
      <c r="I578" t="n">
        <v>0</v>
      </c>
      <c r="J578" t="n">
        <v>1</v>
      </c>
      <c r="K578" t="n">
        <v>0</v>
      </c>
      <c r="L578" t="n">
        <v>0</v>
      </c>
      <c r="M578" t="n">
        <v>0</v>
      </c>
      <c r="N578" t="n">
        <v>0</v>
      </c>
      <c r="O578" t="n">
        <v>1</v>
      </c>
      <c r="P578" t="n">
        <v>0</v>
      </c>
      <c r="Q578" t="n">
        <v>1</v>
      </c>
      <c r="R578" s="2" t="inlineStr">
        <is>
          <t>Lunglav</t>
        </is>
      </c>
      <c r="S578">
        <f>HYPERLINK("https://klasma.github.io/Logging_2161/artfynd/A 47717-2023 artfynd.xlsx", "A 47717-2023")</f>
        <v/>
      </c>
      <c r="T578">
        <f>HYPERLINK("https://klasma.github.io/Logging_2161/kartor/A 47717-2023 karta.png", "A 47717-2023")</f>
        <v/>
      </c>
      <c r="V578">
        <f>HYPERLINK("https://klasma.github.io/Logging_2161/klagomål/A 47717-2023 FSC-klagomål.docx", "A 47717-2023")</f>
        <v/>
      </c>
      <c r="W578">
        <f>HYPERLINK("https://klasma.github.io/Logging_2161/klagomålsmail/A 47717-2023 FSC-klagomål mail.docx", "A 47717-2023")</f>
        <v/>
      </c>
      <c r="X578">
        <f>HYPERLINK("https://klasma.github.io/Logging_2161/tillsyn/A 47717-2023 tillsynsbegäran.docx", "A 47717-2023")</f>
        <v/>
      </c>
      <c r="Y578">
        <f>HYPERLINK("https://klasma.github.io/Logging_2161/tillsynsmail/A 47717-2023 tillsynsbegäran mail.docx", "A 47717-2023")</f>
        <v/>
      </c>
    </row>
    <row r="579" ht="15" customHeight="1">
      <c r="A579" t="inlineStr">
        <is>
          <t>A 49122-2023</t>
        </is>
      </c>
      <c r="B579" s="1" t="n">
        <v>45205</v>
      </c>
      <c r="C579" s="1" t="n">
        <v>45677</v>
      </c>
      <c r="D579" t="inlineStr">
        <is>
          <t>GÄVLEBORGS LÄN</t>
        </is>
      </c>
      <c r="E579" t="inlineStr">
        <is>
          <t>SÖDERHAMN</t>
        </is>
      </c>
      <c r="G579" t="n">
        <v>5</v>
      </c>
      <c r="H579" t="n">
        <v>0</v>
      </c>
      <c r="I579" t="n">
        <v>0</v>
      </c>
      <c r="J579" t="n">
        <v>1</v>
      </c>
      <c r="K579" t="n">
        <v>0</v>
      </c>
      <c r="L579" t="n">
        <v>0</v>
      </c>
      <c r="M579" t="n">
        <v>0</v>
      </c>
      <c r="N579" t="n">
        <v>0</v>
      </c>
      <c r="O579" t="n">
        <v>1</v>
      </c>
      <c r="P579" t="n">
        <v>0</v>
      </c>
      <c r="Q579" t="n">
        <v>1</v>
      </c>
      <c r="R579" s="2" t="inlineStr">
        <is>
          <t>Dofttaggsvamp</t>
        </is>
      </c>
      <c r="S579">
        <f>HYPERLINK("https://klasma.github.io/Logging_2182/artfynd/A 49122-2023 artfynd.xlsx", "A 49122-2023")</f>
        <v/>
      </c>
      <c r="T579">
        <f>HYPERLINK("https://klasma.github.io/Logging_2182/kartor/A 49122-2023 karta.png", "A 49122-2023")</f>
        <v/>
      </c>
      <c r="V579">
        <f>HYPERLINK("https://klasma.github.io/Logging_2182/klagomål/A 49122-2023 FSC-klagomål.docx", "A 49122-2023")</f>
        <v/>
      </c>
      <c r="W579">
        <f>HYPERLINK("https://klasma.github.io/Logging_2182/klagomålsmail/A 49122-2023 FSC-klagomål mail.docx", "A 49122-2023")</f>
        <v/>
      </c>
      <c r="X579">
        <f>HYPERLINK("https://klasma.github.io/Logging_2182/tillsyn/A 49122-2023 tillsynsbegäran.docx", "A 49122-2023")</f>
        <v/>
      </c>
      <c r="Y579">
        <f>HYPERLINK("https://klasma.github.io/Logging_2182/tillsynsmail/A 49122-2023 tillsynsbegäran mail.docx", "A 49122-2023")</f>
        <v/>
      </c>
    </row>
    <row r="580" ht="15" customHeight="1">
      <c r="A580" t="inlineStr">
        <is>
          <t>A 48983-2023</t>
        </is>
      </c>
      <c r="B580" s="1" t="n">
        <v>45209</v>
      </c>
      <c r="C580" s="1" t="n">
        <v>45677</v>
      </c>
      <c r="D580" t="inlineStr">
        <is>
          <t>GÄVLEBORGS LÄN</t>
        </is>
      </c>
      <c r="E580" t="inlineStr">
        <is>
          <t>BOLLNÄS</t>
        </is>
      </c>
      <c r="G580" t="n">
        <v>4.4</v>
      </c>
      <c r="H580" t="n">
        <v>1</v>
      </c>
      <c r="I580" t="n">
        <v>0</v>
      </c>
      <c r="J580" t="n">
        <v>1</v>
      </c>
      <c r="K580" t="n">
        <v>0</v>
      </c>
      <c r="L580" t="n">
        <v>0</v>
      </c>
      <c r="M580" t="n">
        <v>0</v>
      </c>
      <c r="N580" t="n">
        <v>0</v>
      </c>
      <c r="O580" t="n">
        <v>1</v>
      </c>
      <c r="P580" t="n">
        <v>0</v>
      </c>
      <c r="Q580" t="n">
        <v>1</v>
      </c>
      <c r="R580" s="2" t="inlineStr">
        <is>
          <t>Tretåig hackspett</t>
        </is>
      </c>
      <c r="S580">
        <f>HYPERLINK("https://klasma.github.io/Logging_2183/artfynd/A 48983-2023 artfynd.xlsx", "A 48983-2023")</f>
        <v/>
      </c>
      <c r="T580">
        <f>HYPERLINK("https://klasma.github.io/Logging_2183/kartor/A 48983-2023 karta.png", "A 48983-2023")</f>
        <v/>
      </c>
      <c r="V580">
        <f>HYPERLINK("https://klasma.github.io/Logging_2183/klagomål/A 48983-2023 FSC-klagomål.docx", "A 48983-2023")</f>
        <v/>
      </c>
      <c r="W580">
        <f>HYPERLINK("https://klasma.github.io/Logging_2183/klagomålsmail/A 48983-2023 FSC-klagomål mail.docx", "A 48983-2023")</f>
        <v/>
      </c>
      <c r="X580">
        <f>HYPERLINK("https://klasma.github.io/Logging_2183/tillsyn/A 48983-2023 tillsynsbegäran.docx", "A 48983-2023")</f>
        <v/>
      </c>
      <c r="Y580">
        <f>HYPERLINK("https://klasma.github.io/Logging_2183/tillsynsmail/A 48983-2023 tillsynsbegäran mail.docx", "A 48983-2023")</f>
        <v/>
      </c>
      <c r="Z580">
        <f>HYPERLINK("https://klasma.github.io/Logging_2183/fåglar/A 48983-2023 prioriterade fågelarter.docx", "A 48983-2023")</f>
        <v/>
      </c>
    </row>
    <row r="581" ht="15" customHeight="1">
      <c r="A581" t="inlineStr">
        <is>
          <t>A 49279-2023</t>
        </is>
      </c>
      <c r="B581" s="1" t="n">
        <v>45210</v>
      </c>
      <c r="C581" s="1" t="n">
        <v>45677</v>
      </c>
      <c r="D581" t="inlineStr">
        <is>
          <t>GÄVLEBORGS LÄN</t>
        </is>
      </c>
      <c r="E581" t="inlineStr">
        <is>
          <t>OVANÅKER</t>
        </is>
      </c>
      <c r="F581" t="inlineStr">
        <is>
          <t>Bergvik skog öst AB</t>
        </is>
      </c>
      <c r="G581" t="n">
        <v>13.6</v>
      </c>
      <c r="H581" t="n">
        <v>0</v>
      </c>
      <c r="I581" t="n">
        <v>1</v>
      </c>
      <c r="J581" t="n">
        <v>0</v>
      </c>
      <c r="K581" t="n">
        <v>0</v>
      </c>
      <c r="L581" t="n">
        <v>0</v>
      </c>
      <c r="M581" t="n">
        <v>0</v>
      </c>
      <c r="N581" t="n">
        <v>0</v>
      </c>
      <c r="O581" t="n">
        <v>0</v>
      </c>
      <c r="P581" t="n">
        <v>0</v>
      </c>
      <c r="Q581" t="n">
        <v>1</v>
      </c>
      <c r="R581" s="2" t="inlineStr">
        <is>
          <t>Smal svampklubba</t>
        </is>
      </c>
      <c r="S581">
        <f>HYPERLINK("https://klasma.github.io/Logging_2121/artfynd/A 49279-2023 artfynd.xlsx", "A 49279-2023")</f>
        <v/>
      </c>
      <c r="T581">
        <f>HYPERLINK("https://klasma.github.io/Logging_2121/kartor/A 49279-2023 karta.png", "A 49279-2023")</f>
        <v/>
      </c>
      <c r="V581">
        <f>HYPERLINK("https://klasma.github.io/Logging_2121/klagomål/A 49279-2023 FSC-klagomål.docx", "A 49279-2023")</f>
        <v/>
      </c>
      <c r="W581">
        <f>HYPERLINK("https://klasma.github.io/Logging_2121/klagomålsmail/A 49279-2023 FSC-klagomål mail.docx", "A 49279-2023")</f>
        <v/>
      </c>
      <c r="X581">
        <f>HYPERLINK("https://klasma.github.io/Logging_2121/tillsyn/A 49279-2023 tillsynsbegäran.docx", "A 49279-2023")</f>
        <v/>
      </c>
      <c r="Y581">
        <f>HYPERLINK("https://klasma.github.io/Logging_2121/tillsynsmail/A 49279-2023 tillsynsbegäran mail.docx", "A 49279-2023")</f>
        <v/>
      </c>
    </row>
    <row r="582" ht="15" customHeight="1">
      <c r="A582" t="inlineStr">
        <is>
          <t>A 49376-2023</t>
        </is>
      </c>
      <c r="B582" s="1" t="n">
        <v>45211</v>
      </c>
      <c r="C582" s="1" t="n">
        <v>45677</v>
      </c>
      <c r="D582" t="inlineStr">
        <is>
          <t>GÄVLEBORGS LÄN</t>
        </is>
      </c>
      <c r="E582" t="inlineStr">
        <is>
          <t>OVANÅKER</t>
        </is>
      </c>
      <c r="F582" t="inlineStr">
        <is>
          <t>Bergvik skog öst AB</t>
        </is>
      </c>
      <c r="G582" t="n">
        <v>9.199999999999999</v>
      </c>
      <c r="H582" t="n">
        <v>0</v>
      </c>
      <c r="I582" t="n">
        <v>0</v>
      </c>
      <c r="J582" t="n">
        <v>1</v>
      </c>
      <c r="K582" t="n">
        <v>0</v>
      </c>
      <c r="L582" t="n">
        <v>0</v>
      </c>
      <c r="M582" t="n">
        <v>0</v>
      </c>
      <c r="N582" t="n">
        <v>0</v>
      </c>
      <c r="O582" t="n">
        <v>1</v>
      </c>
      <c r="P582" t="n">
        <v>0</v>
      </c>
      <c r="Q582" t="n">
        <v>1</v>
      </c>
      <c r="R582" s="2" t="inlineStr">
        <is>
          <t>Dofttaggsvamp</t>
        </is>
      </c>
      <c r="S582">
        <f>HYPERLINK("https://klasma.github.io/Logging_2121/artfynd/A 49376-2023 artfynd.xlsx", "A 49376-2023")</f>
        <v/>
      </c>
      <c r="T582">
        <f>HYPERLINK("https://klasma.github.io/Logging_2121/kartor/A 49376-2023 karta.png", "A 49376-2023")</f>
        <v/>
      </c>
      <c r="V582">
        <f>HYPERLINK("https://klasma.github.io/Logging_2121/klagomål/A 49376-2023 FSC-klagomål.docx", "A 49376-2023")</f>
        <v/>
      </c>
      <c r="W582">
        <f>HYPERLINK("https://klasma.github.io/Logging_2121/klagomålsmail/A 49376-2023 FSC-klagomål mail.docx", "A 49376-2023")</f>
        <v/>
      </c>
      <c r="X582">
        <f>HYPERLINK("https://klasma.github.io/Logging_2121/tillsyn/A 49376-2023 tillsynsbegäran.docx", "A 49376-2023")</f>
        <v/>
      </c>
      <c r="Y582">
        <f>HYPERLINK("https://klasma.github.io/Logging_2121/tillsynsmail/A 49376-2023 tillsynsbegäran mail.docx", "A 49376-2023")</f>
        <v/>
      </c>
    </row>
    <row r="583" ht="15" customHeight="1">
      <c r="A583" t="inlineStr">
        <is>
          <t>A 50257-2023</t>
        </is>
      </c>
      <c r="B583" s="1" t="n">
        <v>45216</v>
      </c>
      <c r="C583" s="1" t="n">
        <v>45677</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50257-2023 artfynd.xlsx", "A 50257-2023")</f>
        <v/>
      </c>
      <c r="T583">
        <f>HYPERLINK("https://klasma.github.io/Logging_2161/kartor/A 50257-2023 karta.png", "A 50257-2023")</f>
        <v/>
      </c>
      <c r="V583">
        <f>HYPERLINK("https://klasma.github.io/Logging_2161/klagomål/A 50257-2023 FSC-klagomål.docx", "A 50257-2023")</f>
        <v/>
      </c>
      <c r="W583">
        <f>HYPERLINK("https://klasma.github.io/Logging_2161/klagomålsmail/A 50257-2023 FSC-klagomål mail.docx", "A 50257-2023")</f>
        <v/>
      </c>
      <c r="X583">
        <f>HYPERLINK("https://klasma.github.io/Logging_2161/tillsyn/A 50257-2023 tillsynsbegäran.docx", "A 50257-2023")</f>
        <v/>
      </c>
      <c r="Y583">
        <f>HYPERLINK("https://klasma.github.io/Logging_2161/tillsynsmail/A 50257-2023 tillsynsbegäran mail.docx", "A 50257-2023")</f>
        <v/>
      </c>
    </row>
    <row r="584" ht="15" customHeight="1">
      <c r="A584" t="inlineStr">
        <is>
          <t>A 50822-2023</t>
        </is>
      </c>
      <c r="B584" s="1" t="n">
        <v>45217</v>
      </c>
      <c r="C584" s="1" t="n">
        <v>45677</v>
      </c>
      <c r="D584" t="inlineStr">
        <is>
          <t>GÄVLEBORGS LÄN</t>
        </is>
      </c>
      <c r="E584" t="inlineStr">
        <is>
          <t>HUDIKSVALL</t>
        </is>
      </c>
      <c r="G584" t="n">
        <v>1.2</v>
      </c>
      <c r="H584" t="n">
        <v>1</v>
      </c>
      <c r="I584" t="n">
        <v>0</v>
      </c>
      <c r="J584" t="n">
        <v>1</v>
      </c>
      <c r="K584" t="n">
        <v>0</v>
      </c>
      <c r="L584" t="n">
        <v>0</v>
      </c>
      <c r="M584" t="n">
        <v>0</v>
      </c>
      <c r="N584" t="n">
        <v>0</v>
      </c>
      <c r="O584" t="n">
        <v>1</v>
      </c>
      <c r="P584" t="n">
        <v>0</v>
      </c>
      <c r="Q584" t="n">
        <v>1</v>
      </c>
      <c r="R584" s="2" t="inlineStr">
        <is>
          <t>Järpe</t>
        </is>
      </c>
      <c r="S584">
        <f>HYPERLINK("https://klasma.github.io/Logging_2184/artfynd/A 50822-2023 artfynd.xlsx", "A 50822-2023")</f>
        <v/>
      </c>
      <c r="T584">
        <f>HYPERLINK("https://klasma.github.io/Logging_2184/kartor/A 50822-2023 karta.png", "A 50822-2023")</f>
        <v/>
      </c>
      <c r="V584">
        <f>HYPERLINK("https://klasma.github.io/Logging_2184/klagomål/A 50822-2023 FSC-klagomål.docx", "A 50822-2023")</f>
        <v/>
      </c>
      <c r="W584">
        <f>HYPERLINK("https://klasma.github.io/Logging_2184/klagomålsmail/A 50822-2023 FSC-klagomål mail.docx", "A 50822-2023")</f>
        <v/>
      </c>
      <c r="X584">
        <f>HYPERLINK("https://klasma.github.io/Logging_2184/tillsyn/A 50822-2023 tillsynsbegäran.docx", "A 50822-2023")</f>
        <v/>
      </c>
      <c r="Y584">
        <f>HYPERLINK("https://klasma.github.io/Logging_2184/tillsynsmail/A 50822-2023 tillsynsbegäran mail.docx", "A 50822-2023")</f>
        <v/>
      </c>
      <c r="Z584">
        <f>HYPERLINK("https://klasma.github.io/Logging_2184/fåglar/A 50822-2023 prioriterade fågelarter.docx", "A 50822-2023")</f>
        <v/>
      </c>
    </row>
    <row r="585" ht="15" customHeight="1">
      <c r="A585" t="inlineStr">
        <is>
          <t>A 51232-2023</t>
        </is>
      </c>
      <c r="B585" s="1" t="n">
        <v>45219</v>
      </c>
      <c r="C585" s="1" t="n">
        <v>45677</v>
      </c>
      <c r="D585" t="inlineStr">
        <is>
          <t>GÄVLEBORGS LÄN</t>
        </is>
      </c>
      <c r="E585" t="inlineStr">
        <is>
          <t>LJUSDAL</t>
        </is>
      </c>
      <c r="F585" t="inlineStr">
        <is>
          <t>Sveaskog</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51232-2023 artfynd.xlsx", "A 51232-2023")</f>
        <v/>
      </c>
      <c r="T585">
        <f>HYPERLINK("https://klasma.github.io/Logging_2161/kartor/A 51232-2023 karta.png", "A 51232-2023")</f>
        <v/>
      </c>
      <c r="V585">
        <f>HYPERLINK("https://klasma.github.io/Logging_2161/klagomål/A 51232-2023 FSC-klagomål.docx", "A 51232-2023")</f>
        <v/>
      </c>
      <c r="W585">
        <f>HYPERLINK("https://klasma.github.io/Logging_2161/klagomålsmail/A 51232-2023 FSC-klagomål mail.docx", "A 51232-2023")</f>
        <v/>
      </c>
      <c r="X585">
        <f>HYPERLINK("https://klasma.github.io/Logging_2161/tillsyn/A 51232-2023 tillsynsbegäran.docx", "A 51232-2023")</f>
        <v/>
      </c>
      <c r="Y585">
        <f>HYPERLINK("https://klasma.github.io/Logging_2161/tillsynsmail/A 51232-2023 tillsynsbegäran mail.docx", "A 51232-2023")</f>
        <v/>
      </c>
    </row>
    <row r="586" ht="15" customHeight="1">
      <c r="A586" t="inlineStr">
        <is>
          <t>A 51498-2023</t>
        </is>
      </c>
      <c r="B586" s="1" t="n">
        <v>45222</v>
      </c>
      <c r="C586" s="1" t="n">
        <v>45677</v>
      </c>
      <c r="D586" t="inlineStr">
        <is>
          <t>GÄVLEBORGS LÄN</t>
        </is>
      </c>
      <c r="E586" t="inlineStr">
        <is>
          <t>LJUSDAL</t>
        </is>
      </c>
      <c r="G586" t="n">
        <v>4.9</v>
      </c>
      <c r="H586" t="n">
        <v>1</v>
      </c>
      <c r="I586" t="n">
        <v>1</v>
      </c>
      <c r="J586" t="n">
        <v>0</v>
      </c>
      <c r="K586" t="n">
        <v>0</v>
      </c>
      <c r="L586" t="n">
        <v>0</v>
      </c>
      <c r="M586" t="n">
        <v>0</v>
      </c>
      <c r="N586" t="n">
        <v>0</v>
      </c>
      <c r="O586" t="n">
        <v>0</v>
      </c>
      <c r="P586" t="n">
        <v>0</v>
      </c>
      <c r="Q586" t="n">
        <v>1</v>
      </c>
      <c r="R586" s="2" t="inlineStr">
        <is>
          <t>Tvåblad</t>
        </is>
      </c>
      <c r="S586">
        <f>HYPERLINK("https://klasma.github.io/Logging_2161/artfynd/A 51498-2023 artfynd.xlsx", "A 51498-2023")</f>
        <v/>
      </c>
      <c r="T586">
        <f>HYPERLINK("https://klasma.github.io/Logging_2161/kartor/A 51498-2023 karta.png", "A 51498-2023")</f>
        <v/>
      </c>
      <c r="V586">
        <f>HYPERLINK("https://klasma.github.io/Logging_2161/klagomål/A 51498-2023 FSC-klagomål.docx", "A 51498-2023")</f>
        <v/>
      </c>
      <c r="W586">
        <f>HYPERLINK("https://klasma.github.io/Logging_2161/klagomålsmail/A 51498-2023 FSC-klagomål mail.docx", "A 51498-2023")</f>
        <v/>
      </c>
      <c r="X586">
        <f>HYPERLINK("https://klasma.github.io/Logging_2161/tillsyn/A 51498-2023 tillsynsbegäran.docx", "A 51498-2023")</f>
        <v/>
      </c>
      <c r="Y586">
        <f>HYPERLINK("https://klasma.github.io/Logging_2161/tillsynsmail/A 51498-2023 tillsynsbegäran mail.docx", "A 51498-2023")</f>
        <v/>
      </c>
    </row>
    <row r="587" ht="15" customHeight="1">
      <c r="A587" t="inlineStr">
        <is>
          <t>A 51550-2023</t>
        </is>
      </c>
      <c r="B587" s="1" t="n">
        <v>45222</v>
      </c>
      <c r="C587" s="1" t="n">
        <v>45677</v>
      </c>
      <c r="D587" t="inlineStr">
        <is>
          <t>GÄVLEBORGS LÄN</t>
        </is>
      </c>
      <c r="E587" t="inlineStr">
        <is>
          <t>GÄVLE</t>
        </is>
      </c>
      <c r="F587" t="inlineStr">
        <is>
          <t>Bergvik skog öst AB</t>
        </is>
      </c>
      <c r="G587" t="n">
        <v>16.4</v>
      </c>
      <c r="H587" t="n">
        <v>1</v>
      </c>
      <c r="I587" t="n">
        <v>0</v>
      </c>
      <c r="J587" t="n">
        <v>0</v>
      </c>
      <c r="K587" t="n">
        <v>0</v>
      </c>
      <c r="L587" t="n">
        <v>0</v>
      </c>
      <c r="M587" t="n">
        <v>0</v>
      </c>
      <c r="N587" t="n">
        <v>0</v>
      </c>
      <c r="O587" t="n">
        <v>0</v>
      </c>
      <c r="P587" t="n">
        <v>0</v>
      </c>
      <c r="Q587" t="n">
        <v>1</v>
      </c>
      <c r="R587" s="2" t="inlineStr">
        <is>
          <t>Revlummer</t>
        </is>
      </c>
      <c r="S587">
        <f>HYPERLINK("https://klasma.github.io/Logging_2180/artfynd/A 51550-2023 artfynd.xlsx", "A 51550-2023")</f>
        <v/>
      </c>
      <c r="T587">
        <f>HYPERLINK("https://klasma.github.io/Logging_2180/kartor/A 51550-2023 karta.png", "A 51550-2023")</f>
        <v/>
      </c>
      <c r="V587">
        <f>HYPERLINK("https://klasma.github.io/Logging_2180/klagomål/A 51550-2023 FSC-klagomål.docx", "A 51550-2023")</f>
        <v/>
      </c>
      <c r="W587">
        <f>HYPERLINK("https://klasma.github.io/Logging_2180/klagomålsmail/A 51550-2023 FSC-klagomål mail.docx", "A 51550-2023")</f>
        <v/>
      </c>
      <c r="X587">
        <f>HYPERLINK("https://klasma.github.io/Logging_2180/tillsyn/A 51550-2023 tillsynsbegäran.docx", "A 51550-2023")</f>
        <v/>
      </c>
      <c r="Y587">
        <f>HYPERLINK("https://klasma.github.io/Logging_2180/tillsynsmail/A 51550-2023 tillsynsbegäran mail.docx", "A 51550-2023")</f>
        <v/>
      </c>
    </row>
    <row r="588" ht="15" customHeight="1">
      <c r="A588" t="inlineStr">
        <is>
          <t>A 52822-2023</t>
        </is>
      </c>
      <c r="B588" s="1" t="n">
        <v>45226</v>
      </c>
      <c r="C588" s="1" t="n">
        <v>45677</v>
      </c>
      <c r="D588" t="inlineStr">
        <is>
          <t>GÄVLEBORGS LÄN</t>
        </is>
      </c>
      <c r="E588" t="inlineStr">
        <is>
          <t>OCKELBO</t>
        </is>
      </c>
      <c r="F588" t="inlineStr">
        <is>
          <t>Bergvik skog väst AB</t>
        </is>
      </c>
      <c r="G588" t="n">
        <v>5.6</v>
      </c>
      <c r="H588" t="n">
        <v>1</v>
      </c>
      <c r="I588" t="n">
        <v>0</v>
      </c>
      <c r="J588" t="n">
        <v>0</v>
      </c>
      <c r="K588" t="n">
        <v>0</v>
      </c>
      <c r="L588" t="n">
        <v>0</v>
      </c>
      <c r="M588" t="n">
        <v>0</v>
      </c>
      <c r="N588" t="n">
        <v>0</v>
      </c>
      <c r="O588" t="n">
        <v>0</v>
      </c>
      <c r="P588" t="n">
        <v>0</v>
      </c>
      <c r="Q588" t="n">
        <v>1</v>
      </c>
      <c r="R588" s="2" t="inlineStr">
        <is>
          <t>Pärluggla</t>
        </is>
      </c>
      <c r="S588">
        <f>HYPERLINK("https://klasma.github.io/Logging_2101/artfynd/A 52822-2023 artfynd.xlsx", "A 52822-2023")</f>
        <v/>
      </c>
      <c r="T588">
        <f>HYPERLINK("https://klasma.github.io/Logging_2101/kartor/A 52822-2023 karta.png", "A 52822-2023")</f>
        <v/>
      </c>
      <c r="V588">
        <f>HYPERLINK("https://klasma.github.io/Logging_2101/klagomål/A 52822-2023 FSC-klagomål.docx", "A 52822-2023")</f>
        <v/>
      </c>
      <c r="W588">
        <f>HYPERLINK("https://klasma.github.io/Logging_2101/klagomålsmail/A 52822-2023 FSC-klagomål mail.docx", "A 52822-2023")</f>
        <v/>
      </c>
      <c r="X588">
        <f>HYPERLINK("https://klasma.github.io/Logging_2101/tillsyn/A 52822-2023 tillsynsbegäran.docx", "A 52822-2023")</f>
        <v/>
      </c>
      <c r="Y588">
        <f>HYPERLINK("https://klasma.github.io/Logging_2101/tillsynsmail/A 52822-2023 tillsynsbegäran mail.docx", "A 52822-2023")</f>
        <v/>
      </c>
      <c r="Z588">
        <f>HYPERLINK("https://klasma.github.io/Logging_2101/fåglar/A 52822-2023 prioriterade fågelarter.docx", "A 52822-2023")</f>
        <v/>
      </c>
    </row>
    <row r="589" ht="15" customHeight="1">
      <c r="A589" t="inlineStr">
        <is>
          <t>A 53286-2023</t>
        </is>
      </c>
      <c r="B589" s="1" t="n">
        <v>45229</v>
      </c>
      <c r="C589" s="1" t="n">
        <v>45677</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53392-2023</t>
        </is>
      </c>
      <c r="B590" s="1" t="n">
        <v>45229</v>
      </c>
      <c r="C590" s="1" t="n">
        <v>45677</v>
      </c>
      <c r="D590" t="inlineStr">
        <is>
          <t>GÄVLEBORGS LÄN</t>
        </is>
      </c>
      <c r="E590" t="inlineStr">
        <is>
          <t>NORDANSTIG</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HYPERLINK("https://klasma.github.io/Logging_2132/artfynd/A 53392-2023 artfynd.xlsx", "A 53392-2023")</f>
        <v/>
      </c>
      <c r="T590">
        <f>HYPERLINK("https://klasma.github.io/Logging_2132/kartor/A 53392-2023 karta.png", "A 53392-2023")</f>
        <v/>
      </c>
      <c r="V590">
        <f>HYPERLINK("https://klasma.github.io/Logging_2132/klagomål/A 53392-2023 FSC-klagomål.docx", "A 53392-2023")</f>
        <v/>
      </c>
      <c r="W590">
        <f>HYPERLINK("https://klasma.github.io/Logging_2132/klagomålsmail/A 53392-2023 FSC-klagomål mail.docx", "A 53392-2023")</f>
        <v/>
      </c>
      <c r="X590">
        <f>HYPERLINK("https://klasma.github.io/Logging_2132/tillsyn/A 53392-2023 tillsynsbegäran.docx", "A 53392-2023")</f>
        <v/>
      </c>
      <c r="Y590">
        <f>HYPERLINK("https://klasma.github.io/Logging_2132/tillsynsmail/A 53392-2023 tillsynsbegäran mail.docx", "A 53392-2023")</f>
        <v/>
      </c>
    </row>
    <row r="591" ht="15" customHeight="1">
      <c r="A591" t="inlineStr">
        <is>
          <t>A 53460-2023</t>
        </is>
      </c>
      <c r="B591" s="1" t="n">
        <v>45230</v>
      </c>
      <c r="C591" s="1" t="n">
        <v>45677</v>
      </c>
      <c r="D591" t="inlineStr">
        <is>
          <t>GÄVLEBORGS LÄN</t>
        </is>
      </c>
      <c r="E591" t="inlineStr">
        <is>
          <t>HUDIKSVALL</t>
        </is>
      </c>
      <c r="G591" t="n">
        <v>1.6</v>
      </c>
      <c r="H591" t="n">
        <v>0</v>
      </c>
      <c r="I591" t="n">
        <v>0</v>
      </c>
      <c r="J591" t="n">
        <v>1</v>
      </c>
      <c r="K591" t="n">
        <v>0</v>
      </c>
      <c r="L591" t="n">
        <v>0</v>
      </c>
      <c r="M591" t="n">
        <v>0</v>
      </c>
      <c r="N591" t="n">
        <v>0</v>
      </c>
      <c r="O591" t="n">
        <v>1</v>
      </c>
      <c r="P591" t="n">
        <v>0</v>
      </c>
      <c r="Q591" t="n">
        <v>1</v>
      </c>
      <c r="R591" s="2" t="inlineStr">
        <is>
          <t>Lunglav</t>
        </is>
      </c>
      <c r="S591">
        <f>HYPERLINK("https://klasma.github.io/Logging_2184/artfynd/A 53460-2023 artfynd.xlsx", "A 53460-2023")</f>
        <v/>
      </c>
      <c r="T591">
        <f>HYPERLINK("https://klasma.github.io/Logging_2184/kartor/A 53460-2023 karta.png", "A 53460-2023")</f>
        <v/>
      </c>
      <c r="V591">
        <f>HYPERLINK("https://klasma.github.io/Logging_2184/klagomål/A 53460-2023 FSC-klagomål.docx", "A 53460-2023")</f>
        <v/>
      </c>
      <c r="W591">
        <f>HYPERLINK("https://klasma.github.io/Logging_2184/klagomålsmail/A 53460-2023 FSC-klagomål mail.docx", "A 53460-2023")</f>
        <v/>
      </c>
      <c r="X591">
        <f>HYPERLINK("https://klasma.github.io/Logging_2184/tillsyn/A 53460-2023 tillsynsbegäran.docx", "A 53460-2023")</f>
        <v/>
      </c>
      <c r="Y591">
        <f>HYPERLINK("https://klasma.github.io/Logging_2184/tillsynsmail/A 53460-2023 tillsynsbegäran mail.docx", "A 53460-2023")</f>
        <v/>
      </c>
    </row>
    <row r="592" ht="15" customHeight="1">
      <c r="A592" t="inlineStr">
        <is>
          <t>A 53858-2023</t>
        </is>
      </c>
      <c r="B592" s="1" t="n">
        <v>45231</v>
      </c>
      <c r="C592" s="1" t="n">
        <v>45677</v>
      </c>
      <c r="D592" t="inlineStr">
        <is>
          <t>GÄVLEBORGS LÄN</t>
        </is>
      </c>
      <c r="E592" t="inlineStr">
        <is>
          <t>LJUSDAL</t>
        </is>
      </c>
      <c r="F592" t="inlineStr">
        <is>
          <t>Allmännings- och besparingsskogar</t>
        </is>
      </c>
      <c r="G592" t="n">
        <v>2.3</v>
      </c>
      <c r="H592" t="n">
        <v>1</v>
      </c>
      <c r="I592" t="n">
        <v>0</v>
      </c>
      <c r="J592" t="n">
        <v>0</v>
      </c>
      <c r="K592" t="n">
        <v>1</v>
      </c>
      <c r="L592" t="n">
        <v>0</v>
      </c>
      <c r="M592" t="n">
        <v>0</v>
      </c>
      <c r="N592" t="n">
        <v>0</v>
      </c>
      <c r="O592" t="n">
        <v>1</v>
      </c>
      <c r="P592" t="n">
        <v>1</v>
      </c>
      <c r="Q592" t="n">
        <v>1</v>
      </c>
      <c r="R592" s="2" t="inlineStr">
        <is>
          <t>Mellanlummer</t>
        </is>
      </c>
      <c r="S592">
        <f>HYPERLINK("https://klasma.github.io/Logging_2161/artfynd/A 53858-2023 artfynd.xlsx", "A 53858-2023")</f>
        <v/>
      </c>
      <c r="T592">
        <f>HYPERLINK("https://klasma.github.io/Logging_2161/kartor/A 53858-2023 karta.png", "A 53858-2023")</f>
        <v/>
      </c>
      <c r="V592">
        <f>HYPERLINK("https://klasma.github.io/Logging_2161/klagomål/A 53858-2023 FSC-klagomål.docx", "A 53858-2023")</f>
        <v/>
      </c>
      <c r="W592">
        <f>HYPERLINK("https://klasma.github.io/Logging_2161/klagomålsmail/A 53858-2023 FSC-klagomål mail.docx", "A 53858-2023")</f>
        <v/>
      </c>
      <c r="X592">
        <f>HYPERLINK("https://klasma.github.io/Logging_2161/tillsyn/A 53858-2023 tillsynsbegäran.docx", "A 53858-2023")</f>
        <v/>
      </c>
      <c r="Y592">
        <f>HYPERLINK("https://klasma.github.io/Logging_2161/tillsynsmail/A 53858-2023 tillsynsbegäran mail.docx", "A 53858-2023")</f>
        <v/>
      </c>
    </row>
    <row r="593" ht="15" customHeight="1">
      <c r="A593" t="inlineStr">
        <is>
          <t>A 57279-2023</t>
        </is>
      </c>
      <c r="B593" s="1" t="n">
        <v>45239</v>
      </c>
      <c r="C593" s="1" t="n">
        <v>45677</v>
      </c>
      <c r="D593" t="inlineStr">
        <is>
          <t>GÄVLEBORGS LÄN</t>
        </is>
      </c>
      <c r="E593" t="inlineStr">
        <is>
          <t>BOLLNÄS</t>
        </is>
      </c>
      <c r="F593" t="inlineStr">
        <is>
          <t>Kommuner</t>
        </is>
      </c>
      <c r="G593" t="n">
        <v>3.2</v>
      </c>
      <c r="H593" t="n">
        <v>0</v>
      </c>
      <c r="I593" t="n">
        <v>0</v>
      </c>
      <c r="J593" t="n">
        <v>1</v>
      </c>
      <c r="K593" t="n">
        <v>0</v>
      </c>
      <c r="L593" t="n">
        <v>0</v>
      </c>
      <c r="M593" t="n">
        <v>0</v>
      </c>
      <c r="N593" t="n">
        <v>0</v>
      </c>
      <c r="O593" t="n">
        <v>1</v>
      </c>
      <c r="P593" t="n">
        <v>0</v>
      </c>
      <c r="Q593" t="n">
        <v>1</v>
      </c>
      <c r="R593" s="2" t="inlineStr">
        <is>
          <t>Rosenticka</t>
        </is>
      </c>
      <c r="S593">
        <f>HYPERLINK("https://klasma.github.io/Logging_2183/artfynd/A 57279-2023 artfynd.xlsx", "A 57279-2023")</f>
        <v/>
      </c>
      <c r="T593">
        <f>HYPERLINK("https://klasma.github.io/Logging_2183/kartor/A 57279-2023 karta.png", "A 57279-2023")</f>
        <v/>
      </c>
      <c r="V593">
        <f>HYPERLINK("https://klasma.github.io/Logging_2183/klagomål/A 57279-2023 FSC-klagomål.docx", "A 57279-2023")</f>
        <v/>
      </c>
      <c r="W593">
        <f>HYPERLINK("https://klasma.github.io/Logging_2183/klagomålsmail/A 57279-2023 FSC-klagomål mail.docx", "A 57279-2023")</f>
        <v/>
      </c>
      <c r="X593">
        <f>HYPERLINK("https://klasma.github.io/Logging_2183/tillsyn/A 57279-2023 tillsynsbegäran.docx", "A 57279-2023")</f>
        <v/>
      </c>
      <c r="Y593">
        <f>HYPERLINK("https://klasma.github.io/Logging_2183/tillsynsmail/A 57279-2023 tillsynsbegäran mail.docx", "A 57279-2023")</f>
        <v/>
      </c>
    </row>
    <row r="594" ht="15" customHeight="1">
      <c r="A594" t="inlineStr">
        <is>
          <t>A 56368-2023</t>
        </is>
      </c>
      <c r="B594" s="1" t="n">
        <v>45243</v>
      </c>
      <c r="C594" s="1" t="n">
        <v>45677</v>
      </c>
      <c r="D594" t="inlineStr">
        <is>
          <t>GÄVLEBORGS LÄN</t>
        </is>
      </c>
      <c r="E594" t="inlineStr">
        <is>
          <t>GÄVLE</t>
        </is>
      </c>
      <c r="G594" t="n">
        <v>10.8</v>
      </c>
      <c r="H594" t="n">
        <v>1</v>
      </c>
      <c r="I594" t="n">
        <v>0</v>
      </c>
      <c r="J594" t="n">
        <v>0</v>
      </c>
      <c r="K594" t="n">
        <v>1</v>
      </c>
      <c r="L594" t="n">
        <v>0</v>
      </c>
      <c r="M594" t="n">
        <v>0</v>
      </c>
      <c r="N594" t="n">
        <v>0</v>
      </c>
      <c r="O594" t="n">
        <v>1</v>
      </c>
      <c r="P594" t="n">
        <v>1</v>
      </c>
      <c r="Q594" t="n">
        <v>1</v>
      </c>
      <c r="R594" s="2" t="inlineStr">
        <is>
          <t>Knärot</t>
        </is>
      </c>
      <c r="S594">
        <f>HYPERLINK("https://klasma.github.io/Logging_2180/artfynd/A 56368-2023 artfynd.xlsx", "A 56368-2023")</f>
        <v/>
      </c>
      <c r="T594">
        <f>HYPERLINK("https://klasma.github.io/Logging_2180/kartor/A 56368-2023 karta.png", "A 56368-2023")</f>
        <v/>
      </c>
      <c r="U594">
        <f>HYPERLINK("https://klasma.github.io/Logging_2180/knärot/A 56368-2023 karta knärot.png", "A 56368-2023")</f>
        <v/>
      </c>
      <c r="V594">
        <f>HYPERLINK("https://klasma.github.io/Logging_2180/klagomål/A 56368-2023 FSC-klagomål.docx", "A 56368-2023")</f>
        <v/>
      </c>
      <c r="W594">
        <f>HYPERLINK("https://klasma.github.io/Logging_2180/klagomålsmail/A 56368-2023 FSC-klagomål mail.docx", "A 56368-2023")</f>
        <v/>
      </c>
      <c r="X594">
        <f>HYPERLINK("https://klasma.github.io/Logging_2180/tillsyn/A 56368-2023 tillsynsbegäran.docx", "A 56368-2023")</f>
        <v/>
      </c>
      <c r="Y594">
        <f>HYPERLINK("https://klasma.github.io/Logging_2180/tillsynsmail/A 56368-2023 tillsynsbegäran mail.docx", "A 56368-2023")</f>
        <v/>
      </c>
    </row>
    <row r="595" ht="15" customHeight="1">
      <c r="A595" t="inlineStr">
        <is>
          <t>A 56782-2023</t>
        </is>
      </c>
      <c r="B595" s="1" t="n">
        <v>45244</v>
      </c>
      <c r="C595" s="1" t="n">
        <v>45677</v>
      </c>
      <c r="D595" t="inlineStr">
        <is>
          <t>GÄVLEBORGS LÄN</t>
        </is>
      </c>
      <c r="E595" t="inlineStr">
        <is>
          <t>LJUSDAL</t>
        </is>
      </c>
      <c r="F595" t="inlineStr">
        <is>
          <t>Sveaskog</t>
        </is>
      </c>
      <c r="G595" t="n">
        <v>0.8</v>
      </c>
      <c r="H595" t="n">
        <v>1</v>
      </c>
      <c r="I595" t="n">
        <v>0</v>
      </c>
      <c r="J595" t="n">
        <v>1</v>
      </c>
      <c r="K595" t="n">
        <v>0</v>
      </c>
      <c r="L595" t="n">
        <v>0</v>
      </c>
      <c r="M595" t="n">
        <v>0</v>
      </c>
      <c r="N595" t="n">
        <v>0</v>
      </c>
      <c r="O595" t="n">
        <v>1</v>
      </c>
      <c r="P595" t="n">
        <v>0</v>
      </c>
      <c r="Q595" t="n">
        <v>1</v>
      </c>
      <c r="R595" s="2" t="inlineStr">
        <is>
          <t>Järpe</t>
        </is>
      </c>
      <c r="S595">
        <f>HYPERLINK("https://klasma.github.io/Logging_2161/artfynd/A 56782-2023 artfynd.xlsx", "A 56782-2023")</f>
        <v/>
      </c>
      <c r="T595">
        <f>HYPERLINK("https://klasma.github.io/Logging_2161/kartor/A 56782-2023 karta.png", "A 56782-2023")</f>
        <v/>
      </c>
      <c r="U595">
        <f>HYPERLINK("https://klasma.github.io/Logging_2161/knärot/A 56782-2023 karta knärot.png", "A 56782-2023")</f>
        <v/>
      </c>
      <c r="V595">
        <f>HYPERLINK("https://klasma.github.io/Logging_2161/klagomål/A 56782-2023 FSC-klagomål.docx", "A 56782-2023")</f>
        <v/>
      </c>
      <c r="W595">
        <f>HYPERLINK("https://klasma.github.io/Logging_2161/klagomålsmail/A 56782-2023 FSC-klagomål mail.docx", "A 56782-2023")</f>
        <v/>
      </c>
      <c r="X595">
        <f>HYPERLINK("https://klasma.github.io/Logging_2161/tillsyn/A 56782-2023 tillsynsbegäran.docx", "A 56782-2023")</f>
        <v/>
      </c>
      <c r="Y595">
        <f>HYPERLINK("https://klasma.github.io/Logging_2161/tillsynsmail/A 56782-2023 tillsynsbegäran mail.docx", "A 56782-2023")</f>
        <v/>
      </c>
      <c r="Z595">
        <f>HYPERLINK("https://klasma.github.io/Logging_2161/fåglar/A 56782-2023 prioriterade fågelarter.docx", "A 56782-2023")</f>
        <v/>
      </c>
    </row>
    <row r="596" ht="15" customHeight="1">
      <c r="A596" t="inlineStr">
        <is>
          <t>A 57086-2023</t>
        </is>
      </c>
      <c r="B596" s="1" t="n">
        <v>45245</v>
      </c>
      <c r="C596" s="1" t="n">
        <v>45677</v>
      </c>
      <c r="D596" t="inlineStr">
        <is>
          <t>GÄVLEBORGS LÄN</t>
        </is>
      </c>
      <c r="E596" t="inlineStr">
        <is>
          <t>SANDVIKEN</t>
        </is>
      </c>
      <c r="F596" t="inlineStr">
        <is>
          <t>Bergvik skog öst AB</t>
        </is>
      </c>
      <c r="G596" t="n">
        <v>6.9</v>
      </c>
      <c r="H596" t="n">
        <v>1</v>
      </c>
      <c r="I596" t="n">
        <v>0</v>
      </c>
      <c r="J596" t="n">
        <v>0</v>
      </c>
      <c r="K596" t="n">
        <v>0</v>
      </c>
      <c r="L596" t="n">
        <v>0</v>
      </c>
      <c r="M596" t="n">
        <v>0</v>
      </c>
      <c r="N596" t="n">
        <v>0</v>
      </c>
      <c r="O596" t="n">
        <v>0</v>
      </c>
      <c r="P596" t="n">
        <v>0</v>
      </c>
      <c r="Q596" t="n">
        <v>1</v>
      </c>
      <c r="R596" s="2" t="inlineStr">
        <is>
          <t>Blåsippa</t>
        </is>
      </c>
      <c r="S596">
        <f>HYPERLINK("https://klasma.github.io/Logging_2181/artfynd/A 57086-2023 artfynd.xlsx", "A 57086-2023")</f>
        <v/>
      </c>
      <c r="T596">
        <f>HYPERLINK("https://klasma.github.io/Logging_2181/kartor/A 57086-2023 karta.png", "A 57086-2023")</f>
        <v/>
      </c>
      <c r="V596">
        <f>HYPERLINK("https://klasma.github.io/Logging_2181/klagomål/A 57086-2023 FSC-klagomål.docx", "A 57086-2023")</f>
        <v/>
      </c>
      <c r="W596">
        <f>HYPERLINK("https://klasma.github.io/Logging_2181/klagomålsmail/A 57086-2023 FSC-klagomål mail.docx", "A 57086-2023")</f>
        <v/>
      </c>
      <c r="X596">
        <f>HYPERLINK("https://klasma.github.io/Logging_2181/tillsyn/A 57086-2023 tillsynsbegäran.docx", "A 57086-2023")</f>
        <v/>
      </c>
      <c r="Y596">
        <f>HYPERLINK("https://klasma.github.io/Logging_2181/tillsynsmail/A 57086-2023 tillsynsbegäran mail.docx", "A 57086-2023")</f>
        <v/>
      </c>
    </row>
    <row r="597" ht="15" customHeight="1">
      <c r="A597" t="inlineStr">
        <is>
          <t>A 57946-2023</t>
        </is>
      </c>
      <c r="B597" s="1" t="n">
        <v>45247</v>
      </c>
      <c r="C597" s="1" t="n">
        <v>45677</v>
      </c>
      <c r="D597" t="inlineStr">
        <is>
          <t>GÄVLEBORGS LÄN</t>
        </is>
      </c>
      <c r="E597" t="inlineStr">
        <is>
          <t>OCKELBO</t>
        </is>
      </c>
      <c r="F597" t="inlineStr">
        <is>
          <t>Bergvik skog väst AB</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HYPERLINK("https://klasma.github.io/Logging_2101/artfynd/A 57946-2023 artfynd.xlsx", "A 57946-2023")</f>
        <v/>
      </c>
      <c r="T597">
        <f>HYPERLINK("https://klasma.github.io/Logging_2101/kartor/A 57946-2023 karta.png", "A 57946-2023")</f>
        <v/>
      </c>
      <c r="V597">
        <f>HYPERLINK("https://klasma.github.io/Logging_2101/klagomål/A 57946-2023 FSC-klagomål.docx", "A 57946-2023")</f>
        <v/>
      </c>
      <c r="W597">
        <f>HYPERLINK("https://klasma.github.io/Logging_2101/klagomålsmail/A 57946-2023 FSC-klagomål mail.docx", "A 57946-2023")</f>
        <v/>
      </c>
      <c r="X597">
        <f>HYPERLINK("https://klasma.github.io/Logging_2101/tillsyn/A 57946-2023 tillsynsbegäran.docx", "A 57946-2023")</f>
        <v/>
      </c>
      <c r="Y597">
        <f>HYPERLINK("https://klasma.github.io/Logging_2101/tillsynsmail/A 57946-2023 tillsynsbegäran mail.docx", "A 57946-2023")</f>
        <v/>
      </c>
    </row>
    <row r="598" ht="15" customHeight="1">
      <c r="A598" t="inlineStr">
        <is>
          <t>A 57901-2023</t>
        </is>
      </c>
      <c r="B598" s="1" t="n">
        <v>45247</v>
      </c>
      <c r="C598" s="1" t="n">
        <v>45677</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HYPERLINK("https://klasma.github.io/Logging_2101/artfynd/A 57901-2023 artfynd.xlsx", "A 57901-2023")</f>
        <v/>
      </c>
      <c r="T598">
        <f>HYPERLINK("https://klasma.github.io/Logging_2101/kartor/A 57901-2023 karta.png", "A 57901-2023")</f>
        <v/>
      </c>
      <c r="V598">
        <f>HYPERLINK("https://klasma.github.io/Logging_2101/klagomål/A 57901-2023 FSC-klagomål.docx", "A 57901-2023")</f>
        <v/>
      </c>
      <c r="W598">
        <f>HYPERLINK("https://klasma.github.io/Logging_2101/klagomålsmail/A 57901-2023 FSC-klagomål mail.docx", "A 57901-2023")</f>
        <v/>
      </c>
      <c r="X598">
        <f>HYPERLINK("https://klasma.github.io/Logging_2101/tillsyn/A 57901-2023 tillsynsbegäran.docx", "A 57901-2023")</f>
        <v/>
      </c>
      <c r="Y598">
        <f>HYPERLINK("https://klasma.github.io/Logging_2101/tillsynsmail/A 57901-2023 tillsynsbegäran mail.docx", "A 57901-2023")</f>
        <v/>
      </c>
    </row>
    <row r="599" ht="15" customHeight="1">
      <c r="A599" t="inlineStr">
        <is>
          <t>A 58785-2023</t>
        </is>
      </c>
      <c r="B599" s="1" t="n">
        <v>45252</v>
      </c>
      <c r="C599" s="1" t="n">
        <v>45677</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58785-2023 artfynd.xlsx", "A 58785-2023")</f>
        <v/>
      </c>
      <c r="T599">
        <f>HYPERLINK("https://klasma.github.io/Logging_2181/kartor/A 58785-2023 karta.png", "A 58785-2023")</f>
        <v/>
      </c>
      <c r="V599">
        <f>HYPERLINK("https://klasma.github.io/Logging_2181/klagomål/A 58785-2023 FSC-klagomål.docx", "A 58785-2023")</f>
        <v/>
      </c>
      <c r="W599">
        <f>HYPERLINK("https://klasma.github.io/Logging_2181/klagomålsmail/A 58785-2023 FSC-klagomål mail.docx", "A 58785-2023")</f>
        <v/>
      </c>
      <c r="X599">
        <f>HYPERLINK("https://klasma.github.io/Logging_2181/tillsyn/A 58785-2023 tillsynsbegäran.docx", "A 58785-2023")</f>
        <v/>
      </c>
      <c r="Y599">
        <f>HYPERLINK("https://klasma.github.io/Logging_2181/tillsynsmail/A 58785-2023 tillsynsbegäran mail.docx", "A 58785-2023")</f>
        <v/>
      </c>
    </row>
    <row r="600" ht="15" customHeight="1">
      <c r="A600" t="inlineStr">
        <is>
          <t>A 58845-2023</t>
        </is>
      </c>
      <c r="B600" s="1" t="n">
        <v>45252</v>
      </c>
      <c r="C600" s="1" t="n">
        <v>45677</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60157-2023</t>
        </is>
      </c>
      <c r="B601" s="1" t="n">
        <v>45258</v>
      </c>
      <c r="C601" s="1" t="n">
        <v>45677</v>
      </c>
      <c r="D601" t="inlineStr">
        <is>
          <t>GÄVLEBORGS LÄN</t>
        </is>
      </c>
      <c r="E601" t="inlineStr">
        <is>
          <t>NORDANSTIG</t>
        </is>
      </c>
      <c r="G601" t="n">
        <v>3.9</v>
      </c>
      <c r="H601" t="n">
        <v>1</v>
      </c>
      <c r="I601" t="n">
        <v>0</v>
      </c>
      <c r="J601" t="n">
        <v>0</v>
      </c>
      <c r="K601" t="n">
        <v>0</v>
      </c>
      <c r="L601" t="n">
        <v>1</v>
      </c>
      <c r="M601" t="n">
        <v>0</v>
      </c>
      <c r="N601" t="n">
        <v>0</v>
      </c>
      <c r="O601" t="n">
        <v>1</v>
      </c>
      <c r="P601" t="n">
        <v>1</v>
      </c>
      <c r="Q601" t="n">
        <v>1</v>
      </c>
      <c r="R601" s="2" t="inlineStr">
        <is>
          <t>Bredgentiana</t>
        </is>
      </c>
      <c r="S601">
        <f>HYPERLINK("https://klasma.github.io/Logging_2132/artfynd/A 60157-2023 artfynd.xlsx", "A 60157-2023")</f>
        <v/>
      </c>
      <c r="T601">
        <f>HYPERLINK("https://klasma.github.io/Logging_2132/kartor/A 60157-2023 karta.png", "A 60157-2023")</f>
        <v/>
      </c>
      <c r="V601">
        <f>HYPERLINK("https://klasma.github.io/Logging_2132/klagomål/A 60157-2023 FSC-klagomål.docx", "A 60157-2023")</f>
        <v/>
      </c>
      <c r="W601">
        <f>HYPERLINK("https://klasma.github.io/Logging_2132/klagomålsmail/A 60157-2023 FSC-klagomål mail.docx", "A 60157-2023")</f>
        <v/>
      </c>
      <c r="X601">
        <f>HYPERLINK("https://klasma.github.io/Logging_2132/tillsyn/A 60157-2023 tillsynsbegäran.docx", "A 60157-2023")</f>
        <v/>
      </c>
      <c r="Y601">
        <f>HYPERLINK("https://klasma.github.io/Logging_2132/tillsynsmail/A 60157-2023 tillsynsbegäran mail.docx", "A 60157-2023")</f>
        <v/>
      </c>
    </row>
    <row r="602" ht="15" customHeight="1">
      <c r="A602" t="inlineStr">
        <is>
          <t>A 63166-2023</t>
        </is>
      </c>
      <c r="B602" s="1" t="n">
        <v>45273</v>
      </c>
      <c r="C602" s="1" t="n">
        <v>45677</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64328-2023</t>
        </is>
      </c>
      <c r="B603" s="1" t="n">
        <v>45280</v>
      </c>
      <c r="C603" s="1" t="n">
        <v>45677</v>
      </c>
      <c r="D603" t="inlineStr">
        <is>
          <t>GÄVLEBORGS LÄN</t>
        </is>
      </c>
      <c r="E603" t="inlineStr">
        <is>
          <t>OVANÅKER</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HYPERLINK("https://klasma.github.io/Logging_2121/artfynd/A 64328-2023 artfynd.xlsx", "A 64328-2023")</f>
        <v/>
      </c>
      <c r="T603">
        <f>HYPERLINK("https://klasma.github.io/Logging_2121/kartor/A 64328-2023 karta.png", "A 64328-2023")</f>
        <v/>
      </c>
      <c r="V603">
        <f>HYPERLINK("https://klasma.github.io/Logging_2121/klagomål/A 64328-2023 FSC-klagomål.docx", "A 64328-2023")</f>
        <v/>
      </c>
      <c r="W603">
        <f>HYPERLINK("https://klasma.github.io/Logging_2121/klagomålsmail/A 64328-2023 FSC-klagomål mail.docx", "A 64328-2023")</f>
        <v/>
      </c>
      <c r="X603">
        <f>HYPERLINK("https://klasma.github.io/Logging_2121/tillsyn/A 64328-2023 tillsynsbegäran.docx", "A 64328-2023")</f>
        <v/>
      </c>
      <c r="Y603">
        <f>HYPERLINK("https://klasma.github.io/Logging_2121/tillsynsmail/A 64328-2023 tillsynsbegäran mail.docx", "A 64328-2023")</f>
        <v/>
      </c>
    </row>
    <row r="604" ht="15" customHeight="1">
      <c r="A604" t="inlineStr">
        <is>
          <t>A 109-2024</t>
        </is>
      </c>
      <c r="B604" s="1" t="n">
        <v>45294</v>
      </c>
      <c r="C604" s="1" t="n">
        <v>45677</v>
      </c>
      <c r="D604" t="inlineStr">
        <is>
          <t>GÄVLEBORGS LÄN</t>
        </is>
      </c>
      <c r="E604" t="inlineStr">
        <is>
          <t>HUDIKSVALL</t>
        </is>
      </c>
      <c r="F604" t="inlineStr">
        <is>
          <t>Holmen skog AB</t>
        </is>
      </c>
      <c r="G604" t="n">
        <v>5.1</v>
      </c>
      <c r="H604" t="n">
        <v>0</v>
      </c>
      <c r="I604" t="n">
        <v>0</v>
      </c>
      <c r="J604" t="n">
        <v>1</v>
      </c>
      <c r="K604" t="n">
        <v>0</v>
      </c>
      <c r="L604" t="n">
        <v>0</v>
      </c>
      <c r="M604" t="n">
        <v>0</v>
      </c>
      <c r="N604" t="n">
        <v>0</v>
      </c>
      <c r="O604" t="n">
        <v>1</v>
      </c>
      <c r="P604" t="n">
        <v>0</v>
      </c>
      <c r="Q604" t="n">
        <v>1</v>
      </c>
      <c r="R604" s="2" t="inlineStr">
        <is>
          <t>Ullticka</t>
        </is>
      </c>
      <c r="S604">
        <f>HYPERLINK("https://klasma.github.io/Logging_2184/artfynd/A 109-2024 artfynd.xlsx", "A 109-2024")</f>
        <v/>
      </c>
      <c r="T604">
        <f>HYPERLINK("https://klasma.github.io/Logging_2184/kartor/A 109-2024 karta.png", "A 109-2024")</f>
        <v/>
      </c>
      <c r="V604">
        <f>HYPERLINK("https://klasma.github.io/Logging_2184/klagomål/A 109-2024 FSC-klagomål.docx", "A 109-2024")</f>
        <v/>
      </c>
      <c r="W604">
        <f>HYPERLINK("https://klasma.github.io/Logging_2184/klagomålsmail/A 109-2024 FSC-klagomål mail.docx", "A 109-2024")</f>
        <v/>
      </c>
      <c r="X604">
        <f>HYPERLINK("https://klasma.github.io/Logging_2184/tillsyn/A 109-2024 tillsynsbegäran.docx", "A 109-2024")</f>
        <v/>
      </c>
      <c r="Y604">
        <f>HYPERLINK("https://klasma.github.io/Logging_2184/tillsynsmail/A 109-2024 tillsynsbegäran mail.docx", "A 109-2024")</f>
        <v/>
      </c>
    </row>
    <row r="605" ht="15" customHeight="1">
      <c r="A605" t="inlineStr">
        <is>
          <t>A 311-2024</t>
        </is>
      </c>
      <c r="B605" s="1" t="n">
        <v>45295</v>
      </c>
      <c r="C605" s="1" t="n">
        <v>45677</v>
      </c>
      <c r="D605" t="inlineStr">
        <is>
          <t>GÄVLEBORGS LÄN</t>
        </is>
      </c>
      <c r="E605" t="inlineStr">
        <is>
          <t>SANDVIKEN</t>
        </is>
      </c>
      <c r="G605" t="n">
        <v>1.3</v>
      </c>
      <c r="H605" t="n">
        <v>1</v>
      </c>
      <c r="I605" t="n">
        <v>1</v>
      </c>
      <c r="J605" t="n">
        <v>0</v>
      </c>
      <c r="K605" t="n">
        <v>0</v>
      </c>
      <c r="L605" t="n">
        <v>0</v>
      </c>
      <c r="M605" t="n">
        <v>0</v>
      </c>
      <c r="N605" t="n">
        <v>0</v>
      </c>
      <c r="O605" t="n">
        <v>0</v>
      </c>
      <c r="P605" t="n">
        <v>0</v>
      </c>
      <c r="Q605" t="n">
        <v>1</v>
      </c>
      <c r="R605" s="2" t="inlineStr">
        <is>
          <t>Plattlummer</t>
        </is>
      </c>
      <c r="S605">
        <f>HYPERLINK("https://klasma.github.io/Logging_2181/artfynd/A 311-2024 artfynd.xlsx", "A 311-2024")</f>
        <v/>
      </c>
      <c r="T605">
        <f>HYPERLINK("https://klasma.github.io/Logging_2181/kartor/A 311-2024 karta.png", "A 311-2024")</f>
        <v/>
      </c>
      <c r="V605">
        <f>HYPERLINK("https://klasma.github.io/Logging_2181/klagomål/A 311-2024 FSC-klagomål.docx", "A 311-2024")</f>
        <v/>
      </c>
      <c r="W605">
        <f>HYPERLINK("https://klasma.github.io/Logging_2181/klagomålsmail/A 311-2024 FSC-klagomål mail.docx", "A 311-2024")</f>
        <v/>
      </c>
      <c r="X605">
        <f>HYPERLINK("https://klasma.github.io/Logging_2181/tillsyn/A 311-2024 tillsynsbegäran.docx", "A 311-2024")</f>
        <v/>
      </c>
      <c r="Y605">
        <f>HYPERLINK("https://klasma.github.io/Logging_2181/tillsynsmail/A 311-2024 tillsynsbegäran mail.docx", "A 311-2024")</f>
        <v/>
      </c>
    </row>
    <row r="606" ht="15" customHeight="1">
      <c r="A606" t="inlineStr">
        <is>
          <t>A 470-2024</t>
        </is>
      </c>
      <c r="B606" s="1" t="n">
        <v>45297</v>
      </c>
      <c r="C606" s="1" t="n">
        <v>45677</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684-2024</t>
        </is>
      </c>
      <c r="B607" s="1" t="n">
        <v>45300</v>
      </c>
      <c r="C607" s="1" t="n">
        <v>45677</v>
      </c>
      <c r="D607" t="inlineStr">
        <is>
          <t>GÄVLEBORGS LÄN</t>
        </is>
      </c>
      <c r="E607" t="inlineStr">
        <is>
          <t>HUDIKSVALL</t>
        </is>
      </c>
      <c r="F607" t="inlineStr">
        <is>
          <t>Holmen skog AB</t>
        </is>
      </c>
      <c r="G607" t="n">
        <v>14.7</v>
      </c>
      <c r="H607" t="n">
        <v>0</v>
      </c>
      <c r="I607" t="n">
        <v>0</v>
      </c>
      <c r="J607" t="n">
        <v>1</v>
      </c>
      <c r="K607" t="n">
        <v>0</v>
      </c>
      <c r="L607" t="n">
        <v>0</v>
      </c>
      <c r="M607" t="n">
        <v>0</v>
      </c>
      <c r="N607" t="n">
        <v>0</v>
      </c>
      <c r="O607" t="n">
        <v>1</v>
      </c>
      <c r="P607" t="n">
        <v>0</v>
      </c>
      <c r="Q607" t="n">
        <v>1</v>
      </c>
      <c r="R607" s="2" t="inlineStr">
        <is>
          <t>Brunpudrad nållav</t>
        </is>
      </c>
      <c r="S607">
        <f>HYPERLINK("https://klasma.github.io/Logging_2184/artfynd/A 684-2024 artfynd.xlsx", "A 684-2024")</f>
        <v/>
      </c>
      <c r="T607">
        <f>HYPERLINK("https://klasma.github.io/Logging_2184/kartor/A 684-2024 karta.png", "A 684-2024")</f>
        <v/>
      </c>
      <c r="V607">
        <f>HYPERLINK("https://klasma.github.io/Logging_2184/klagomål/A 684-2024 FSC-klagomål.docx", "A 684-2024")</f>
        <v/>
      </c>
      <c r="W607">
        <f>HYPERLINK("https://klasma.github.io/Logging_2184/klagomålsmail/A 684-2024 FSC-klagomål mail.docx", "A 684-2024")</f>
        <v/>
      </c>
      <c r="X607">
        <f>HYPERLINK("https://klasma.github.io/Logging_2184/tillsyn/A 684-2024 tillsynsbegäran.docx", "A 684-2024")</f>
        <v/>
      </c>
      <c r="Y607">
        <f>HYPERLINK("https://klasma.github.io/Logging_2184/tillsynsmail/A 684-2024 tillsynsbegäran mail.docx", "A 684-2024")</f>
        <v/>
      </c>
    </row>
    <row r="608" ht="15" customHeight="1">
      <c r="A608" t="inlineStr">
        <is>
          <t>A 1193-2024</t>
        </is>
      </c>
      <c r="B608" s="1" t="n">
        <v>45302</v>
      </c>
      <c r="C608" s="1" t="n">
        <v>45677</v>
      </c>
      <c r="D608" t="inlineStr">
        <is>
          <t>GÄVLEBORGS LÄN</t>
        </is>
      </c>
      <c r="E608" t="inlineStr">
        <is>
          <t>OVANÅKER</t>
        </is>
      </c>
      <c r="F608" t="inlineStr">
        <is>
          <t>Bergvik skog väst AB</t>
        </is>
      </c>
      <c r="G608" t="n">
        <v>10.5</v>
      </c>
      <c r="H608" t="n">
        <v>1</v>
      </c>
      <c r="I608" t="n">
        <v>0</v>
      </c>
      <c r="J608" t="n">
        <v>0</v>
      </c>
      <c r="K608" t="n">
        <v>0</v>
      </c>
      <c r="L608" t="n">
        <v>0</v>
      </c>
      <c r="M608" t="n">
        <v>0</v>
      </c>
      <c r="N608" t="n">
        <v>0</v>
      </c>
      <c r="O608" t="n">
        <v>0</v>
      </c>
      <c r="P608" t="n">
        <v>0</v>
      </c>
      <c r="Q608" t="n">
        <v>1</v>
      </c>
      <c r="R608" s="2" t="inlineStr">
        <is>
          <t>Blåsippa</t>
        </is>
      </c>
      <c r="S608">
        <f>HYPERLINK("https://klasma.github.io/Logging_2121/artfynd/A 1193-2024 artfynd.xlsx", "A 1193-2024")</f>
        <v/>
      </c>
      <c r="T608">
        <f>HYPERLINK("https://klasma.github.io/Logging_2121/kartor/A 1193-2024 karta.png", "A 1193-2024")</f>
        <v/>
      </c>
      <c r="V608">
        <f>HYPERLINK("https://klasma.github.io/Logging_2121/klagomål/A 1193-2024 FSC-klagomål.docx", "A 1193-2024")</f>
        <v/>
      </c>
      <c r="W608">
        <f>HYPERLINK("https://klasma.github.io/Logging_2121/klagomålsmail/A 1193-2024 FSC-klagomål mail.docx", "A 1193-2024")</f>
        <v/>
      </c>
      <c r="X608">
        <f>HYPERLINK("https://klasma.github.io/Logging_2121/tillsyn/A 1193-2024 tillsynsbegäran.docx", "A 1193-2024")</f>
        <v/>
      </c>
      <c r="Y608">
        <f>HYPERLINK("https://klasma.github.io/Logging_2121/tillsynsmail/A 1193-2024 tillsynsbegäran mail.docx", "A 1193-2024")</f>
        <v/>
      </c>
    </row>
    <row r="609" ht="15" customHeight="1">
      <c r="A609" t="inlineStr">
        <is>
          <t>A 1214-2024</t>
        </is>
      </c>
      <c r="B609" s="1" t="n">
        <v>45302</v>
      </c>
      <c r="C609" s="1" t="n">
        <v>45677</v>
      </c>
      <c r="D609" t="inlineStr">
        <is>
          <t>GÄVLEBORGS LÄN</t>
        </is>
      </c>
      <c r="E609" t="inlineStr">
        <is>
          <t>OVANÅKER</t>
        </is>
      </c>
      <c r="F609" t="inlineStr">
        <is>
          <t>Bergvik skog väst AB</t>
        </is>
      </c>
      <c r="G609" t="n">
        <v>3.2</v>
      </c>
      <c r="H609" t="n">
        <v>1</v>
      </c>
      <c r="I609" t="n">
        <v>0</v>
      </c>
      <c r="J609" t="n">
        <v>0</v>
      </c>
      <c r="K609" t="n">
        <v>0</v>
      </c>
      <c r="L609" t="n">
        <v>0</v>
      </c>
      <c r="M609" t="n">
        <v>0</v>
      </c>
      <c r="N609" t="n">
        <v>0</v>
      </c>
      <c r="O609" t="n">
        <v>0</v>
      </c>
      <c r="P609" t="n">
        <v>0</v>
      </c>
      <c r="Q609" t="n">
        <v>1</v>
      </c>
      <c r="R609" s="2" t="inlineStr">
        <is>
          <t>Fläcknycklar</t>
        </is>
      </c>
      <c r="S609">
        <f>HYPERLINK("https://klasma.github.io/Logging_2121/artfynd/A 1214-2024 artfynd.xlsx", "A 1214-2024")</f>
        <v/>
      </c>
      <c r="T609">
        <f>HYPERLINK("https://klasma.github.io/Logging_2121/kartor/A 1214-2024 karta.png", "A 1214-2024")</f>
        <v/>
      </c>
      <c r="V609">
        <f>HYPERLINK("https://klasma.github.io/Logging_2121/klagomål/A 1214-2024 FSC-klagomål.docx", "A 1214-2024")</f>
        <v/>
      </c>
      <c r="W609">
        <f>HYPERLINK("https://klasma.github.io/Logging_2121/klagomålsmail/A 1214-2024 FSC-klagomål mail.docx", "A 1214-2024")</f>
        <v/>
      </c>
      <c r="X609">
        <f>HYPERLINK("https://klasma.github.io/Logging_2121/tillsyn/A 1214-2024 tillsynsbegäran.docx", "A 1214-2024")</f>
        <v/>
      </c>
      <c r="Y609">
        <f>HYPERLINK("https://klasma.github.io/Logging_2121/tillsynsmail/A 1214-2024 tillsynsbegäran mail.docx", "A 1214-2024")</f>
        <v/>
      </c>
    </row>
    <row r="610" ht="15" customHeight="1">
      <c r="A610" t="inlineStr">
        <is>
          <t>A 3387-2024</t>
        </is>
      </c>
      <c r="B610" s="1" t="n">
        <v>45317</v>
      </c>
      <c r="C610" s="1" t="n">
        <v>45677</v>
      </c>
      <c r="D610" t="inlineStr">
        <is>
          <t>GÄVLEBORGS LÄN</t>
        </is>
      </c>
      <c r="E610" t="inlineStr">
        <is>
          <t>NORDANSTIG</t>
        </is>
      </c>
      <c r="F610" t="inlineStr">
        <is>
          <t>SCA</t>
        </is>
      </c>
      <c r="G610" t="n">
        <v>7.7</v>
      </c>
      <c r="H610" t="n">
        <v>1</v>
      </c>
      <c r="I610" t="n">
        <v>0</v>
      </c>
      <c r="J610" t="n">
        <v>0</v>
      </c>
      <c r="K610" t="n">
        <v>0</v>
      </c>
      <c r="L610" t="n">
        <v>0</v>
      </c>
      <c r="M610" t="n">
        <v>0</v>
      </c>
      <c r="N610" t="n">
        <v>0</v>
      </c>
      <c r="O610" t="n">
        <v>0</v>
      </c>
      <c r="P610" t="n">
        <v>0</v>
      </c>
      <c r="Q610" t="n">
        <v>1</v>
      </c>
      <c r="R610" s="2" t="inlineStr">
        <is>
          <t>Revlummer</t>
        </is>
      </c>
      <c r="S610">
        <f>HYPERLINK("https://klasma.github.io/Logging_2132/artfynd/A 3387-2024 artfynd.xlsx", "A 3387-2024")</f>
        <v/>
      </c>
      <c r="T610">
        <f>HYPERLINK("https://klasma.github.io/Logging_2132/kartor/A 3387-2024 karta.png", "A 3387-2024")</f>
        <v/>
      </c>
      <c r="V610">
        <f>HYPERLINK("https://klasma.github.io/Logging_2132/klagomål/A 3387-2024 FSC-klagomål.docx", "A 3387-2024")</f>
        <v/>
      </c>
      <c r="W610">
        <f>HYPERLINK("https://klasma.github.io/Logging_2132/klagomålsmail/A 3387-2024 FSC-klagomål mail.docx", "A 3387-2024")</f>
        <v/>
      </c>
      <c r="X610">
        <f>HYPERLINK("https://klasma.github.io/Logging_2132/tillsyn/A 3387-2024 tillsynsbegäran.docx", "A 3387-2024")</f>
        <v/>
      </c>
      <c r="Y610">
        <f>HYPERLINK("https://klasma.github.io/Logging_2132/tillsynsmail/A 3387-2024 tillsynsbegäran mail.docx", "A 3387-2024")</f>
        <v/>
      </c>
    </row>
    <row r="611" ht="15" customHeight="1">
      <c r="A611" t="inlineStr">
        <is>
          <t>A 4839-2024</t>
        </is>
      </c>
      <c r="B611" s="1" t="n">
        <v>45329</v>
      </c>
      <c r="C611" s="1" t="n">
        <v>45677</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5445-2024</t>
        </is>
      </c>
      <c r="B612" s="1" t="n">
        <v>45331</v>
      </c>
      <c r="C612" s="1" t="n">
        <v>45677</v>
      </c>
      <c r="D612" t="inlineStr">
        <is>
          <t>GÄVLEBORGS LÄN</t>
        </is>
      </c>
      <c r="E612" t="inlineStr">
        <is>
          <t>LJUSDAL</t>
        </is>
      </c>
      <c r="F612" t="inlineStr">
        <is>
          <t>SCA</t>
        </is>
      </c>
      <c r="G612" t="n">
        <v>14.8</v>
      </c>
      <c r="H612" t="n">
        <v>1</v>
      </c>
      <c r="I612" t="n">
        <v>0</v>
      </c>
      <c r="J612" t="n">
        <v>0</v>
      </c>
      <c r="K612" t="n">
        <v>0</v>
      </c>
      <c r="L612" t="n">
        <v>0</v>
      </c>
      <c r="M612" t="n">
        <v>0</v>
      </c>
      <c r="N612" t="n">
        <v>0</v>
      </c>
      <c r="O612" t="n">
        <v>0</v>
      </c>
      <c r="P612" t="n">
        <v>0</v>
      </c>
      <c r="Q612" t="n">
        <v>1</v>
      </c>
      <c r="R612" s="2" t="inlineStr">
        <is>
          <t>Revlummer</t>
        </is>
      </c>
      <c r="S612">
        <f>HYPERLINK("https://klasma.github.io/Logging_2161/artfynd/A 5445-2024 artfynd.xlsx", "A 5445-2024")</f>
        <v/>
      </c>
      <c r="T612">
        <f>HYPERLINK("https://klasma.github.io/Logging_2161/kartor/A 5445-2024 karta.png", "A 5445-2024")</f>
        <v/>
      </c>
      <c r="V612">
        <f>HYPERLINK("https://klasma.github.io/Logging_2161/klagomål/A 5445-2024 FSC-klagomål.docx", "A 5445-2024")</f>
        <v/>
      </c>
      <c r="W612">
        <f>HYPERLINK("https://klasma.github.io/Logging_2161/klagomålsmail/A 5445-2024 FSC-klagomål mail.docx", "A 5445-2024")</f>
        <v/>
      </c>
      <c r="X612">
        <f>HYPERLINK("https://klasma.github.io/Logging_2161/tillsyn/A 5445-2024 tillsynsbegäran.docx", "A 5445-2024")</f>
        <v/>
      </c>
      <c r="Y612">
        <f>HYPERLINK("https://klasma.github.io/Logging_2161/tillsynsmail/A 5445-2024 tillsynsbegäran mail.docx", "A 5445-2024")</f>
        <v/>
      </c>
    </row>
    <row r="613" ht="15" customHeight="1">
      <c r="A613" t="inlineStr">
        <is>
          <t>A 7296-2024</t>
        </is>
      </c>
      <c r="B613" s="1" t="n">
        <v>45344</v>
      </c>
      <c r="C613" s="1" t="n">
        <v>45677</v>
      </c>
      <c r="D613" t="inlineStr">
        <is>
          <t>GÄVLEBORGS LÄN</t>
        </is>
      </c>
      <c r="E613" t="inlineStr">
        <is>
          <t>GÄVLE</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HYPERLINK("https://klasma.github.io/Logging_2180/artfynd/A 7296-2024 artfynd.xlsx", "A 7296-2024")</f>
        <v/>
      </c>
      <c r="T613">
        <f>HYPERLINK("https://klasma.github.io/Logging_2180/kartor/A 7296-2024 karta.png", "A 7296-2024")</f>
        <v/>
      </c>
      <c r="V613">
        <f>HYPERLINK("https://klasma.github.io/Logging_2180/klagomål/A 7296-2024 FSC-klagomål.docx", "A 7296-2024")</f>
        <v/>
      </c>
      <c r="W613">
        <f>HYPERLINK("https://klasma.github.io/Logging_2180/klagomålsmail/A 7296-2024 FSC-klagomål mail.docx", "A 7296-2024")</f>
        <v/>
      </c>
      <c r="X613">
        <f>HYPERLINK("https://klasma.github.io/Logging_2180/tillsyn/A 7296-2024 tillsynsbegäran.docx", "A 7296-2024")</f>
        <v/>
      </c>
      <c r="Y613">
        <f>HYPERLINK("https://klasma.github.io/Logging_2180/tillsynsmail/A 7296-2024 tillsynsbegäran mail.docx", "A 7296-2024")</f>
        <v/>
      </c>
    </row>
    <row r="614" ht="15" customHeight="1">
      <c r="A614" t="inlineStr">
        <is>
          <t>A 7354-2024</t>
        </is>
      </c>
      <c r="B614" s="1" t="n">
        <v>45345</v>
      </c>
      <c r="C614" s="1" t="n">
        <v>45677</v>
      </c>
      <c r="D614" t="inlineStr">
        <is>
          <t>GÄVLEBORGS LÄN</t>
        </is>
      </c>
      <c r="E614" t="inlineStr">
        <is>
          <t>HUDIKSVALL</t>
        </is>
      </c>
      <c r="F614" t="inlineStr">
        <is>
          <t>Holmen skog AB</t>
        </is>
      </c>
      <c r="G614" t="n">
        <v>12.9</v>
      </c>
      <c r="H614" t="n">
        <v>1</v>
      </c>
      <c r="I614" t="n">
        <v>0</v>
      </c>
      <c r="J614" t="n">
        <v>0</v>
      </c>
      <c r="K614" t="n">
        <v>0</v>
      </c>
      <c r="L614" t="n">
        <v>0</v>
      </c>
      <c r="M614" t="n">
        <v>0</v>
      </c>
      <c r="N614" t="n">
        <v>0</v>
      </c>
      <c r="O614" t="n">
        <v>0</v>
      </c>
      <c r="P614" t="n">
        <v>0</v>
      </c>
      <c r="Q614" t="n">
        <v>1</v>
      </c>
      <c r="R614" s="2" t="inlineStr">
        <is>
          <t>Nattviol</t>
        </is>
      </c>
      <c r="S614">
        <f>HYPERLINK("https://klasma.github.io/Logging_2184/artfynd/A 7354-2024 artfynd.xlsx", "A 7354-2024")</f>
        <v/>
      </c>
      <c r="T614">
        <f>HYPERLINK("https://klasma.github.io/Logging_2184/kartor/A 7354-2024 karta.png", "A 7354-2024")</f>
        <v/>
      </c>
      <c r="V614">
        <f>HYPERLINK("https://klasma.github.io/Logging_2184/klagomål/A 7354-2024 FSC-klagomål.docx", "A 7354-2024")</f>
        <v/>
      </c>
      <c r="W614">
        <f>HYPERLINK("https://klasma.github.io/Logging_2184/klagomålsmail/A 7354-2024 FSC-klagomål mail.docx", "A 7354-2024")</f>
        <v/>
      </c>
      <c r="X614">
        <f>HYPERLINK("https://klasma.github.io/Logging_2184/tillsyn/A 7354-2024 tillsynsbegäran.docx", "A 7354-2024")</f>
        <v/>
      </c>
      <c r="Y614">
        <f>HYPERLINK("https://klasma.github.io/Logging_2184/tillsynsmail/A 7354-2024 tillsynsbegäran mail.docx", "A 7354-2024")</f>
        <v/>
      </c>
    </row>
    <row r="615" ht="15" customHeight="1">
      <c r="A615" t="inlineStr">
        <is>
          <t>A 7543-2024</t>
        </is>
      </c>
      <c r="B615" s="1" t="n">
        <v>45348</v>
      </c>
      <c r="C615" s="1" t="n">
        <v>45677</v>
      </c>
      <c r="D615" t="inlineStr">
        <is>
          <t>GÄVLEBORGS LÄN</t>
        </is>
      </c>
      <c r="E615" t="inlineStr">
        <is>
          <t>HOFORS</t>
        </is>
      </c>
      <c r="G615" t="n">
        <v>3.2</v>
      </c>
      <c r="H615" t="n">
        <v>0</v>
      </c>
      <c r="I615" t="n">
        <v>1</v>
      </c>
      <c r="J615" t="n">
        <v>0</v>
      </c>
      <c r="K615" t="n">
        <v>0</v>
      </c>
      <c r="L615" t="n">
        <v>0</v>
      </c>
      <c r="M615" t="n">
        <v>0</v>
      </c>
      <c r="N615" t="n">
        <v>0</v>
      </c>
      <c r="O615" t="n">
        <v>0</v>
      </c>
      <c r="P615" t="n">
        <v>0</v>
      </c>
      <c r="Q615" t="n">
        <v>1</v>
      </c>
      <c r="R615" s="2" t="inlineStr">
        <is>
          <t>Svart trolldruva</t>
        </is>
      </c>
      <c r="S615">
        <f>HYPERLINK("https://klasma.github.io/Logging_2104/artfynd/A 7543-2024 artfynd.xlsx", "A 7543-2024")</f>
        <v/>
      </c>
      <c r="T615">
        <f>HYPERLINK("https://klasma.github.io/Logging_2104/kartor/A 7543-2024 karta.png", "A 7543-2024")</f>
        <v/>
      </c>
      <c r="V615">
        <f>HYPERLINK("https://klasma.github.io/Logging_2104/klagomål/A 7543-2024 FSC-klagomål.docx", "A 7543-2024")</f>
        <v/>
      </c>
      <c r="W615">
        <f>HYPERLINK("https://klasma.github.io/Logging_2104/klagomålsmail/A 7543-2024 FSC-klagomål mail.docx", "A 7543-2024")</f>
        <v/>
      </c>
      <c r="X615">
        <f>HYPERLINK("https://klasma.github.io/Logging_2104/tillsyn/A 7543-2024 tillsynsbegäran.docx", "A 7543-2024")</f>
        <v/>
      </c>
      <c r="Y615">
        <f>HYPERLINK("https://klasma.github.io/Logging_2104/tillsynsmail/A 7543-2024 tillsynsbegäran mail.docx", "A 7543-2024")</f>
        <v/>
      </c>
    </row>
    <row r="616" ht="15" customHeight="1">
      <c r="A616" t="inlineStr">
        <is>
          <t>A 10533-2024</t>
        </is>
      </c>
      <c r="B616" s="1" t="n">
        <v>45366</v>
      </c>
      <c r="C616" s="1" t="n">
        <v>45677</v>
      </c>
      <c r="D616" t="inlineStr">
        <is>
          <t>GÄVLEBORGS LÄN</t>
        </is>
      </c>
      <c r="E616" t="inlineStr">
        <is>
          <t>OCKELBO</t>
        </is>
      </c>
      <c r="G616" t="n">
        <v>8.5</v>
      </c>
      <c r="H616" t="n">
        <v>0</v>
      </c>
      <c r="I616" t="n">
        <v>0</v>
      </c>
      <c r="J616" t="n">
        <v>1</v>
      </c>
      <c r="K616" t="n">
        <v>0</v>
      </c>
      <c r="L616" t="n">
        <v>0</v>
      </c>
      <c r="M616" t="n">
        <v>0</v>
      </c>
      <c r="N616" t="n">
        <v>0</v>
      </c>
      <c r="O616" t="n">
        <v>1</v>
      </c>
      <c r="P616" t="n">
        <v>0</v>
      </c>
      <c r="Q616" t="n">
        <v>1</v>
      </c>
      <c r="R616" s="2" t="inlineStr">
        <is>
          <t>Violettgrå tagellav</t>
        </is>
      </c>
      <c r="S616">
        <f>HYPERLINK("https://klasma.github.io/Logging_2101/artfynd/A 10533-2024 artfynd.xlsx", "A 10533-2024")</f>
        <v/>
      </c>
      <c r="T616">
        <f>HYPERLINK("https://klasma.github.io/Logging_2101/kartor/A 10533-2024 karta.png", "A 10533-2024")</f>
        <v/>
      </c>
      <c r="V616">
        <f>HYPERLINK("https://klasma.github.io/Logging_2101/klagomål/A 10533-2024 FSC-klagomål.docx", "A 10533-2024")</f>
        <v/>
      </c>
      <c r="W616">
        <f>HYPERLINK("https://klasma.github.io/Logging_2101/klagomålsmail/A 10533-2024 FSC-klagomål mail.docx", "A 10533-2024")</f>
        <v/>
      </c>
      <c r="X616">
        <f>HYPERLINK("https://klasma.github.io/Logging_2101/tillsyn/A 10533-2024 tillsynsbegäran.docx", "A 10533-2024")</f>
        <v/>
      </c>
      <c r="Y616">
        <f>HYPERLINK("https://klasma.github.io/Logging_2101/tillsynsmail/A 10533-2024 tillsynsbegäran mail.docx", "A 10533-2024")</f>
        <v/>
      </c>
    </row>
    <row r="617" ht="15" customHeight="1">
      <c r="A617" t="inlineStr">
        <is>
          <t>A 10783-2024</t>
        </is>
      </c>
      <c r="B617" s="1" t="n">
        <v>45369</v>
      </c>
      <c r="C617" s="1" t="n">
        <v>45677</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13048-2024</t>
        </is>
      </c>
      <c r="B618" s="1" t="n">
        <v>45385</v>
      </c>
      <c r="C618" s="1" t="n">
        <v>45677</v>
      </c>
      <c r="D618" t="inlineStr">
        <is>
          <t>GÄVLEBORGS LÄN</t>
        </is>
      </c>
      <c r="E618" t="inlineStr">
        <is>
          <t>SÖDERHAMN</t>
        </is>
      </c>
      <c r="G618" t="n">
        <v>1.6</v>
      </c>
      <c r="H618" t="n">
        <v>0</v>
      </c>
      <c r="I618" t="n">
        <v>0</v>
      </c>
      <c r="J618" t="n">
        <v>1</v>
      </c>
      <c r="K618" t="n">
        <v>0</v>
      </c>
      <c r="L618" t="n">
        <v>0</v>
      </c>
      <c r="M618" t="n">
        <v>0</v>
      </c>
      <c r="N618" t="n">
        <v>0</v>
      </c>
      <c r="O618" t="n">
        <v>1</v>
      </c>
      <c r="P618" t="n">
        <v>0</v>
      </c>
      <c r="Q618" t="n">
        <v>1</v>
      </c>
      <c r="R618" s="2" t="inlineStr">
        <is>
          <t>Dofttaggsvamp</t>
        </is>
      </c>
      <c r="S618">
        <f>HYPERLINK("https://klasma.github.io/Logging_2182/artfynd/A 13048-2024 artfynd.xlsx", "A 13048-2024")</f>
        <v/>
      </c>
      <c r="T618">
        <f>HYPERLINK("https://klasma.github.io/Logging_2182/kartor/A 13048-2024 karta.png", "A 13048-2024")</f>
        <v/>
      </c>
      <c r="V618">
        <f>HYPERLINK("https://klasma.github.io/Logging_2182/klagomål/A 13048-2024 FSC-klagomål.docx", "A 13048-2024")</f>
        <v/>
      </c>
      <c r="W618">
        <f>HYPERLINK("https://klasma.github.io/Logging_2182/klagomålsmail/A 13048-2024 FSC-klagomål mail.docx", "A 13048-2024")</f>
        <v/>
      </c>
      <c r="X618">
        <f>HYPERLINK("https://klasma.github.io/Logging_2182/tillsyn/A 13048-2024 tillsynsbegäran.docx", "A 13048-2024")</f>
        <v/>
      </c>
      <c r="Y618">
        <f>HYPERLINK("https://klasma.github.io/Logging_2182/tillsynsmail/A 13048-2024 tillsynsbegäran mail.docx", "A 13048-2024")</f>
        <v/>
      </c>
    </row>
    <row r="619" ht="15" customHeight="1">
      <c r="A619" t="inlineStr">
        <is>
          <t>A 14194-2024</t>
        </is>
      </c>
      <c r="B619" s="1" t="n">
        <v>45393</v>
      </c>
      <c r="C619" s="1" t="n">
        <v>45677</v>
      </c>
      <c r="D619" t="inlineStr">
        <is>
          <t>GÄVLEBORGS LÄN</t>
        </is>
      </c>
      <c r="E619" t="inlineStr">
        <is>
          <t>NORDANSTIG</t>
        </is>
      </c>
      <c r="G619" t="n">
        <v>20</v>
      </c>
      <c r="H619" t="n">
        <v>1</v>
      </c>
      <c r="I619" t="n">
        <v>0</v>
      </c>
      <c r="J619" t="n">
        <v>0</v>
      </c>
      <c r="K619" t="n">
        <v>0</v>
      </c>
      <c r="L619" t="n">
        <v>0</v>
      </c>
      <c r="M619" t="n">
        <v>0</v>
      </c>
      <c r="N619" t="n">
        <v>0</v>
      </c>
      <c r="O619" t="n">
        <v>0</v>
      </c>
      <c r="P619" t="n">
        <v>0</v>
      </c>
      <c r="Q619" t="n">
        <v>1</v>
      </c>
      <c r="R619" s="2" t="inlineStr">
        <is>
          <t>Fläcknycklar</t>
        </is>
      </c>
      <c r="S619">
        <f>HYPERLINK("https://klasma.github.io/Logging_2132/artfynd/A 14194-2024 artfynd.xlsx", "A 14194-2024")</f>
        <v/>
      </c>
      <c r="T619">
        <f>HYPERLINK("https://klasma.github.io/Logging_2132/kartor/A 14194-2024 karta.png", "A 14194-2024")</f>
        <v/>
      </c>
      <c r="V619">
        <f>HYPERLINK("https://klasma.github.io/Logging_2132/klagomål/A 14194-2024 FSC-klagomål.docx", "A 14194-2024")</f>
        <v/>
      </c>
      <c r="W619">
        <f>HYPERLINK("https://klasma.github.io/Logging_2132/klagomålsmail/A 14194-2024 FSC-klagomål mail.docx", "A 14194-2024")</f>
        <v/>
      </c>
      <c r="X619">
        <f>HYPERLINK("https://klasma.github.io/Logging_2132/tillsyn/A 14194-2024 tillsynsbegäran.docx", "A 14194-2024")</f>
        <v/>
      </c>
      <c r="Y619">
        <f>HYPERLINK("https://klasma.github.io/Logging_2132/tillsynsmail/A 14194-2024 tillsynsbegäran mail.docx", "A 14194-2024")</f>
        <v/>
      </c>
    </row>
    <row r="620" ht="15" customHeight="1">
      <c r="A620" t="inlineStr">
        <is>
          <t>A 14726-2024</t>
        </is>
      </c>
      <c r="B620" s="1" t="n">
        <v>45397</v>
      </c>
      <c r="C620" s="1" t="n">
        <v>45677</v>
      </c>
      <c r="D620" t="inlineStr">
        <is>
          <t>GÄVLEBORGS LÄN</t>
        </is>
      </c>
      <c r="E620" t="inlineStr">
        <is>
          <t>GÄVLE</t>
        </is>
      </c>
      <c r="F620" t="inlineStr">
        <is>
          <t>Bergvik skog öst AB</t>
        </is>
      </c>
      <c r="G620" t="n">
        <v>9.9</v>
      </c>
      <c r="H620" t="n">
        <v>0</v>
      </c>
      <c r="I620" t="n">
        <v>1</v>
      </c>
      <c r="J620" t="n">
        <v>0</v>
      </c>
      <c r="K620" t="n">
        <v>0</v>
      </c>
      <c r="L620" t="n">
        <v>0</v>
      </c>
      <c r="M620" t="n">
        <v>0</v>
      </c>
      <c r="N620" t="n">
        <v>0</v>
      </c>
      <c r="O620" t="n">
        <v>0</v>
      </c>
      <c r="P620" t="n">
        <v>0</v>
      </c>
      <c r="Q620" t="n">
        <v>1</v>
      </c>
      <c r="R620" s="2" t="inlineStr">
        <is>
          <t>Grönpyrola</t>
        </is>
      </c>
      <c r="S620">
        <f>HYPERLINK("https://klasma.github.io/Logging_2180/artfynd/A 14726-2024 artfynd.xlsx", "A 14726-2024")</f>
        <v/>
      </c>
      <c r="T620">
        <f>HYPERLINK("https://klasma.github.io/Logging_2180/kartor/A 14726-2024 karta.png", "A 14726-2024")</f>
        <v/>
      </c>
      <c r="V620">
        <f>HYPERLINK("https://klasma.github.io/Logging_2180/klagomål/A 14726-2024 FSC-klagomål.docx", "A 14726-2024")</f>
        <v/>
      </c>
      <c r="W620">
        <f>HYPERLINK("https://klasma.github.io/Logging_2180/klagomålsmail/A 14726-2024 FSC-klagomål mail.docx", "A 14726-2024")</f>
        <v/>
      </c>
      <c r="X620">
        <f>HYPERLINK("https://klasma.github.io/Logging_2180/tillsyn/A 14726-2024 tillsynsbegäran.docx", "A 14726-2024")</f>
        <v/>
      </c>
      <c r="Y620">
        <f>HYPERLINK("https://klasma.github.io/Logging_2180/tillsynsmail/A 14726-2024 tillsynsbegäran mail.docx", "A 14726-2024")</f>
        <v/>
      </c>
    </row>
    <row r="621" ht="15" customHeight="1">
      <c r="A621" t="inlineStr">
        <is>
          <t>A 14847-2024</t>
        </is>
      </c>
      <c r="B621" s="1" t="n">
        <v>45398</v>
      </c>
      <c r="C621" s="1" t="n">
        <v>45677</v>
      </c>
      <c r="D621" t="inlineStr">
        <is>
          <t>GÄVLEBORGS LÄN</t>
        </is>
      </c>
      <c r="E621" t="inlineStr">
        <is>
          <t>GÄVLE</t>
        </is>
      </c>
      <c r="F621" t="inlineStr">
        <is>
          <t>Bergvik skog öst AB</t>
        </is>
      </c>
      <c r="G621" t="n">
        <v>23.2</v>
      </c>
      <c r="H621" t="n">
        <v>0</v>
      </c>
      <c r="I621" t="n">
        <v>0</v>
      </c>
      <c r="J621" t="n">
        <v>1</v>
      </c>
      <c r="K621" t="n">
        <v>0</v>
      </c>
      <c r="L621" t="n">
        <v>0</v>
      </c>
      <c r="M621" t="n">
        <v>0</v>
      </c>
      <c r="N621" t="n">
        <v>0</v>
      </c>
      <c r="O621" t="n">
        <v>1</v>
      </c>
      <c r="P621" t="n">
        <v>0</v>
      </c>
      <c r="Q621" t="n">
        <v>1</v>
      </c>
      <c r="R621" s="2" t="inlineStr">
        <is>
          <t>Skogsklocka</t>
        </is>
      </c>
      <c r="S621">
        <f>HYPERLINK("https://klasma.github.io/Logging_2180/artfynd/A 14847-2024 artfynd.xlsx", "A 14847-2024")</f>
        <v/>
      </c>
      <c r="T621">
        <f>HYPERLINK("https://klasma.github.io/Logging_2180/kartor/A 14847-2024 karta.png", "A 14847-2024")</f>
        <v/>
      </c>
      <c r="V621">
        <f>HYPERLINK("https://klasma.github.io/Logging_2180/klagomål/A 14847-2024 FSC-klagomål.docx", "A 14847-2024")</f>
        <v/>
      </c>
      <c r="W621">
        <f>HYPERLINK("https://klasma.github.io/Logging_2180/klagomålsmail/A 14847-2024 FSC-klagomål mail.docx", "A 14847-2024")</f>
        <v/>
      </c>
      <c r="X621">
        <f>HYPERLINK("https://klasma.github.io/Logging_2180/tillsyn/A 14847-2024 tillsynsbegäran.docx", "A 14847-2024")</f>
        <v/>
      </c>
      <c r="Y621">
        <f>HYPERLINK("https://klasma.github.io/Logging_2180/tillsynsmail/A 14847-2024 tillsynsbegäran mail.docx", "A 14847-2024")</f>
        <v/>
      </c>
    </row>
    <row r="622" ht="15" customHeight="1">
      <c r="A622" t="inlineStr">
        <is>
          <t>A 15659-2024</t>
        </is>
      </c>
      <c r="B622" s="1" t="n">
        <v>45404</v>
      </c>
      <c r="C622" s="1" t="n">
        <v>45677</v>
      </c>
      <c r="D622" t="inlineStr">
        <is>
          <t>GÄVLEBORGS LÄN</t>
        </is>
      </c>
      <c r="E622" t="inlineStr">
        <is>
          <t>OCKELBO</t>
        </is>
      </c>
      <c r="F622" t="inlineStr">
        <is>
          <t>Bergvik skog väst AB</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HYPERLINK("https://klasma.github.io/Logging_2101/artfynd/A 15659-2024 artfynd.xlsx", "A 15659-2024")</f>
        <v/>
      </c>
      <c r="T622">
        <f>HYPERLINK("https://klasma.github.io/Logging_2101/kartor/A 15659-2024 karta.png", "A 15659-2024")</f>
        <v/>
      </c>
      <c r="V622">
        <f>HYPERLINK("https://klasma.github.io/Logging_2101/klagomål/A 15659-2024 FSC-klagomål.docx", "A 15659-2024")</f>
        <v/>
      </c>
      <c r="W622">
        <f>HYPERLINK("https://klasma.github.io/Logging_2101/klagomålsmail/A 15659-2024 FSC-klagomål mail.docx", "A 15659-2024")</f>
        <v/>
      </c>
      <c r="X622">
        <f>HYPERLINK("https://klasma.github.io/Logging_2101/tillsyn/A 15659-2024 tillsynsbegäran.docx", "A 15659-2024")</f>
        <v/>
      </c>
      <c r="Y622">
        <f>HYPERLINK("https://klasma.github.io/Logging_2101/tillsynsmail/A 15659-2024 tillsynsbegäran mail.docx", "A 15659-2024")</f>
        <v/>
      </c>
    </row>
    <row r="623" ht="15" customHeight="1">
      <c r="A623" t="inlineStr">
        <is>
          <t>A 16580-2024</t>
        </is>
      </c>
      <c r="B623" s="1" t="n">
        <v>45408</v>
      </c>
      <c r="C623" s="1" t="n">
        <v>45677</v>
      </c>
      <c r="D623" t="inlineStr">
        <is>
          <t>GÄVLEBORGS LÄN</t>
        </is>
      </c>
      <c r="E623" t="inlineStr">
        <is>
          <t>OCKELBO</t>
        </is>
      </c>
      <c r="F623" t="inlineStr">
        <is>
          <t>Bergvik skog väst AB</t>
        </is>
      </c>
      <c r="G623" t="n">
        <v>14.9</v>
      </c>
      <c r="H623" t="n">
        <v>1</v>
      </c>
      <c r="I623" t="n">
        <v>0</v>
      </c>
      <c r="J623" t="n">
        <v>0</v>
      </c>
      <c r="K623" t="n">
        <v>0</v>
      </c>
      <c r="L623" t="n">
        <v>0</v>
      </c>
      <c r="M623" t="n">
        <v>0</v>
      </c>
      <c r="N623" t="n">
        <v>0</v>
      </c>
      <c r="O623" t="n">
        <v>0</v>
      </c>
      <c r="P623" t="n">
        <v>0</v>
      </c>
      <c r="Q623" t="n">
        <v>1</v>
      </c>
      <c r="R623" s="2" t="inlineStr">
        <is>
          <t>Fläcknycklar</t>
        </is>
      </c>
      <c r="S623">
        <f>HYPERLINK("https://klasma.github.io/Logging_2101/artfynd/A 16580-2024 artfynd.xlsx", "A 16580-2024")</f>
        <v/>
      </c>
      <c r="T623">
        <f>HYPERLINK("https://klasma.github.io/Logging_2101/kartor/A 16580-2024 karta.png", "A 16580-2024")</f>
        <v/>
      </c>
      <c r="V623">
        <f>HYPERLINK("https://klasma.github.io/Logging_2101/klagomål/A 16580-2024 FSC-klagomål.docx", "A 16580-2024")</f>
        <v/>
      </c>
      <c r="W623">
        <f>HYPERLINK("https://klasma.github.io/Logging_2101/klagomålsmail/A 16580-2024 FSC-klagomål mail.docx", "A 16580-2024")</f>
        <v/>
      </c>
      <c r="X623">
        <f>HYPERLINK("https://klasma.github.io/Logging_2101/tillsyn/A 16580-2024 tillsynsbegäran.docx", "A 16580-2024")</f>
        <v/>
      </c>
      <c r="Y623">
        <f>HYPERLINK("https://klasma.github.io/Logging_2101/tillsynsmail/A 16580-2024 tillsynsbegäran mail.docx", "A 16580-2024")</f>
        <v/>
      </c>
    </row>
    <row r="624" ht="15" customHeight="1">
      <c r="A624" t="inlineStr">
        <is>
          <t>A 18215-2024</t>
        </is>
      </c>
      <c r="B624" s="1" t="n">
        <v>45420</v>
      </c>
      <c r="C624" s="1" t="n">
        <v>45677</v>
      </c>
      <c r="D624" t="inlineStr">
        <is>
          <t>GÄVLEBORGS LÄN</t>
        </is>
      </c>
      <c r="E624" t="inlineStr">
        <is>
          <t>GÄVLE</t>
        </is>
      </c>
      <c r="F624" t="inlineStr">
        <is>
          <t>Bergvik skog väst AB</t>
        </is>
      </c>
      <c r="G624" t="n">
        <v>68.59999999999999</v>
      </c>
      <c r="H624" t="n">
        <v>1</v>
      </c>
      <c r="I624" t="n">
        <v>0</v>
      </c>
      <c r="J624" t="n">
        <v>0</v>
      </c>
      <c r="K624" t="n">
        <v>0</v>
      </c>
      <c r="L624" t="n">
        <v>0</v>
      </c>
      <c r="M624" t="n">
        <v>0</v>
      </c>
      <c r="N624" t="n">
        <v>0</v>
      </c>
      <c r="O624" t="n">
        <v>0</v>
      </c>
      <c r="P624" t="n">
        <v>0</v>
      </c>
      <c r="Q624" t="n">
        <v>1</v>
      </c>
      <c r="R624" s="2" t="inlineStr">
        <is>
          <t>Huggorm</t>
        </is>
      </c>
      <c r="S624">
        <f>HYPERLINK("https://klasma.github.io/Logging_2180/artfynd/A 18215-2024 artfynd.xlsx", "A 18215-2024")</f>
        <v/>
      </c>
      <c r="T624">
        <f>HYPERLINK("https://klasma.github.io/Logging_2180/kartor/A 18215-2024 karta.png", "A 18215-2024")</f>
        <v/>
      </c>
      <c r="V624">
        <f>HYPERLINK("https://klasma.github.io/Logging_2180/klagomål/A 18215-2024 FSC-klagomål.docx", "A 18215-2024")</f>
        <v/>
      </c>
      <c r="W624">
        <f>HYPERLINK("https://klasma.github.io/Logging_2180/klagomålsmail/A 18215-2024 FSC-klagomål mail.docx", "A 18215-2024")</f>
        <v/>
      </c>
      <c r="X624">
        <f>HYPERLINK("https://klasma.github.io/Logging_2180/tillsyn/A 18215-2024 tillsynsbegäran.docx", "A 18215-2024")</f>
        <v/>
      </c>
      <c r="Y624">
        <f>HYPERLINK("https://klasma.github.io/Logging_2180/tillsynsmail/A 18215-2024 tillsynsbegäran mail.docx", "A 18215-2024")</f>
        <v/>
      </c>
    </row>
    <row r="625" ht="15" customHeight="1">
      <c r="A625" t="inlineStr">
        <is>
          <t>A 18376-2024</t>
        </is>
      </c>
      <c r="B625" s="1" t="n">
        <v>45423</v>
      </c>
      <c r="C625" s="1" t="n">
        <v>45677</v>
      </c>
      <c r="D625" t="inlineStr">
        <is>
          <t>GÄVLEBORGS LÄN</t>
        </is>
      </c>
      <c r="E625" t="inlineStr">
        <is>
          <t>GÄVLE</t>
        </is>
      </c>
      <c r="F625" t="inlineStr">
        <is>
          <t>Bergvik skog väst AB</t>
        </is>
      </c>
      <c r="G625" t="n">
        <v>2.9</v>
      </c>
      <c r="H625" t="n">
        <v>0</v>
      </c>
      <c r="I625" t="n">
        <v>0</v>
      </c>
      <c r="J625" t="n">
        <v>1</v>
      </c>
      <c r="K625" t="n">
        <v>0</v>
      </c>
      <c r="L625" t="n">
        <v>0</v>
      </c>
      <c r="M625" t="n">
        <v>0</v>
      </c>
      <c r="N625" t="n">
        <v>0</v>
      </c>
      <c r="O625" t="n">
        <v>1</v>
      </c>
      <c r="P625" t="n">
        <v>0</v>
      </c>
      <c r="Q625" t="n">
        <v>1</v>
      </c>
      <c r="R625" s="2" t="inlineStr">
        <is>
          <t>Svart taggsvamp</t>
        </is>
      </c>
      <c r="S625">
        <f>HYPERLINK("https://klasma.github.io/Logging_2180/artfynd/A 18376-2024 artfynd.xlsx", "A 18376-2024")</f>
        <v/>
      </c>
      <c r="T625">
        <f>HYPERLINK("https://klasma.github.io/Logging_2180/kartor/A 18376-2024 karta.png", "A 18376-2024")</f>
        <v/>
      </c>
      <c r="V625">
        <f>HYPERLINK("https://klasma.github.io/Logging_2180/klagomål/A 18376-2024 FSC-klagomål.docx", "A 18376-2024")</f>
        <v/>
      </c>
      <c r="W625">
        <f>HYPERLINK("https://klasma.github.io/Logging_2180/klagomålsmail/A 18376-2024 FSC-klagomål mail.docx", "A 18376-2024")</f>
        <v/>
      </c>
      <c r="X625">
        <f>HYPERLINK("https://klasma.github.io/Logging_2180/tillsyn/A 18376-2024 tillsynsbegäran.docx", "A 18376-2024")</f>
        <v/>
      </c>
      <c r="Y625">
        <f>HYPERLINK("https://klasma.github.io/Logging_2180/tillsynsmail/A 18376-2024 tillsynsbegäran mail.docx", "A 18376-2024")</f>
        <v/>
      </c>
    </row>
    <row r="626" ht="15" customHeight="1">
      <c r="A626" t="inlineStr">
        <is>
          <t>A 19406-2024</t>
        </is>
      </c>
      <c r="B626" s="1" t="n">
        <v>45429</v>
      </c>
      <c r="C626" s="1" t="n">
        <v>45677</v>
      </c>
      <c r="D626" t="inlineStr">
        <is>
          <t>GÄVLEBORGS LÄN</t>
        </is>
      </c>
      <c r="E626" t="inlineStr">
        <is>
          <t>LJUSDAL</t>
        </is>
      </c>
      <c r="F626" t="inlineStr">
        <is>
          <t>Sveaskog</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HYPERLINK("https://klasma.github.io/Logging_2161/artfynd/A 19406-2024 artfynd.xlsx", "A 19406-2024")</f>
        <v/>
      </c>
      <c r="T626">
        <f>HYPERLINK("https://klasma.github.io/Logging_2161/kartor/A 19406-2024 karta.png", "A 19406-2024")</f>
        <v/>
      </c>
      <c r="V626">
        <f>HYPERLINK("https://klasma.github.io/Logging_2161/klagomål/A 19406-2024 FSC-klagomål.docx", "A 19406-2024")</f>
        <v/>
      </c>
      <c r="W626">
        <f>HYPERLINK("https://klasma.github.io/Logging_2161/klagomålsmail/A 19406-2024 FSC-klagomål mail.docx", "A 19406-2024")</f>
        <v/>
      </c>
      <c r="X626">
        <f>HYPERLINK("https://klasma.github.io/Logging_2161/tillsyn/A 19406-2024 tillsynsbegäran.docx", "A 19406-2024")</f>
        <v/>
      </c>
      <c r="Y626">
        <f>HYPERLINK("https://klasma.github.io/Logging_2161/tillsynsmail/A 19406-2024 tillsynsbegäran mail.docx", "A 19406-2024")</f>
        <v/>
      </c>
    </row>
    <row r="627" ht="15" customHeight="1">
      <c r="A627" t="inlineStr">
        <is>
          <t>A 20051-2024</t>
        </is>
      </c>
      <c r="B627" s="1" t="n">
        <v>45434</v>
      </c>
      <c r="C627" s="1" t="n">
        <v>45677</v>
      </c>
      <c r="D627" t="inlineStr">
        <is>
          <t>GÄVLEBORGS LÄN</t>
        </is>
      </c>
      <c r="E627" t="inlineStr">
        <is>
          <t>LJUSDAL</t>
        </is>
      </c>
      <c r="G627" t="n">
        <v>8.699999999999999</v>
      </c>
      <c r="H627" t="n">
        <v>1</v>
      </c>
      <c r="I627" t="n">
        <v>0</v>
      </c>
      <c r="J627" t="n">
        <v>0</v>
      </c>
      <c r="K627" t="n">
        <v>0</v>
      </c>
      <c r="L627" t="n">
        <v>1</v>
      </c>
      <c r="M627" t="n">
        <v>0</v>
      </c>
      <c r="N627" t="n">
        <v>0</v>
      </c>
      <c r="O627" t="n">
        <v>1</v>
      </c>
      <c r="P627" t="n">
        <v>1</v>
      </c>
      <c r="Q627" t="n">
        <v>1</v>
      </c>
      <c r="R627" s="2" t="inlineStr">
        <is>
          <t>Mosippa</t>
        </is>
      </c>
      <c r="S627">
        <f>HYPERLINK("https://klasma.github.io/Logging_2161/artfynd/A 20051-2024 artfynd.xlsx", "A 20051-2024")</f>
        <v/>
      </c>
      <c r="T627">
        <f>HYPERLINK("https://klasma.github.io/Logging_2161/kartor/A 20051-2024 karta.png", "A 20051-2024")</f>
        <v/>
      </c>
      <c r="V627">
        <f>HYPERLINK("https://klasma.github.io/Logging_2161/klagomål/A 20051-2024 FSC-klagomål.docx", "A 20051-2024")</f>
        <v/>
      </c>
      <c r="W627">
        <f>HYPERLINK("https://klasma.github.io/Logging_2161/klagomålsmail/A 20051-2024 FSC-klagomål mail.docx", "A 20051-2024")</f>
        <v/>
      </c>
      <c r="X627">
        <f>HYPERLINK("https://klasma.github.io/Logging_2161/tillsyn/A 20051-2024 tillsynsbegäran.docx", "A 20051-2024")</f>
        <v/>
      </c>
      <c r="Y627">
        <f>HYPERLINK("https://klasma.github.io/Logging_2161/tillsynsmail/A 20051-2024 tillsynsbegäran mail.docx", "A 20051-2024")</f>
        <v/>
      </c>
    </row>
    <row r="628" ht="15" customHeight="1">
      <c r="A628" t="inlineStr">
        <is>
          <t>A 20152-2024</t>
        </is>
      </c>
      <c r="B628" s="1" t="n">
        <v>45434</v>
      </c>
      <c r="C628" s="1" t="n">
        <v>45677</v>
      </c>
      <c r="D628" t="inlineStr">
        <is>
          <t>GÄVLEBORGS LÄN</t>
        </is>
      </c>
      <c r="E628" t="inlineStr">
        <is>
          <t>GÄVLE</t>
        </is>
      </c>
      <c r="F628" t="inlineStr">
        <is>
          <t>Bergvik skog väst AB</t>
        </is>
      </c>
      <c r="G628" t="n">
        <v>13.4</v>
      </c>
      <c r="H628" t="n">
        <v>1</v>
      </c>
      <c r="I628" t="n">
        <v>0</v>
      </c>
      <c r="J628" t="n">
        <v>0</v>
      </c>
      <c r="K628" t="n">
        <v>0</v>
      </c>
      <c r="L628" t="n">
        <v>0</v>
      </c>
      <c r="M628" t="n">
        <v>0</v>
      </c>
      <c r="N628" t="n">
        <v>0</v>
      </c>
      <c r="O628" t="n">
        <v>0</v>
      </c>
      <c r="P628" t="n">
        <v>0</v>
      </c>
      <c r="Q628" t="n">
        <v>1</v>
      </c>
      <c r="R628" s="2" t="inlineStr">
        <is>
          <t>Blåsippa</t>
        </is>
      </c>
      <c r="S628">
        <f>HYPERLINK("https://klasma.github.io/Logging_2180/artfynd/A 20152-2024 artfynd.xlsx", "A 20152-2024")</f>
        <v/>
      </c>
      <c r="T628">
        <f>HYPERLINK("https://klasma.github.io/Logging_2180/kartor/A 20152-2024 karta.png", "A 20152-2024")</f>
        <v/>
      </c>
      <c r="V628">
        <f>HYPERLINK("https://klasma.github.io/Logging_2180/klagomål/A 20152-2024 FSC-klagomål.docx", "A 20152-2024")</f>
        <v/>
      </c>
      <c r="W628">
        <f>HYPERLINK("https://klasma.github.io/Logging_2180/klagomålsmail/A 20152-2024 FSC-klagomål mail.docx", "A 20152-2024")</f>
        <v/>
      </c>
      <c r="X628">
        <f>HYPERLINK("https://klasma.github.io/Logging_2180/tillsyn/A 20152-2024 tillsynsbegäran.docx", "A 20152-2024")</f>
        <v/>
      </c>
      <c r="Y628">
        <f>HYPERLINK("https://klasma.github.io/Logging_2180/tillsynsmail/A 20152-2024 tillsynsbegäran mail.docx", "A 20152-2024")</f>
        <v/>
      </c>
    </row>
    <row r="629" ht="15" customHeight="1">
      <c r="A629" t="inlineStr">
        <is>
          <t>A 20381-2024</t>
        </is>
      </c>
      <c r="B629" s="1" t="n">
        <v>45435</v>
      </c>
      <c r="C629" s="1" t="n">
        <v>45677</v>
      </c>
      <c r="D629" t="inlineStr">
        <is>
          <t>GÄVLEBORGS LÄN</t>
        </is>
      </c>
      <c r="E629" t="inlineStr">
        <is>
          <t>LJUSDAL</t>
        </is>
      </c>
      <c r="F629" t="inlineStr">
        <is>
          <t>Sveaskog</t>
        </is>
      </c>
      <c r="G629" t="n">
        <v>10.8</v>
      </c>
      <c r="H629" t="n">
        <v>1</v>
      </c>
      <c r="I629" t="n">
        <v>0</v>
      </c>
      <c r="J629" t="n">
        <v>0</v>
      </c>
      <c r="K629" t="n">
        <v>1</v>
      </c>
      <c r="L629" t="n">
        <v>0</v>
      </c>
      <c r="M629" t="n">
        <v>0</v>
      </c>
      <c r="N629" t="n">
        <v>0</v>
      </c>
      <c r="O629" t="n">
        <v>1</v>
      </c>
      <c r="P629" t="n">
        <v>1</v>
      </c>
      <c r="Q629" t="n">
        <v>1</v>
      </c>
      <c r="R629" s="2" t="inlineStr">
        <is>
          <t>Knärot</t>
        </is>
      </c>
      <c r="S629">
        <f>HYPERLINK("https://klasma.github.io/Logging_2161/artfynd/A 20381-2024 artfynd.xlsx", "A 20381-2024")</f>
        <v/>
      </c>
      <c r="T629">
        <f>HYPERLINK("https://klasma.github.io/Logging_2161/kartor/A 20381-2024 karta.png", "A 20381-2024")</f>
        <v/>
      </c>
      <c r="U629">
        <f>HYPERLINK("https://klasma.github.io/Logging_2161/knärot/A 20381-2024 karta knärot.png", "A 20381-2024")</f>
        <v/>
      </c>
      <c r="V629">
        <f>HYPERLINK("https://klasma.github.io/Logging_2161/klagomål/A 20381-2024 FSC-klagomål.docx", "A 20381-2024")</f>
        <v/>
      </c>
      <c r="W629">
        <f>HYPERLINK("https://klasma.github.io/Logging_2161/klagomålsmail/A 20381-2024 FSC-klagomål mail.docx", "A 20381-2024")</f>
        <v/>
      </c>
      <c r="X629">
        <f>HYPERLINK("https://klasma.github.io/Logging_2161/tillsyn/A 20381-2024 tillsynsbegäran.docx", "A 20381-2024")</f>
        <v/>
      </c>
      <c r="Y629">
        <f>HYPERLINK("https://klasma.github.io/Logging_2161/tillsynsmail/A 20381-2024 tillsynsbegäran mail.docx", "A 20381-2024")</f>
        <v/>
      </c>
    </row>
    <row r="630" ht="15" customHeight="1">
      <c r="A630" t="inlineStr">
        <is>
          <t>A 20656-2024</t>
        </is>
      </c>
      <c r="B630" s="1" t="n">
        <v>45436</v>
      </c>
      <c r="C630" s="1" t="n">
        <v>45677</v>
      </c>
      <c r="D630" t="inlineStr">
        <is>
          <t>GÄVLEBORGS LÄN</t>
        </is>
      </c>
      <c r="E630" t="inlineStr">
        <is>
          <t>LJUSDAL</t>
        </is>
      </c>
      <c r="F630" t="inlineStr">
        <is>
          <t>Sveaskog</t>
        </is>
      </c>
      <c r="G630" t="n">
        <v>2.7</v>
      </c>
      <c r="H630" t="n">
        <v>0</v>
      </c>
      <c r="I630" t="n">
        <v>0</v>
      </c>
      <c r="J630" t="n">
        <v>1</v>
      </c>
      <c r="K630" t="n">
        <v>0</v>
      </c>
      <c r="L630" t="n">
        <v>0</v>
      </c>
      <c r="M630" t="n">
        <v>0</v>
      </c>
      <c r="N630" t="n">
        <v>0</v>
      </c>
      <c r="O630" t="n">
        <v>1</v>
      </c>
      <c r="P630" t="n">
        <v>0</v>
      </c>
      <c r="Q630" t="n">
        <v>1</v>
      </c>
      <c r="R630" s="2" t="inlineStr">
        <is>
          <t>Tallticka</t>
        </is>
      </c>
      <c r="S630">
        <f>HYPERLINK("https://klasma.github.io/Logging_2161/artfynd/A 20656-2024 artfynd.xlsx", "A 20656-2024")</f>
        <v/>
      </c>
      <c r="T630">
        <f>HYPERLINK("https://klasma.github.io/Logging_2161/kartor/A 20656-2024 karta.png", "A 20656-2024")</f>
        <v/>
      </c>
      <c r="V630">
        <f>HYPERLINK("https://klasma.github.io/Logging_2161/klagomål/A 20656-2024 FSC-klagomål.docx", "A 20656-2024")</f>
        <v/>
      </c>
      <c r="W630">
        <f>HYPERLINK("https://klasma.github.io/Logging_2161/klagomålsmail/A 20656-2024 FSC-klagomål mail.docx", "A 20656-2024")</f>
        <v/>
      </c>
      <c r="X630">
        <f>HYPERLINK("https://klasma.github.io/Logging_2161/tillsyn/A 20656-2024 tillsynsbegäran.docx", "A 20656-2024")</f>
        <v/>
      </c>
      <c r="Y630">
        <f>HYPERLINK("https://klasma.github.io/Logging_2161/tillsynsmail/A 20656-2024 tillsynsbegäran mail.docx", "A 20656-2024")</f>
        <v/>
      </c>
    </row>
    <row r="631" ht="15" customHeight="1">
      <c r="A631" t="inlineStr">
        <is>
          <t>A 21009-2024</t>
        </is>
      </c>
      <c r="B631" s="1" t="n">
        <v>45439</v>
      </c>
      <c r="C631" s="1" t="n">
        <v>45677</v>
      </c>
      <c r="D631" t="inlineStr">
        <is>
          <t>GÄVLEBORGS LÄN</t>
        </is>
      </c>
      <c r="E631" t="inlineStr">
        <is>
          <t>HOFORS</t>
        </is>
      </c>
      <c r="F631" t="inlineStr">
        <is>
          <t>Sveaskog</t>
        </is>
      </c>
      <c r="G631" t="n">
        <v>3.8</v>
      </c>
      <c r="H631" t="n">
        <v>0</v>
      </c>
      <c r="I631" t="n">
        <v>1</v>
      </c>
      <c r="J631" t="n">
        <v>0</v>
      </c>
      <c r="K631" t="n">
        <v>0</v>
      </c>
      <c r="L631" t="n">
        <v>0</v>
      </c>
      <c r="M631" t="n">
        <v>0</v>
      </c>
      <c r="N631" t="n">
        <v>0</v>
      </c>
      <c r="O631" t="n">
        <v>0</v>
      </c>
      <c r="P631" t="n">
        <v>0</v>
      </c>
      <c r="Q631" t="n">
        <v>1</v>
      </c>
      <c r="R631" s="2" t="inlineStr">
        <is>
          <t>Tibast</t>
        </is>
      </c>
      <c r="S631">
        <f>HYPERLINK("https://klasma.github.io/Logging_2104/artfynd/A 21009-2024 artfynd.xlsx", "A 21009-2024")</f>
        <v/>
      </c>
      <c r="T631">
        <f>HYPERLINK("https://klasma.github.io/Logging_2104/kartor/A 21009-2024 karta.png", "A 21009-2024")</f>
        <v/>
      </c>
      <c r="V631">
        <f>HYPERLINK("https://klasma.github.io/Logging_2104/klagomål/A 21009-2024 FSC-klagomål.docx", "A 21009-2024")</f>
        <v/>
      </c>
      <c r="W631">
        <f>HYPERLINK("https://klasma.github.io/Logging_2104/klagomålsmail/A 21009-2024 FSC-klagomål mail.docx", "A 21009-2024")</f>
        <v/>
      </c>
      <c r="X631">
        <f>HYPERLINK("https://klasma.github.io/Logging_2104/tillsyn/A 21009-2024 tillsynsbegäran.docx", "A 21009-2024")</f>
        <v/>
      </c>
      <c r="Y631">
        <f>HYPERLINK("https://klasma.github.io/Logging_2104/tillsynsmail/A 21009-2024 tillsynsbegäran mail.docx", "A 21009-2024")</f>
        <v/>
      </c>
    </row>
    <row r="632" ht="15" customHeight="1">
      <c r="A632" t="inlineStr">
        <is>
          <t>A 21029-2024</t>
        </is>
      </c>
      <c r="B632" s="1" t="n">
        <v>45439</v>
      </c>
      <c r="C632" s="1" t="n">
        <v>45677</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21196-2024</t>
        </is>
      </c>
      <c r="B633" s="1" t="n">
        <v>45440</v>
      </c>
      <c r="C633" s="1" t="n">
        <v>45677</v>
      </c>
      <c r="D633" t="inlineStr">
        <is>
          <t>GÄVLEBORGS LÄN</t>
        </is>
      </c>
      <c r="E633" t="inlineStr">
        <is>
          <t>SANDVIKEN</t>
        </is>
      </c>
      <c r="F633" t="inlineStr">
        <is>
          <t>Kommuner</t>
        </is>
      </c>
      <c r="G633" t="n">
        <v>45.5</v>
      </c>
      <c r="H633" t="n">
        <v>1</v>
      </c>
      <c r="I633" t="n">
        <v>0</v>
      </c>
      <c r="J633" t="n">
        <v>0</v>
      </c>
      <c r="K633" t="n">
        <v>1</v>
      </c>
      <c r="L633" t="n">
        <v>0</v>
      </c>
      <c r="M633" t="n">
        <v>0</v>
      </c>
      <c r="N633" t="n">
        <v>0</v>
      </c>
      <c r="O633" t="n">
        <v>1</v>
      </c>
      <c r="P633" t="n">
        <v>1</v>
      </c>
      <c r="Q633" t="n">
        <v>1</v>
      </c>
      <c r="R633" s="2" t="inlineStr">
        <is>
          <t>Lappuggla</t>
        </is>
      </c>
      <c r="S633">
        <f>HYPERLINK("https://klasma.github.io/Logging_2181/artfynd/A 21196-2024 artfynd.xlsx", "A 21196-2024")</f>
        <v/>
      </c>
      <c r="T633">
        <f>HYPERLINK("https://klasma.github.io/Logging_2181/kartor/A 21196-2024 karta.png", "A 21196-2024")</f>
        <v/>
      </c>
      <c r="V633">
        <f>HYPERLINK("https://klasma.github.io/Logging_2181/klagomål/A 21196-2024 FSC-klagomål.docx", "A 21196-2024")</f>
        <v/>
      </c>
      <c r="W633">
        <f>HYPERLINK("https://klasma.github.io/Logging_2181/klagomålsmail/A 21196-2024 FSC-klagomål mail.docx", "A 21196-2024")</f>
        <v/>
      </c>
      <c r="X633">
        <f>HYPERLINK("https://klasma.github.io/Logging_2181/tillsyn/A 21196-2024 tillsynsbegäran.docx", "A 21196-2024")</f>
        <v/>
      </c>
      <c r="Y633">
        <f>HYPERLINK("https://klasma.github.io/Logging_2181/tillsynsmail/A 21196-2024 tillsynsbegäran mail.docx", "A 21196-2024")</f>
        <v/>
      </c>
      <c r="Z633">
        <f>HYPERLINK("https://klasma.github.io/Logging_2181/fåglar/A 21196-2024 prioriterade fågelarter.docx", "A 21196-2024")</f>
        <v/>
      </c>
    </row>
    <row r="634" ht="15" customHeight="1">
      <c r="A634" t="inlineStr">
        <is>
          <t>A 21282-2024</t>
        </is>
      </c>
      <c r="B634" s="1" t="n">
        <v>45440</v>
      </c>
      <c r="C634" s="1" t="n">
        <v>45677</v>
      </c>
      <c r="D634" t="inlineStr">
        <is>
          <t>GÄVLEBORGS LÄN</t>
        </is>
      </c>
      <c r="E634" t="inlineStr">
        <is>
          <t>GÄVLE</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HYPERLINK("https://klasma.github.io/Logging_2180/artfynd/A 21282-2024 artfynd.xlsx", "A 21282-2024")</f>
        <v/>
      </c>
      <c r="T634">
        <f>HYPERLINK("https://klasma.github.io/Logging_2180/kartor/A 21282-2024 karta.png", "A 21282-2024")</f>
        <v/>
      </c>
      <c r="V634">
        <f>HYPERLINK("https://klasma.github.io/Logging_2180/klagomål/A 21282-2024 FSC-klagomål.docx", "A 21282-2024")</f>
        <v/>
      </c>
      <c r="W634">
        <f>HYPERLINK("https://klasma.github.io/Logging_2180/klagomålsmail/A 21282-2024 FSC-klagomål mail.docx", "A 21282-2024")</f>
        <v/>
      </c>
      <c r="X634">
        <f>HYPERLINK("https://klasma.github.io/Logging_2180/tillsyn/A 21282-2024 tillsynsbegäran.docx", "A 21282-2024")</f>
        <v/>
      </c>
      <c r="Y634">
        <f>HYPERLINK("https://klasma.github.io/Logging_2180/tillsynsmail/A 21282-2024 tillsynsbegäran mail.docx", "A 21282-2024")</f>
        <v/>
      </c>
    </row>
    <row r="635" ht="15" customHeight="1">
      <c r="A635" t="inlineStr">
        <is>
          <t>A 21900-2024</t>
        </is>
      </c>
      <c r="B635" s="1" t="n">
        <v>45443</v>
      </c>
      <c r="C635" s="1" t="n">
        <v>45677</v>
      </c>
      <c r="D635" t="inlineStr">
        <is>
          <t>GÄVLEBORGS LÄN</t>
        </is>
      </c>
      <c r="E635" t="inlineStr">
        <is>
          <t>LJUSDAL</t>
        </is>
      </c>
      <c r="F635" t="inlineStr">
        <is>
          <t>Sveaskog</t>
        </is>
      </c>
      <c r="G635" t="n">
        <v>1.6</v>
      </c>
      <c r="H635" t="n">
        <v>0</v>
      </c>
      <c r="I635" t="n">
        <v>0</v>
      </c>
      <c r="J635" t="n">
        <v>1</v>
      </c>
      <c r="K635" t="n">
        <v>0</v>
      </c>
      <c r="L635" t="n">
        <v>0</v>
      </c>
      <c r="M635" t="n">
        <v>0</v>
      </c>
      <c r="N635" t="n">
        <v>0</v>
      </c>
      <c r="O635" t="n">
        <v>1</v>
      </c>
      <c r="P635" t="n">
        <v>0</v>
      </c>
      <c r="Q635" t="n">
        <v>1</v>
      </c>
      <c r="R635" s="2" t="inlineStr">
        <is>
          <t>Lunglav</t>
        </is>
      </c>
      <c r="S635">
        <f>HYPERLINK("https://klasma.github.io/Logging_2161/artfynd/A 21900-2024 artfynd.xlsx", "A 21900-2024")</f>
        <v/>
      </c>
      <c r="T635">
        <f>HYPERLINK("https://klasma.github.io/Logging_2161/kartor/A 21900-2024 karta.png", "A 21900-2024")</f>
        <v/>
      </c>
      <c r="U635">
        <f>HYPERLINK("https://klasma.github.io/Logging_2161/knärot/A 21900-2024 karta knärot.png", "A 21900-2024")</f>
        <v/>
      </c>
      <c r="V635">
        <f>HYPERLINK("https://klasma.github.io/Logging_2161/klagomål/A 21900-2024 FSC-klagomål.docx", "A 21900-2024")</f>
        <v/>
      </c>
      <c r="W635">
        <f>HYPERLINK("https://klasma.github.io/Logging_2161/klagomålsmail/A 21900-2024 FSC-klagomål mail.docx", "A 21900-2024")</f>
        <v/>
      </c>
      <c r="X635">
        <f>HYPERLINK("https://klasma.github.io/Logging_2161/tillsyn/A 21900-2024 tillsynsbegäran.docx", "A 21900-2024")</f>
        <v/>
      </c>
      <c r="Y635">
        <f>HYPERLINK("https://klasma.github.io/Logging_2161/tillsynsmail/A 21900-2024 tillsynsbegäran mail.docx", "A 21900-2024")</f>
        <v/>
      </c>
    </row>
    <row r="636" ht="15" customHeight="1">
      <c r="A636" t="inlineStr">
        <is>
          <t>A 22247-2024</t>
        </is>
      </c>
      <c r="B636" s="1" t="n">
        <v>45446</v>
      </c>
      <c r="C636" s="1" t="n">
        <v>45677</v>
      </c>
      <c r="D636" t="inlineStr">
        <is>
          <t>GÄVLEBORGS LÄN</t>
        </is>
      </c>
      <c r="E636" t="inlineStr">
        <is>
          <t>LJUSDAL</t>
        </is>
      </c>
      <c r="F636" t="inlineStr">
        <is>
          <t>Sveaskog</t>
        </is>
      </c>
      <c r="G636" t="n">
        <v>3.5</v>
      </c>
      <c r="H636" t="n">
        <v>0</v>
      </c>
      <c r="I636" t="n">
        <v>0</v>
      </c>
      <c r="J636" t="n">
        <v>1</v>
      </c>
      <c r="K636" t="n">
        <v>0</v>
      </c>
      <c r="L636" t="n">
        <v>0</v>
      </c>
      <c r="M636" t="n">
        <v>0</v>
      </c>
      <c r="N636" t="n">
        <v>0</v>
      </c>
      <c r="O636" t="n">
        <v>1</v>
      </c>
      <c r="P636" t="n">
        <v>0</v>
      </c>
      <c r="Q636" t="n">
        <v>1</v>
      </c>
      <c r="R636" s="2" t="inlineStr">
        <is>
          <t>Lunglav</t>
        </is>
      </c>
      <c r="S636">
        <f>HYPERLINK("https://klasma.github.io/Logging_2161/artfynd/A 22247-2024 artfynd.xlsx", "A 22247-2024")</f>
        <v/>
      </c>
      <c r="T636">
        <f>HYPERLINK("https://klasma.github.io/Logging_2161/kartor/A 22247-2024 karta.png", "A 22247-2024")</f>
        <v/>
      </c>
      <c r="V636">
        <f>HYPERLINK("https://klasma.github.io/Logging_2161/klagomål/A 22247-2024 FSC-klagomål.docx", "A 22247-2024")</f>
        <v/>
      </c>
      <c r="W636">
        <f>HYPERLINK("https://klasma.github.io/Logging_2161/klagomålsmail/A 22247-2024 FSC-klagomål mail.docx", "A 22247-2024")</f>
        <v/>
      </c>
      <c r="X636">
        <f>HYPERLINK("https://klasma.github.io/Logging_2161/tillsyn/A 22247-2024 tillsynsbegäran.docx", "A 22247-2024")</f>
        <v/>
      </c>
      <c r="Y636">
        <f>HYPERLINK("https://klasma.github.io/Logging_2161/tillsynsmail/A 22247-2024 tillsynsbegäran mail.docx", "A 22247-2024")</f>
        <v/>
      </c>
    </row>
    <row r="637" ht="15" customHeight="1">
      <c r="A637" t="inlineStr">
        <is>
          <t>A 22470-2024</t>
        </is>
      </c>
      <c r="B637" s="1" t="n">
        <v>45446</v>
      </c>
      <c r="C637" s="1" t="n">
        <v>45677</v>
      </c>
      <c r="D637" t="inlineStr">
        <is>
          <t>GÄVLEBORGS LÄN</t>
        </is>
      </c>
      <c r="E637" t="inlineStr">
        <is>
          <t>LJUSDAL</t>
        </is>
      </c>
      <c r="F637" t="inlineStr">
        <is>
          <t>SCA</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HYPERLINK("https://klasma.github.io/Logging_2161/artfynd/A 22470-2024 artfynd.xlsx", "A 22470-2024")</f>
        <v/>
      </c>
      <c r="T637">
        <f>HYPERLINK("https://klasma.github.io/Logging_2161/kartor/A 22470-2024 karta.png", "A 22470-2024")</f>
        <v/>
      </c>
      <c r="U637">
        <f>HYPERLINK("https://klasma.github.io/Logging_2161/knärot/A 22470-2024 karta knärot.png", "A 22470-2024")</f>
        <v/>
      </c>
      <c r="V637">
        <f>HYPERLINK("https://klasma.github.io/Logging_2161/klagomål/A 22470-2024 FSC-klagomål.docx", "A 22470-2024")</f>
        <v/>
      </c>
      <c r="W637">
        <f>HYPERLINK("https://klasma.github.io/Logging_2161/klagomålsmail/A 22470-2024 FSC-klagomål mail.docx", "A 22470-2024")</f>
        <v/>
      </c>
      <c r="X637">
        <f>HYPERLINK("https://klasma.github.io/Logging_2161/tillsyn/A 22470-2024 tillsynsbegäran.docx", "A 22470-2024")</f>
        <v/>
      </c>
      <c r="Y637">
        <f>HYPERLINK("https://klasma.github.io/Logging_2161/tillsynsmail/A 22470-2024 tillsynsbegäran mail.docx", "A 22470-2024")</f>
        <v/>
      </c>
    </row>
    <row r="638" ht="15" customHeight="1">
      <c r="A638" t="inlineStr">
        <is>
          <t>A 22667-2024</t>
        </is>
      </c>
      <c r="B638" s="1" t="n">
        <v>45448</v>
      </c>
      <c r="C638" s="1" t="n">
        <v>45677</v>
      </c>
      <c r="D638" t="inlineStr">
        <is>
          <t>GÄVLEBORGS LÄN</t>
        </is>
      </c>
      <c r="E638" t="inlineStr">
        <is>
          <t>LJUSDAL</t>
        </is>
      </c>
      <c r="F638" t="inlineStr">
        <is>
          <t>SCA</t>
        </is>
      </c>
      <c r="G638" t="n">
        <v>5.3</v>
      </c>
      <c r="H638" t="n">
        <v>1</v>
      </c>
      <c r="I638" t="n">
        <v>0</v>
      </c>
      <c r="J638" t="n">
        <v>0</v>
      </c>
      <c r="K638" t="n">
        <v>1</v>
      </c>
      <c r="L638" t="n">
        <v>0</v>
      </c>
      <c r="M638" t="n">
        <v>0</v>
      </c>
      <c r="N638" t="n">
        <v>0</v>
      </c>
      <c r="O638" t="n">
        <v>1</v>
      </c>
      <c r="P638" t="n">
        <v>1</v>
      </c>
      <c r="Q638" t="n">
        <v>1</v>
      </c>
      <c r="R638" s="2" t="inlineStr">
        <is>
          <t>Knärot</t>
        </is>
      </c>
      <c r="S638">
        <f>HYPERLINK("https://klasma.github.io/Logging_2161/artfynd/A 22667-2024 artfynd.xlsx", "A 22667-2024")</f>
        <v/>
      </c>
      <c r="T638">
        <f>HYPERLINK("https://klasma.github.io/Logging_2161/kartor/A 22667-2024 karta.png", "A 22667-2024")</f>
        <v/>
      </c>
      <c r="U638">
        <f>HYPERLINK("https://klasma.github.io/Logging_2161/knärot/A 22667-2024 karta knärot.png", "A 22667-2024")</f>
        <v/>
      </c>
      <c r="V638">
        <f>HYPERLINK("https://klasma.github.io/Logging_2161/klagomål/A 22667-2024 FSC-klagomål.docx", "A 22667-2024")</f>
        <v/>
      </c>
      <c r="W638">
        <f>HYPERLINK("https://klasma.github.io/Logging_2161/klagomålsmail/A 22667-2024 FSC-klagomål mail.docx", "A 22667-2024")</f>
        <v/>
      </c>
      <c r="X638">
        <f>HYPERLINK("https://klasma.github.io/Logging_2161/tillsyn/A 22667-2024 tillsynsbegäran.docx", "A 22667-2024")</f>
        <v/>
      </c>
      <c r="Y638">
        <f>HYPERLINK("https://klasma.github.io/Logging_2161/tillsynsmail/A 22667-2024 tillsynsbegäran mail.docx", "A 22667-2024")</f>
        <v/>
      </c>
    </row>
    <row r="639" ht="15" customHeight="1">
      <c r="A639" t="inlineStr">
        <is>
          <t>A 23354-2024</t>
        </is>
      </c>
      <c r="B639" s="1" t="n">
        <v>45453</v>
      </c>
      <c r="C639" s="1" t="n">
        <v>45677</v>
      </c>
      <c r="D639" t="inlineStr">
        <is>
          <t>GÄVLEBORGS LÄN</t>
        </is>
      </c>
      <c r="E639" t="inlineStr">
        <is>
          <t>HOFORS</t>
        </is>
      </c>
      <c r="F639" t="inlineStr">
        <is>
          <t>Sveaskog</t>
        </is>
      </c>
      <c r="G639" t="n">
        <v>2</v>
      </c>
      <c r="H639" t="n">
        <v>1</v>
      </c>
      <c r="I639" t="n">
        <v>0</v>
      </c>
      <c r="J639" t="n">
        <v>0</v>
      </c>
      <c r="K639" t="n">
        <v>0</v>
      </c>
      <c r="L639" t="n">
        <v>0</v>
      </c>
      <c r="M639" t="n">
        <v>0</v>
      </c>
      <c r="N639" t="n">
        <v>0</v>
      </c>
      <c r="O639" t="n">
        <v>0</v>
      </c>
      <c r="P639" t="n">
        <v>0</v>
      </c>
      <c r="Q639" t="n">
        <v>1</v>
      </c>
      <c r="R639" s="2" t="inlineStr">
        <is>
          <t>Fläcknycklar</t>
        </is>
      </c>
      <c r="S639">
        <f>HYPERLINK("https://klasma.github.io/Logging_2104/artfynd/A 23354-2024 artfynd.xlsx", "A 23354-2024")</f>
        <v/>
      </c>
      <c r="T639">
        <f>HYPERLINK("https://klasma.github.io/Logging_2104/kartor/A 23354-2024 karta.png", "A 23354-2024")</f>
        <v/>
      </c>
      <c r="V639">
        <f>HYPERLINK("https://klasma.github.io/Logging_2104/klagomål/A 23354-2024 FSC-klagomål.docx", "A 23354-2024")</f>
        <v/>
      </c>
      <c r="W639">
        <f>HYPERLINK("https://klasma.github.io/Logging_2104/klagomålsmail/A 23354-2024 FSC-klagomål mail.docx", "A 23354-2024")</f>
        <v/>
      </c>
      <c r="X639">
        <f>HYPERLINK("https://klasma.github.io/Logging_2104/tillsyn/A 23354-2024 tillsynsbegäran.docx", "A 23354-2024")</f>
        <v/>
      </c>
      <c r="Y639">
        <f>HYPERLINK("https://klasma.github.io/Logging_2104/tillsynsmail/A 23354-2024 tillsynsbegäran mail.docx", "A 23354-2024")</f>
        <v/>
      </c>
    </row>
    <row r="640" ht="15" customHeight="1">
      <c r="A640" t="inlineStr">
        <is>
          <t>A 23651-2024</t>
        </is>
      </c>
      <c r="B640" s="1" t="n">
        <v>45454</v>
      </c>
      <c r="C640" s="1" t="n">
        <v>45677</v>
      </c>
      <c r="D640" t="inlineStr">
        <is>
          <t>GÄVLEBORGS LÄN</t>
        </is>
      </c>
      <c r="E640" t="inlineStr">
        <is>
          <t>LJUSDAL</t>
        </is>
      </c>
      <c r="F640" t="inlineStr">
        <is>
          <t>Bergvik skog väst AB</t>
        </is>
      </c>
      <c r="G640" t="n">
        <v>1.7</v>
      </c>
      <c r="H640" t="n">
        <v>0</v>
      </c>
      <c r="I640" t="n">
        <v>0</v>
      </c>
      <c r="J640" t="n">
        <v>1</v>
      </c>
      <c r="K640" t="n">
        <v>0</v>
      </c>
      <c r="L640" t="n">
        <v>0</v>
      </c>
      <c r="M640" t="n">
        <v>0</v>
      </c>
      <c r="N640" t="n">
        <v>0</v>
      </c>
      <c r="O640" t="n">
        <v>1</v>
      </c>
      <c r="P640" t="n">
        <v>0</v>
      </c>
      <c r="Q640" t="n">
        <v>1</v>
      </c>
      <c r="R640" s="2" t="inlineStr">
        <is>
          <t>Tallticka</t>
        </is>
      </c>
      <c r="S640">
        <f>HYPERLINK("https://klasma.github.io/Logging_2161/artfynd/A 23651-2024 artfynd.xlsx", "A 23651-2024")</f>
        <v/>
      </c>
      <c r="T640">
        <f>HYPERLINK("https://klasma.github.io/Logging_2161/kartor/A 23651-2024 karta.png", "A 23651-2024")</f>
        <v/>
      </c>
      <c r="V640">
        <f>HYPERLINK("https://klasma.github.io/Logging_2161/klagomål/A 23651-2024 FSC-klagomål.docx", "A 23651-2024")</f>
        <v/>
      </c>
      <c r="W640">
        <f>HYPERLINK("https://klasma.github.io/Logging_2161/klagomålsmail/A 23651-2024 FSC-klagomål mail.docx", "A 23651-2024")</f>
        <v/>
      </c>
      <c r="X640">
        <f>HYPERLINK("https://klasma.github.io/Logging_2161/tillsyn/A 23651-2024 tillsynsbegäran.docx", "A 23651-2024")</f>
        <v/>
      </c>
      <c r="Y640">
        <f>HYPERLINK("https://klasma.github.io/Logging_2161/tillsynsmail/A 23651-2024 tillsynsbegäran mail.docx", "A 23651-2024")</f>
        <v/>
      </c>
    </row>
    <row r="641" ht="15" customHeight="1">
      <c r="A641" t="inlineStr">
        <is>
          <t>A 23700-2024</t>
        </is>
      </c>
      <c r="B641" s="1" t="n">
        <v>45454</v>
      </c>
      <c r="C641" s="1" t="n">
        <v>45677</v>
      </c>
      <c r="D641" t="inlineStr">
        <is>
          <t>GÄVLEBORGS LÄN</t>
        </is>
      </c>
      <c r="E641" t="inlineStr">
        <is>
          <t>GÄVLE</t>
        </is>
      </c>
      <c r="G641" t="n">
        <v>1.7</v>
      </c>
      <c r="H641" t="n">
        <v>0</v>
      </c>
      <c r="I641" t="n">
        <v>1</v>
      </c>
      <c r="J641" t="n">
        <v>0</v>
      </c>
      <c r="K641" t="n">
        <v>0</v>
      </c>
      <c r="L641" t="n">
        <v>0</v>
      </c>
      <c r="M641" t="n">
        <v>0</v>
      </c>
      <c r="N641" t="n">
        <v>0</v>
      </c>
      <c r="O641" t="n">
        <v>0</v>
      </c>
      <c r="P641" t="n">
        <v>0</v>
      </c>
      <c r="Q641" t="n">
        <v>1</v>
      </c>
      <c r="R641" s="2" t="inlineStr">
        <is>
          <t>Bronshjon</t>
        </is>
      </c>
      <c r="S641">
        <f>HYPERLINK("https://klasma.github.io/Logging_2180/artfynd/A 23700-2024 artfynd.xlsx", "A 23700-2024")</f>
        <v/>
      </c>
      <c r="T641">
        <f>HYPERLINK("https://klasma.github.io/Logging_2180/kartor/A 23700-2024 karta.png", "A 23700-2024")</f>
        <v/>
      </c>
      <c r="V641">
        <f>HYPERLINK("https://klasma.github.io/Logging_2180/klagomål/A 23700-2024 FSC-klagomål.docx", "A 23700-2024")</f>
        <v/>
      </c>
      <c r="W641">
        <f>HYPERLINK("https://klasma.github.io/Logging_2180/klagomålsmail/A 23700-2024 FSC-klagomål mail.docx", "A 23700-2024")</f>
        <v/>
      </c>
      <c r="X641">
        <f>HYPERLINK("https://klasma.github.io/Logging_2180/tillsyn/A 23700-2024 tillsynsbegäran.docx", "A 23700-2024")</f>
        <v/>
      </c>
      <c r="Y641">
        <f>HYPERLINK("https://klasma.github.io/Logging_2180/tillsynsmail/A 23700-2024 tillsynsbegäran mail.docx", "A 23700-2024")</f>
        <v/>
      </c>
    </row>
    <row r="642" ht="15" customHeight="1">
      <c r="A642" t="inlineStr">
        <is>
          <t>A 23644-2024</t>
        </is>
      </c>
      <c r="B642" s="1" t="n">
        <v>45454</v>
      </c>
      <c r="C642" s="1" t="n">
        <v>45677</v>
      </c>
      <c r="D642" t="inlineStr">
        <is>
          <t>GÄVLEBORGS LÄN</t>
        </is>
      </c>
      <c r="E642" t="inlineStr">
        <is>
          <t>LJUSDAL</t>
        </is>
      </c>
      <c r="F642" t="inlineStr">
        <is>
          <t>Sveaskog</t>
        </is>
      </c>
      <c r="G642" t="n">
        <v>26.6</v>
      </c>
      <c r="H642" t="n">
        <v>0</v>
      </c>
      <c r="I642" t="n">
        <v>0</v>
      </c>
      <c r="J642" t="n">
        <v>1</v>
      </c>
      <c r="K642" t="n">
        <v>0</v>
      </c>
      <c r="L642" t="n">
        <v>0</v>
      </c>
      <c r="M642" t="n">
        <v>0</v>
      </c>
      <c r="N642" t="n">
        <v>0</v>
      </c>
      <c r="O642" t="n">
        <v>1</v>
      </c>
      <c r="P642" t="n">
        <v>0</v>
      </c>
      <c r="Q642" t="n">
        <v>1</v>
      </c>
      <c r="R642" s="2" t="inlineStr">
        <is>
          <t>Kolflarnlav</t>
        </is>
      </c>
      <c r="S642">
        <f>HYPERLINK("https://klasma.github.io/Logging_2161/artfynd/A 23644-2024 artfynd.xlsx", "A 23644-2024")</f>
        <v/>
      </c>
      <c r="T642">
        <f>HYPERLINK("https://klasma.github.io/Logging_2161/kartor/A 23644-2024 karta.png", "A 23644-2024")</f>
        <v/>
      </c>
      <c r="V642">
        <f>HYPERLINK("https://klasma.github.io/Logging_2161/klagomål/A 23644-2024 FSC-klagomål.docx", "A 23644-2024")</f>
        <v/>
      </c>
      <c r="W642">
        <f>HYPERLINK("https://klasma.github.io/Logging_2161/klagomålsmail/A 23644-2024 FSC-klagomål mail.docx", "A 23644-2024")</f>
        <v/>
      </c>
      <c r="X642">
        <f>HYPERLINK("https://klasma.github.io/Logging_2161/tillsyn/A 23644-2024 tillsynsbegäran.docx", "A 23644-2024")</f>
        <v/>
      </c>
      <c r="Y642">
        <f>HYPERLINK("https://klasma.github.io/Logging_2161/tillsynsmail/A 23644-2024 tillsynsbegäran mail.docx", "A 23644-2024")</f>
        <v/>
      </c>
    </row>
    <row r="643" ht="15" customHeight="1">
      <c r="A643" t="inlineStr">
        <is>
          <t>A 24651-2024</t>
        </is>
      </c>
      <c r="B643" s="1" t="n">
        <v>45460</v>
      </c>
      <c r="C643" s="1" t="n">
        <v>45677</v>
      </c>
      <c r="D643" t="inlineStr">
        <is>
          <t>GÄVLEBORGS LÄN</t>
        </is>
      </c>
      <c r="E643" t="inlineStr">
        <is>
          <t>OVANÅKER</t>
        </is>
      </c>
      <c r="F643" t="inlineStr">
        <is>
          <t>Bergvik skog väst AB</t>
        </is>
      </c>
      <c r="G643" t="n">
        <v>47.7</v>
      </c>
      <c r="H643" t="n">
        <v>0</v>
      </c>
      <c r="I643" t="n">
        <v>0</v>
      </c>
      <c r="J643" t="n">
        <v>1</v>
      </c>
      <c r="K643" t="n">
        <v>0</v>
      </c>
      <c r="L643" t="n">
        <v>0</v>
      </c>
      <c r="M643" t="n">
        <v>0</v>
      </c>
      <c r="N643" t="n">
        <v>0</v>
      </c>
      <c r="O643" t="n">
        <v>1</v>
      </c>
      <c r="P643" t="n">
        <v>0</v>
      </c>
      <c r="Q643" t="n">
        <v>1</v>
      </c>
      <c r="R643" s="2" t="inlineStr">
        <is>
          <t>Dvärgbägarlav</t>
        </is>
      </c>
      <c r="S643">
        <f>HYPERLINK("https://klasma.github.io/Logging_2121/artfynd/A 24651-2024 artfynd.xlsx", "A 24651-2024")</f>
        <v/>
      </c>
      <c r="T643">
        <f>HYPERLINK("https://klasma.github.io/Logging_2121/kartor/A 24651-2024 karta.png", "A 24651-2024")</f>
        <v/>
      </c>
      <c r="V643">
        <f>HYPERLINK("https://klasma.github.io/Logging_2121/klagomål/A 24651-2024 FSC-klagomål.docx", "A 24651-2024")</f>
        <v/>
      </c>
      <c r="W643">
        <f>HYPERLINK("https://klasma.github.io/Logging_2121/klagomålsmail/A 24651-2024 FSC-klagomål mail.docx", "A 24651-2024")</f>
        <v/>
      </c>
      <c r="X643">
        <f>HYPERLINK("https://klasma.github.io/Logging_2121/tillsyn/A 24651-2024 tillsynsbegäran.docx", "A 24651-2024")</f>
        <v/>
      </c>
      <c r="Y643">
        <f>HYPERLINK("https://klasma.github.io/Logging_2121/tillsynsmail/A 24651-2024 tillsynsbegäran mail.docx", "A 24651-2024")</f>
        <v/>
      </c>
    </row>
    <row r="644" ht="15" customHeight="1">
      <c r="A644" t="inlineStr">
        <is>
          <t>A 24831-2024</t>
        </is>
      </c>
      <c r="B644" s="1" t="n">
        <v>45461</v>
      </c>
      <c r="C644" s="1" t="n">
        <v>45677</v>
      </c>
      <c r="D644" t="inlineStr">
        <is>
          <t>GÄVLEBORGS LÄN</t>
        </is>
      </c>
      <c r="E644" t="inlineStr">
        <is>
          <t>LJUSDAL</t>
        </is>
      </c>
      <c r="G644" t="n">
        <v>4.9</v>
      </c>
      <c r="H644" t="n">
        <v>0</v>
      </c>
      <c r="I644" t="n">
        <v>0</v>
      </c>
      <c r="J644" t="n">
        <v>1</v>
      </c>
      <c r="K644" t="n">
        <v>0</v>
      </c>
      <c r="L644" t="n">
        <v>0</v>
      </c>
      <c r="M644" t="n">
        <v>0</v>
      </c>
      <c r="N644" t="n">
        <v>0</v>
      </c>
      <c r="O644" t="n">
        <v>1</v>
      </c>
      <c r="P644" t="n">
        <v>0</v>
      </c>
      <c r="Q644" t="n">
        <v>1</v>
      </c>
      <c r="R644" s="2" t="inlineStr">
        <is>
          <t>Lunglav</t>
        </is>
      </c>
      <c r="S644">
        <f>HYPERLINK("https://klasma.github.io/Logging_2161/artfynd/A 24831-2024 artfynd.xlsx", "A 24831-2024")</f>
        <v/>
      </c>
      <c r="T644">
        <f>HYPERLINK("https://klasma.github.io/Logging_2161/kartor/A 24831-2024 karta.png", "A 24831-2024")</f>
        <v/>
      </c>
      <c r="V644">
        <f>HYPERLINK("https://klasma.github.io/Logging_2161/klagomål/A 24831-2024 FSC-klagomål.docx", "A 24831-2024")</f>
        <v/>
      </c>
      <c r="W644">
        <f>HYPERLINK("https://klasma.github.io/Logging_2161/klagomålsmail/A 24831-2024 FSC-klagomål mail.docx", "A 24831-2024")</f>
        <v/>
      </c>
      <c r="X644">
        <f>HYPERLINK("https://klasma.github.io/Logging_2161/tillsyn/A 24831-2024 tillsynsbegäran.docx", "A 24831-2024")</f>
        <v/>
      </c>
      <c r="Y644">
        <f>HYPERLINK("https://klasma.github.io/Logging_2161/tillsynsmail/A 24831-2024 tillsynsbegäran mail.docx", "A 24831-2024")</f>
        <v/>
      </c>
    </row>
    <row r="645" ht="15" customHeight="1">
      <c r="A645" t="inlineStr">
        <is>
          <t>A 24903-2024</t>
        </is>
      </c>
      <c r="B645" s="1" t="n">
        <v>45461</v>
      </c>
      <c r="C645" s="1" t="n">
        <v>45677</v>
      </c>
      <c r="D645" t="inlineStr">
        <is>
          <t>GÄVLEBORGS LÄN</t>
        </is>
      </c>
      <c r="E645" t="inlineStr">
        <is>
          <t>LJUSDAL</t>
        </is>
      </c>
      <c r="F645" t="inlineStr">
        <is>
          <t>Bergvik skog väst AB</t>
        </is>
      </c>
      <c r="G645" t="n">
        <v>5</v>
      </c>
      <c r="H645" t="n">
        <v>0</v>
      </c>
      <c r="I645" t="n">
        <v>0</v>
      </c>
      <c r="J645" t="n">
        <v>1</v>
      </c>
      <c r="K645" t="n">
        <v>0</v>
      </c>
      <c r="L645" t="n">
        <v>0</v>
      </c>
      <c r="M645" t="n">
        <v>0</v>
      </c>
      <c r="N645" t="n">
        <v>0</v>
      </c>
      <c r="O645" t="n">
        <v>1</v>
      </c>
      <c r="P645" t="n">
        <v>0</v>
      </c>
      <c r="Q645" t="n">
        <v>1</v>
      </c>
      <c r="R645" s="2" t="inlineStr">
        <is>
          <t>Lunglav</t>
        </is>
      </c>
      <c r="S645">
        <f>HYPERLINK("https://klasma.github.io/Logging_2161/artfynd/A 24903-2024 artfynd.xlsx", "A 24903-2024")</f>
        <v/>
      </c>
      <c r="T645">
        <f>HYPERLINK("https://klasma.github.io/Logging_2161/kartor/A 24903-2024 karta.png", "A 24903-2024")</f>
        <v/>
      </c>
      <c r="V645">
        <f>HYPERLINK("https://klasma.github.io/Logging_2161/klagomål/A 24903-2024 FSC-klagomål.docx", "A 24903-2024")</f>
        <v/>
      </c>
      <c r="W645">
        <f>HYPERLINK("https://klasma.github.io/Logging_2161/klagomålsmail/A 24903-2024 FSC-klagomål mail.docx", "A 24903-2024")</f>
        <v/>
      </c>
      <c r="X645">
        <f>HYPERLINK("https://klasma.github.io/Logging_2161/tillsyn/A 24903-2024 tillsynsbegäran.docx", "A 24903-2024")</f>
        <v/>
      </c>
      <c r="Y645">
        <f>HYPERLINK("https://klasma.github.io/Logging_2161/tillsynsmail/A 24903-2024 tillsynsbegäran mail.docx", "A 24903-2024")</f>
        <v/>
      </c>
    </row>
    <row r="646" ht="15" customHeight="1">
      <c r="A646" t="inlineStr">
        <is>
          <t>A 25145-2024</t>
        </is>
      </c>
      <c r="B646" s="1" t="n">
        <v>45462</v>
      </c>
      <c r="C646" s="1" t="n">
        <v>45677</v>
      </c>
      <c r="D646" t="inlineStr">
        <is>
          <t>GÄVLEBORGS LÄN</t>
        </is>
      </c>
      <c r="E646" t="inlineStr">
        <is>
          <t>HUDIKSVALL</t>
        </is>
      </c>
      <c r="F646" t="inlineStr">
        <is>
          <t>Sveaskog</t>
        </is>
      </c>
      <c r="G646" t="n">
        <v>2.3</v>
      </c>
      <c r="H646" t="n">
        <v>1</v>
      </c>
      <c r="I646" t="n">
        <v>0</v>
      </c>
      <c r="J646" t="n">
        <v>0</v>
      </c>
      <c r="K646" t="n">
        <v>0</v>
      </c>
      <c r="L646" t="n">
        <v>0</v>
      </c>
      <c r="M646" t="n">
        <v>0</v>
      </c>
      <c r="N646" t="n">
        <v>0</v>
      </c>
      <c r="O646" t="n">
        <v>0</v>
      </c>
      <c r="P646" t="n">
        <v>0</v>
      </c>
      <c r="Q646" t="n">
        <v>1</v>
      </c>
      <c r="R646" s="2" t="inlineStr">
        <is>
          <t>Skogsödla</t>
        </is>
      </c>
      <c r="S646">
        <f>HYPERLINK("https://klasma.github.io/Logging_2184/artfynd/A 25145-2024 artfynd.xlsx", "A 25145-2024")</f>
        <v/>
      </c>
      <c r="T646">
        <f>HYPERLINK("https://klasma.github.io/Logging_2184/kartor/A 25145-2024 karta.png", "A 25145-2024")</f>
        <v/>
      </c>
      <c r="V646">
        <f>HYPERLINK("https://klasma.github.io/Logging_2184/klagomål/A 25145-2024 FSC-klagomål.docx", "A 25145-2024")</f>
        <v/>
      </c>
      <c r="W646">
        <f>HYPERLINK("https://klasma.github.io/Logging_2184/klagomålsmail/A 25145-2024 FSC-klagomål mail.docx", "A 25145-2024")</f>
        <v/>
      </c>
      <c r="X646">
        <f>HYPERLINK("https://klasma.github.io/Logging_2184/tillsyn/A 25145-2024 tillsynsbegäran.docx", "A 25145-2024")</f>
        <v/>
      </c>
      <c r="Y646">
        <f>HYPERLINK("https://klasma.github.io/Logging_2184/tillsynsmail/A 25145-2024 tillsynsbegäran mail.docx", "A 25145-2024")</f>
        <v/>
      </c>
    </row>
    <row r="647" ht="15" customHeight="1">
      <c r="A647" t="inlineStr">
        <is>
          <t>A 25657-2024</t>
        </is>
      </c>
      <c r="B647" s="1" t="n">
        <v>45463</v>
      </c>
      <c r="C647" s="1" t="n">
        <v>45677</v>
      </c>
      <c r="D647" t="inlineStr">
        <is>
          <t>GÄVLEBORGS LÄN</t>
        </is>
      </c>
      <c r="E647" t="inlineStr">
        <is>
          <t>GÄVLE</t>
        </is>
      </c>
      <c r="G647" t="n">
        <v>4</v>
      </c>
      <c r="H647" t="n">
        <v>0</v>
      </c>
      <c r="I647" t="n">
        <v>0</v>
      </c>
      <c r="J647" t="n">
        <v>1</v>
      </c>
      <c r="K647" t="n">
        <v>0</v>
      </c>
      <c r="L647" t="n">
        <v>0</v>
      </c>
      <c r="M647" t="n">
        <v>0</v>
      </c>
      <c r="N647" t="n">
        <v>0</v>
      </c>
      <c r="O647" t="n">
        <v>1</v>
      </c>
      <c r="P647" t="n">
        <v>0</v>
      </c>
      <c r="Q647" t="n">
        <v>1</v>
      </c>
      <c r="R647" s="2" t="inlineStr">
        <is>
          <t>Garnlav</t>
        </is>
      </c>
      <c r="S647">
        <f>HYPERLINK("https://klasma.github.io/Logging_2180/artfynd/A 25657-2024 artfynd.xlsx", "A 25657-2024")</f>
        <v/>
      </c>
      <c r="T647">
        <f>HYPERLINK("https://klasma.github.io/Logging_2180/kartor/A 25657-2024 karta.png", "A 25657-2024")</f>
        <v/>
      </c>
      <c r="V647">
        <f>HYPERLINK("https://klasma.github.io/Logging_2180/klagomål/A 25657-2024 FSC-klagomål.docx", "A 25657-2024")</f>
        <v/>
      </c>
      <c r="W647">
        <f>HYPERLINK("https://klasma.github.io/Logging_2180/klagomålsmail/A 25657-2024 FSC-klagomål mail.docx", "A 25657-2024")</f>
        <v/>
      </c>
      <c r="X647">
        <f>HYPERLINK("https://klasma.github.io/Logging_2180/tillsyn/A 25657-2024 tillsynsbegäran.docx", "A 25657-2024")</f>
        <v/>
      </c>
      <c r="Y647">
        <f>HYPERLINK("https://klasma.github.io/Logging_2180/tillsynsmail/A 25657-2024 tillsynsbegäran mail.docx", "A 25657-2024")</f>
        <v/>
      </c>
    </row>
    <row r="648" ht="15" customHeight="1">
      <c r="A648" t="inlineStr">
        <is>
          <t>A 26386-2024</t>
        </is>
      </c>
      <c r="B648" s="1" t="n">
        <v>45469</v>
      </c>
      <c r="C648" s="1" t="n">
        <v>45677</v>
      </c>
      <c r="D648" t="inlineStr">
        <is>
          <t>GÄVLEBORGS LÄN</t>
        </is>
      </c>
      <c r="E648" t="inlineStr">
        <is>
          <t>LJUSDAL</t>
        </is>
      </c>
      <c r="F648" t="inlineStr">
        <is>
          <t>Sveaskog</t>
        </is>
      </c>
      <c r="G648" t="n">
        <v>11</v>
      </c>
      <c r="H648" t="n">
        <v>0</v>
      </c>
      <c r="I648" t="n">
        <v>0</v>
      </c>
      <c r="J648" t="n">
        <v>1</v>
      </c>
      <c r="K648" t="n">
        <v>0</v>
      </c>
      <c r="L648" t="n">
        <v>0</v>
      </c>
      <c r="M648" t="n">
        <v>0</v>
      </c>
      <c r="N648" t="n">
        <v>0</v>
      </c>
      <c r="O648" t="n">
        <v>1</v>
      </c>
      <c r="P648" t="n">
        <v>0</v>
      </c>
      <c r="Q648" t="n">
        <v>1</v>
      </c>
      <c r="R648" s="2" t="inlineStr">
        <is>
          <t>Kolflarnlav</t>
        </is>
      </c>
      <c r="S648">
        <f>HYPERLINK("https://klasma.github.io/Logging_2161/artfynd/A 26386-2024 artfynd.xlsx", "A 26386-2024")</f>
        <v/>
      </c>
      <c r="T648">
        <f>HYPERLINK("https://klasma.github.io/Logging_2161/kartor/A 26386-2024 karta.png", "A 26386-2024")</f>
        <v/>
      </c>
      <c r="V648">
        <f>HYPERLINK("https://klasma.github.io/Logging_2161/klagomål/A 26386-2024 FSC-klagomål.docx", "A 26386-2024")</f>
        <v/>
      </c>
      <c r="W648">
        <f>HYPERLINK("https://klasma.github.io/Logging_2161/klagomålsmail/A 26386-2024 FSC-klagomål mail.docx", "A 26386-2024")</f>
        <v/>
      </c>
      <c r="X648">
        <f>HYPERLINK("https://klasma.github.io/Logging_2161/tillsyn/A 26386-2024 tillsynsbegäran.docx", "A 26386-2024")</f>
        <v/>
      </c>
      <c r="Y648">
        <f>HYPERLINK("https://klasma.github.io/Logging_2161/tillsynsmail/A 26386-2024 tillsynsbegäran mail.docx", "A 26386-2024")</f>
        <v/>
      </c>
    </row>
    <row r="649" ht="15" customHeight="1">
      <c r="A649" t="inlineStr">
        <is>
          <t>A 26463-2024</t>
        </is>
      </c>
      <c r="B649" s="1" t="n">
        <v>45469</v>
      </c>
      <c r="C649" s="1" t="n">
        <v>45677</v>
      </c>
      <c r="D649" t="inlineStr">
        <is>
          <t>GÄVLEBORGS LÄN</t>
        </is>
      </c>
      <c r="E649" t="inlineStr">
        <is>
          <t>OCKELBO</t>
        </is>
      </c>
      <c r="F649" t="inlineStr">
        <is>
          <t>Bergvik skog väst AB</t>
        </is>
      </c>
      <c r="G649" t="n">
        <v>3.6</v>
      </c>
      <c r="H649" t="n">
        <v>1</v>
      </c>
      <c r="I649" t="n">
        <v>0</v>
      </c>
      <c r="J649" t="n">
        <v>0</v>
      </c>
      <c r="K649" t="n">
        <v>0</v>
      </c>
      <c r="L649" t="n">
        <v>0</v>
      </c>
      <c r="M649" t="n">
        <v>0</v>
      </c>
      <c r="N649" t="n">
        <v>0</v>
      </c>
      <c r="O649" t="n">
        <v>0</v>
      </c>
      <c r="P649" t="n">
        <v>0</v>
      </c>
      <c r="Q649" t="n">
        <v>1</v>
      </c>
      <c r="R649" s="2" t="inlineStr">
        <is>
          <t>Revlummer</t>
        </is>
      </c>
      <c r="S649">
        <f>HYPERLINK("https://klasma.github.io/Logging_2101/artfynd/A 26463-2024 artfynd.xlsx", "A 26463-2024")</f>
        <v/>
      </c>
      <c r="T649">
        <f>HYPERLINK("https://klasma.github.io/Logging_2101/kartor/A 26463-2024 karta.png", "A 26463-2024")</f>
        <v/>
      </c>
      <c r="V649">
        <f>HYPERLINK("https://klasma.github.io/Logging_2101/klagomål/A 26463-2024 FSC-klagomål.docx", "A 26463-2024")</f>
        <v/>
      </c>
      <c r="W649">
        <f>HYPERLINK("https://klasma.github.io/Logging_2101/klagomålsmail/A 26463-2024 FSC-klagomål mail.docx", "A 26463-2024")</f>
        <v/>
      </c>
      <c r="X649">
        <f>HYPERLINK("https://klasma.github.io/Logging_2101/tillsyn/A 26463-2024 tillsynsbegäran.docx", "A 26463-2024")</f>
        <v/>
      </c>
      <c r="Y649">
        <f>HYPERLINK("https://klasma.github.io/Logging_2101/tillsynsmail/A 26463-2024 tillsynsbegäran mail.docx", "A 26463-2024")</f>
        <v/>
      </c>
    </row>
    <row r="650" ht="15" customHeight="1">
      <c r="A650" t="inlineStr">
        <is>
          <t>A 26719-2024</t>
        </is>
      </c>
      <c r="B650" s="1" t="n">
        <v>45470</v>
      </c>
      <c r="C650" s="1" t="n">
        <v>45677</v>
      </c>
      <c r="D650" t="inlineStr">
        <is>
          <t>GÄVLEBORGS LÄN</t>
        </is>
      </c>
      <c r="E650" t="inlineStr">
        <is>
          <t>OVANÅKER</t>
        </is>
      </c>
      <c r="F650" t="inlineStr">
        <is>
          <t>Bergvik skog väst AB</t>
        </is>
      </c>
      <c r="G650" t="n">
        <v>30.2</v>
      </c>
      <c r="H650" t="n">
        <v>0</v>
      </c>
      <c r="I650" t="n">
        <v>1</v>
      </c>
      <c r="J650" t="n">
        <v>0</v>
      </c>
      <c r="K650" t="n">
        <v>0</v>
      </c>
      <c r="L650" t="n">
        <v>0</v>
      </c>
      <c r="M650" t="n">
        <v>0</v>
      </c>
      <c r="N650" t="n">
        <v>0</v>
      </c>
      <c r="O650" t="n">
        <v>0</v>
      </c>
      <c r="P650" t="n">
        <v>0</v>
      </c>
      <c r="Q650" t="n">
        <v>1</v>
      </c>
      <c r="R650" s="2" t="inlineStr">
        <is>
          <t>Nästlav</t>
        </is>
      </c>
      <c r="S650">
        <f>HYPERLINK("https://klasma.github.io/Logging_2121/artfynd/A 26719-2024 artfynd.xlsx", "A 26719-2024")</f>
        <v/>
      </c>
      <c r="T650">
        <f>HYPERLINK("https://klasma.github.io/Logging_2121/kartor/A 26719-2024 karta.png", "A 26719-2024")</f>
        <v/>
      </c>
      <c r="V650">
        <f>HYPERLINK("https://klasma.github.io/Logging_2121/klagomål/A 26719-2024 FSC-klagomål.docx", "A 26719-2024")</f>
        <v/>
      </c>
      <c r="W650">
        <f>HYPERLINK("https://klasma.github.io/Logging_2121/klagomålsmail/A 26719-2024 FSC-klagomål mail.docx", "A 26719-2024")</f>
        <v/>
      </c>
      <c r="X650">
        <f>HYPERLINK("https://klasma.github.io/Logging_2121/tillsyn/A 26719-2024 tillsynsbegäran.docx", "A 26719-2024")</f>
        <v/>
      </c>
      <c r="Y650">
        <f>HYPERLINK("https://klasma.github.io/Logging_2121/tillsynsmail/A 26719-2024 tillsynsbegäran mail.docx", "A 26719-2024")</f>
        <v/>
      </c>
    </row>
    <row r="651" ht="15" customHeight="1">
      <c r="A651" t="inlineStr">
        <is>
          <t>A 26982-2024</t>
        </is>
      </c>
      <c r="B651" s="1" t="n">
        <v>45471</v>
      </c>
      <c r="C651" s="1" t="n">
        <v>45677</v>
      </c>
      <c r="D651" t="inlineStr">
        <is>
          <t>GÄVLEBORGS LÄN</t>
        </is>
      </c>
      <c r="E651" t="inlineStr">
        <is>
          <t>OCKELBO</t>
        </is>
      </c>
      <c r="F651" t="inlineStr">
        <is>
          <t>Bergvik skog väst AB</t>
        </is>
      </c>
      <c r="G651" t="n">
        <v>5.4</v>
      </c>
      <c r="H651" t="n">
        <v>0</v>
      </c>
      <c r="I651" t="n">
        <v>1</v>
      </c>
      <c r="J651" t="n">
        <v>0</v>
      </c>
      <c r="K651" t="n">
        <v>0</v>
      </c>
      <c r="L651" t="n">
        <v>0</v>
      </c>
      <c r="M651" t="n">
        <v>0</v>
      </c>
      <c r="N651" t="n">
        <v>0</v>
      </c>
      <c r="O651" t="n">
        <v>0</v>
      </c>
      <c r="P651" t="n">
        <v>0</v>
      </c>
      <c r="Q651" t="n">
        <v>1</v>
      </c>
      <c r="R651" s="2" t="inlineStr">
        <is>
          <t>Grönpyrola</t>
        </is>
      </c>
      <c r="S651">
        <f>HYPERLINK("https://klasma.github.io/Logging_2101/artfynd/A 26982-2024 artfynd.xlsx", "A 26982-2024")</f>
        <v/>
      </c>
      <c r="T651">
        <f>HYPERLINK("https://klasma.github.io/Logging_2101/kartor/A 26982-2024 karta.png", "A 26982-2024")</f>
        <v/>
      </c>
      <c r="V651">
        <f>HYPERLINK("https://klasma.github.io/Logging_2101/klagomål/A 26982-2024 FSC-klagomål.docx", "A 26982-2024")</f>
        <v/>
      </c>
      <c r="W651">
        <f>HYPERLINK("https://klasma.github.io/Logging_2101/klagomålsmail/A 26982-2024 FSC-klagomål mail.docx", "A 26982-2024")</f>
        <v/>
      </c>
      <c r="X651">
        <f>HYPERLINK("https://klasma.github.io/Logging_2101/tillsyn/A 26982-2024 tillsynsbegäran.docx", "A 26982-2024")</f>
        <v/>
      </c>
      <c r="Y651">
        <f>HYPERLINK("https://klasma.github.io/Logging_2101/tillsynsmail/A 26982-2024 tillsynsbegäran mail.docx", "A 26982-2024")</f>
        <v/>
      </c>
    </row>
    <row r="652" ht="15" customHeight="1">
      <c r="A652" t="inlineStr">
        <is>
          <t>A 26976-2024</t>
        </is>
      </c>
      <c r="B652" s="1" t="n">
        <v>45471</v>
      </c>
      <c r="C652" s="1" t="n">
        <v>45677</v>
      </c>
      <c r="D652" t="inlineStr">
        <is>
          <t>GÄVLEBORGS LÄN</t>
        </is>
      </c>
      <c r="E652" t="inlineStr">
        <is>
          <t>LJUSDAL</t>
        </is>
      </c>
      <c r="F652" t="inlineStr">
        <is>
          <t>Sveaskog</t>
        </is>
      </c>
      <c r="G652" t="n">
        <v>2.1</v>
      </c>
      <c r="H652" t="n">
        <v>0</v>
      </c>
      <c r="I652" t="n">
        <v>0</v>
      </c>
      <c r="J652" t="n">
        <v>1</v>
      </c>
      <c r="K652" t="n">
        <v>0</v>
      </c>
      <c r="L652" t="n">
        <v>0</v>
      </c>
      <c r="M652" t="n">
        <v>0</v>
      </c>
      <c r="N652" t="n">
        <v>0</v>
      </c>
      <c r="O652" t="n">
        <v>1</v>
      </c>
      <c r="P652" t="n">
        <v>0</v>
      </c>
      <c r="Q652" t="n">
        <v>1</v>
      </c>
      <c r="R652" s="2" t="inlineStr">
        <is>
          <t>Kolflarnlav</t>
        </is>
      </c>
      <c r="S652">
        <f>HYPERLINK("https://klasma.github.io/Logging_2161/artfynd/A 26976-2024 artfynd.xlsx", "A 26976-2024")</f>
        <v/>
      </c>
      <c r="T652">
        <f>HYPERLINK("https://klasma.github.io/Logging_2161/kartor/A 26976-2024 karta.png", "A 26976-2024")</f>
        <v/>
      </c>
      <c r="V652">
        <f>HYPERLINK("https://klasma.github.io/Logging_2161/klagomål/A 26976-2024 FSC-klagomål.docx", "A 26976-2024")</f>
        <v/>
      </c>
      <c r="W652">
        <f>HYPERLINK("https://klasma.github.io/Logging_2161/klagomålsmail/A 26976-2024 FSC-klagomål mail.docx", "A 26976-2024")</f>
        <v/>
      </c>
      <c r="X652">
        <f>HYPERLINK("https://klasma.github.io/Logging_2161/tillsyn/A 26976-2024 tillsynsbegäran.docx", "A 26976-2024")</f>
        <v/>
      </c>
      <c r="Y652">
        <f>HYPERLINK("https://klasma.github.io/Logging_2161/tillsynsmail/A 26976-2024 tillsynsbegäran mail.docx", "A 26976-2024")</f>
        <v/>
      </c>
    </row>
    <row r="653" ht="15" customHeight="1">
      <c r="A653" t="inlineStr">
        <is>
          <t>A 28397-2024</t>
        </is>
      </c>
      <c r="B653" s="1" t="n">
        <v>45477</v>
      </c>
      <c r="C653" s="1" t="n">
        <v>45677</v>
      </c>
      <c r="D653" t="inlineStr">
        <is>
          <t>GÄVLEBORGS LÄN</t>
        </is>
      </c>
      <c r="E653" t="inlineStr">
        <is>
          <t>HOFORS</t>
        </is>
      </c>
      <c r="F653" t="inlineStr">
        <is>
          <t>Sveaskog</t>
        </is>
      </c>
      <c r="G653" t="n">
        <v>5</v>
      </c>
      <c r="H653" t="n">
        <v>1</v>
      </c>
      <c r="I653" t="n">
        <v>0</v>
      </c>
      <c r="J653" t="n">
        <v>0</v>
      </c>
      <c r="K653" t="n">
        <v>0</v>
      </c>
      <c r="L653" t="n">
        <v>0</v>
      </c>
      <c r="M653" t="n">
        <v>0</v>
      </c>
      <c r="N653" t="n">
        <v>0</v>
      </c>
      <c r="O653" t="n">
        <v>0</v>
      </c>
      <c r="P653" t="n">
        <v>0</v>
      </c>
      <c r="Q653" t="n">
        <v>1</v>
      </c>
      <c r="R653" s="2" t="inlineStr">
        <is>
          <t>Fläcknycklar</t>
        </is>
      </c>
      <c r="S653">
        <f>HYPERLINK("https://klasma.github.io/Logging_2104/artfynd/A 28397-2024 artfynd.xlsx", "A 28397-2024")</f>
        <v/>
      </c>
      <c r="T653">
        <f>HYPERLINK("https://klasma.github.io/Logging_2104/kartor/A 28397-2024 karta.png", "A 28397-2024")</f>
        <v/>
      </c>
      <c r="V653">
        <f>HYPERLINK("https://klasma.github.io/Logging_2104/klagomål/A 28397-2024 FSC-klagomål.docx", "A 28397-2024")</f>
        <v/>
      </c>
      <c r="W653">
        <f>HYPERLINK("https://klasma.github.io/Logging_2104/klagomålsmail/A 28397-2024 FSC-klagomål mail.docx", "A 28397-2024")</f>
        <v/>
      </c>
      <c r="X653">
        <f>HYPERLINK("https://klasma.github.io/Logging_2104/tillsyn/A 28397-2024 tillsynsbegäran.docx", "A 28397-2024")</f>
        <v/>
      </c>
      <c r="Y653">
        <f>HYPERLINK("https://klasma.github.io/Logging_2104/tillsynsmail/A 28397-2024 tillsynsbegäran mail.docx", "A 28397-2024")</f>
        <v/>
      </c>
    </row>
    <row r="654" ht="15" customHeight="1">
      <c r="A654" t="inlineStr">
        <is>
          <t>A 28392-2024</t>
        </is>
      </c>
      <c r="B654" s="1" t="n">
        <v>45477</v>
      </c>
      <c r="C654" s="1" t="n">
        <v>45677</v>
      </c>
      <c r="D654" t="inlineStr">
        <is>
          <t>GÄVLEBORGS LÄN</t>
        </is>
      </c>
      <c r="E654" t="inlineStr">
        <is>
          <t>HOFORS</t>
        </is>
      </c>
      <c r="F654" t="inlineStr">
        <is>
          <t>Sveaskog</t>
        </is>
      </c>
      <c r="G654" t="n">
        <v>0.5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28392-2024 artfynd.xlsx", "A 28392-2024")</f>
        <v/>
      </c>
      <c r="T654">
        <f>HYPERLINK("https://klasma.github.io/Logging_2104/kartor/A 28392-2024 karta.png", "A 28392-2024")</f>
        <v/>
      </c>
      <c r="V654">
        <f>HYPERLINK("https://klasma.github.io/Logging_2104/klagomål/A 28392-2024 FSC-klagomål.docx", "A 28392-2024")</f>
        <v/>
      </c>
      <c r="W654">
        <f>HYPERLINK("https://klasma.github.io/Logging_2104/klagomålsmail/A 28392-2024 FSC-klagomål mail.docx", "A 28392-2024")</f>
        <v/>
      </c>
      <c r="X654">
        <f>HYPERLINK("https://klasma.github.io/Logging_2104/tillsyn/A 28392-2024 tillsynsbegäran.docx", "A 28392-2024")</f>
        <v/>
      </c>
      <c r="Y654">
        <f>HYPERLINK("https://klasma.github.io/Logging_2104/tillsynsmail/A 28392-2024 tillsynsbegäran mail.docx", "A 28392-2024")</f>
        <v/>
      </c>
    </row>
    <row r="655" ht="15" customHeight="1">
      <c r="A655" t="inlineStr">
        <is>
          <t>A 30008-2024</t>
        </is>
      </c>
      <c r="B655" s="1" t="n">
        <v>45488</v>
      </c>
      <c r="C655" s="1" t="n">
        <v>45677</v>
      </c>
      <c r="D655" t="inlineStr">
        <is>
          <t>GÄVLEBORGS LÄN</t>
        </is>
      </c>
      <c r="E655" t="inlineStr">
        <is>
          <t>HOFORS</t>
        </is>
      </c>
      <c r="F655" t="inlineStr">
        <is>
          <t>Sveaskog</t>
        </is>
      </c>
      <c r="G655" t="n">
        <v>0.8</v>
      </c>
      <c r="H655" t="n">
        <v>0</v>
      </c>
      <c r="I655" t="n">
        <v>1</v>
      </c>
      <c r="J655" t="n">
        <v>0</v>
      </c>
      <c r="K655" t="n">
        <v>0</v>
      </c>
      <c r="L655" t="n">
        <v>0</v>
      </c>
      <c r="M655" t="n">
        <v>0</v>
      </c>
      <c r="N655" t="n">
        <v>0</v>
      </c>
      <c r="O655" t="n">
        <v>0</v>
      </c>
      <c r="P655" t="n">
        <v>0</v>
      </c>
      <c r="Q655" t="n">
        <v>1</v>
      </c>
      <c r="R655" s="2" t="inlineStr">
        <is>
          <t>Tibast</t>
        </is>
      </c>
      <c r="S655">
        <f>HYPERLINK("https://klasma.github.io/Logging_2104/artfynd/A 30008-2024 artfynd.xlsx", "A 30008-2024")</f>
        <v/>
      </c>
      <c r="T655">
        <f>HYPERLINK("https://klasma.github.io/Logging_2104/kartor/A 30008-2024 karta.png", "A 30008-2024")</f>
        <v/>
      </c>
      <c r="V655">
        <f>HYPERLINK("https://klasma.github.io/Logging_2104/klagomål/A 30008-2024 FSC-klagomål.docx", "A 30008-2024")</f>
        <v/>
      </c>
      <c r="W655">
        <f>HYPERLINK("https://klasma.github.io/Logging_2104/klagomålsmail/A 30008-2024 FSC-klagomål mail.docx", "A 30008-2024")</f>
        <v/>
      </c>
      <c r="X655">
        <f>HYPERLINK("https://klasma.github.io/Logging_2104/tillsyn/A 30008-2024 tillsynsbegäran.docx", "A 30008-2024")</f>
        <v/>
      </c>
      <c r="Y655">
        <f>HYPERLINK("https://klasma.github.io/Logging_2104/tillsynsmail/A 30008-2024 tillsynsbegäran mail.docx", "A 30008-2024")</f>
        <v/>
      </c>
    </row>
    <row r="656" ht="15" customHeight="1">
      <c r="A656" t="inlineStr">
        <is>
          <t>A 30115-2024</t>
        </is>
      </c>
      <c r="B656" s="1" t="n">
        <v>45489</v>
      </c>
      <c r="C656" s="1" t="n">
        <v>45677</v>
      </c>
      <c r="D656" t="inlineStr">
        <is>
          <t>GÄVLEBORGS LÄN</t>
        </is>
      </c>
      <c r="E656" t="inlineStr">
        <is>
          <t>LJUSDAL</t>
        </is>
      </c>
      <c r="F656" t="inlineStr">
        <is>
          <t>Sveaskog</t>
        </is>
      </c>
      <c r="G656" t="n">
        <v>3.7</v>
      </c>
      <c r="H656" t="n">
        <v>0</v>
      </c>
      <c r="I656" t="n">
        <v>0</v>
      </c>
      <c r="J656" t="n">
        <v>1</v>
      </c>
      <c r="K656" t="n">
        <v>0</v>
      </c>
      <c r="L656" t="n">
        <v>0</v>
      </c>
      <c r="M656" t="n">
        <v>0</v>
      </c>
      <c r="N656" t="n">
        <v>0</v>
      </c>
      <c r="O656" t="n">
        <v>1</v>
      </c>
      <c r="P656" t="n">
        <v>0</v>
      </c>
      <c r="Q656" t="n">
        <v>1</v>
      </c>
      <c r="R656" s="2" t="inlineStr">
        <is>
          <t>Kolflarnlav</t>
        </is>
      </c>
      <c r="S656">
        <f>HYPERLINK("https://klasma.github.io/Logging_2161/artfynd/A 30115-2024 artfynd.xlsx", "A 30115-2024")</f>
        <v/>
      </c>
      <c r="T656">
        <f>HYPERLINK("https://klasma.github.io/Logging_2161/kartor/A 30115-2024 karta.png", "A 30115-2024")</f>
        <v/>
      </c>
      <c r="V656">
        <f>HYPERLINK("https://klasma.github.io/Logging_2161/klagomål/A 30115-2024 FSC-klagomål.docx", "A 30115-2024")</f>
        <v/>
      </c>
      <c r="W656">
        <f>HYPERLINK("https://klasma.github.io/Logging_2161/klagomålsmail/A 30115-2024 FSC-klagomål mail.docx", "A 30115-2024")</f>
        <v/>
      </c>
      <c r="X656">
        <f>HYPERLINK("https://klasma.github.io/Logging_2161/tillsyn/A 30115-2024 tillsynsbegäran.docx", "A 30115-2024")</f>
        <v/>
      </c>
      <c r="Y656">
        <f>HYPERLINK("https://klasma.github.io/Logging_2161/tillsynsmail/A 30115-2024 tillsynsbegäran mail.docx", "A 30115-2024")</f>
        <v/>
      </c>
    </row>
    <row r="657" ht="15" customHeight="1">
      <c r="A657" t="inlineStr">
        <is>
          <t>A 30541-2024</t>
        </is>
      </c>
      <c r="B657" s="1" t="n">
        <v>45492</v>
      </c>
      <c r="C657" s="1" t="n">
        <v>45677</v>
      </c>
      <c r="D657" t="inlineStr">
        <is>
          <t>GÄVLEBORGS LÄN</t>
        </is>
      </c>
      <c r="E657" t="inlineStr">
        <is>
          <t>SANDVIKEN</t>
        </is>
      </c>
      <c r="F657" t="inlineStr">
        <is>
          <t>Sveaskog</t>
        </is>
      </c>
      <c r="G657" t="n">
        <v>11.2</v>
      </c>
      <c r="H657" t="n">
        <v>1</v>
      </c>
      <c r="I657" t="n">
        <v>0</v>
      </c>
      <c r="J657" t="n">
        <v>0</v>
      </c>
      <c r="K657" t="n">
        <v>0</v>
      </c>
      <c r="L657" t="n">
        <v>0</v>
      </c>
      <c r="M657" t="n">
        <v>0</v>
      </c>
      <c r="N657" t="n">
        <v>0</v>
      </c>
      <c r="O657" t="n">
        <v>0</v>
      </c>
      <c r="P657" t="n">
        <v>0</v>
      </c>
      <c r="Q657" t="n">
        <v>1</v>
      </c>
      <c r="R657" s="2" t="inlineStr">
        <is>
          <t>Fläcknycklar</t>
        </is>
      </c>
      <c r="S657">
        <f>HYPERLINK("https://klasma.github.io/Logging_2181/artfynd/A 30541-2024 artfynd.xlsx", "A 30541-2024")</f>
        <v/>
      </c>
      <c r="T657">
        <f>HYPERLINK("https://klasma.github.io/Logging_2181/kartor/A 30541-2024 karta.png", "A 30541-2024")</f>
        <v/>
      </c>
      <c r="V657">
        <f>HYPERLINK("https://klasma.github.io/Logging_2181/klagomål/A 30541-2024 FSC-klagomål.docx", "A 30541-2024")</f>
        <v/>
      </c>
      <c r="W657">
        <f>HYPERLINK("https://klasma.github.io/Logging_2181/klagomålsmail/A 30541-2024 FSC-klagomål mail.docx", "A 30541-2024")</f>
        <v/>
      </c>
      <c r="X657">
        <f>HYPERLINK("https://klasma.github.io/Logging_2181/tillsyn/A 30541-2024 tillsynsbegäran.docx", "A 30541-2024")</f>
        <v/>
      </c>
      <c r="Y657">
        <f>HYPERLINK("https://klasma.github.io/Logging_2181/tillsynsmail/A 30541-2024 tillsynsbegäran mail.docx", "A 30541-2024")</f>
        <v/>
      </c>
    </row>
    <row r="658" ht="15" customHeight="1">
      <c r="A658" t="inlineStr">
        <is>
          <t>A 30497-2024</t>
        </is>
      </c>
      <c r="B658" s="1" t="n">
        <v>45492</v>
      </c>
      <c r="C658" s="1" t="n">
        <v>45677</v>
      </c>
      <c r="D658" t="inlineStr">
        <is>
          <t>GÄVLEBORGS LÄN</t>
        </is>
      </c>
      <c r="E658" t="inlineStr">
        <is>
          <t>SANDVIKEN</t>
        </is>
      </c>
      <c r="F658" t="inlineStr">
        <is>
          <t>Sveaskog</t>
        </is>
      </c>
      <c r="G658" t="n">
        <v>3.9</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30497-2024 artfynd.xlsx", "A 30497-2024")</f>
        <v/>
      </c>
      <c r="T658">
        <f>HYPERLINK("https://klasma.github.io/Logging_2181/kartor/A 30497-2024 karta.png", "A 30497-2024")</f>
        <v/>
      </c>
      <c r="V658">
        <f>HYPERLINK("https://klasma.github.io/Logging_2181/klagomål/A 30497-2024 FSC-klagomål.docx", "A 30497-2024")</f>
        <v/>
      </c>
      <c r="W658">
        <f>HYPERLINK("https://klasma.github.io/Logging_2181/klagomålsmail/A 30497-2024 FSC-klagomål mail.docx", "A 30497-2024")</f>
        <v/>
      </c>
      <c r="X658">
        <f>HYPERLINK("https://klasma.github.io/Logging_2181/tillsyn/A 30497-2024 tillsynsbegäran.docx", "A 30497-2024")</f>
        <v/>
      </c>
      <c r="Y658">
        <f>HYPERLINK("https://klasma.github.io/Logging_2181/tillsynsmail/A 30497-2024 tillsynsbegäran mail.docx", "A 30497-2024")</f>
        <v/>
      </c>
    </row>
    <row r="659" ht="15" customHeight="1">
      <c r="A659" t="inlineStr">
        <is>
          <t>A 31066-2024</t>
        </is>
      </c>
      <c r="B659" s="1" t="n">
        <v>45502</v>
      </c>
      <c r="C659" s="1" t="n">
        <v>45677</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31053-2024</t>
        </is>
      </c>
      <c r="B660" s="1" t="n">
        <v>45502</v>
      </c>
      <c r="C660" s="1" t="n">
        <v>45677</v>
      </c>
      <c r="D660" t="inlineStr">
        <is>
          <t>GÄVLEBORGS LÄN</t>
        </is>
      </c>
      <c r="E660" t="inlineStr">
        <is>
          <t>NORDANSTIG</t>
        </is>
      </c>
      <c r="F660" t="inlineStr">
        <is>
          <t>Holmen skog AB</t>
        </is>
      </c>
      <c r="G660" t="n">
        <v>5.5</v>
      </c>
      <c r="H660" t="n">
        <v>0</v>
      </c>
      <c r="I660" t="n">
        <v>1</v>
      </c>
      <c r="J660" t="n">
        <v>0</v>
      </c>
      <c r="K660" t="n">
        <v>0</v>
      </c>
      <c r="L660" t="n">
        <v>0</v>
      </c>
      <c r="M660" t="n">
        <v>0</v>
      </c>
      <c r="N660" t="n">
        <v>0</v>
      </c>
      <c r="O660" t="n">
        <v>0</v>
      </c>
      <c r="P660" t="n">
        <v>0</v>
      </c>
      <c r="Q660" t="n">
        <v>1</v>
      </c>
      <c r="R660" s="2" t="inlineStr">
        <is>
          <t>Smal svampklubba</t>
        </is>
      </c>
      <c r="S660">
        <f>HYPERLINK("https://klasma.github.io/Logging_2132/artfynd/A 31053-2024 artfynd.xlsx", "A 31053-2024")</f>
        <v/>
      </c>
      <c r="T660">
        <f>HYPERLINK("https://klasma.github.io/Logging_2132/kartor/A 31053-2024 karta.png", "A 31053-2024")</f>
        <v/>
      </c>
      <c r="V660">
        <f>HYPERLINK("https://klasma.github.io/Logging_2132/klagomål/A 31053-2024 FSC-klagomål.docx", "A 31053-2024")</f>
        <v/>
      </c>
      <c r="W660">
        <f>HYPERLINK("https://klasma.github.io/Logging_2132/klagomålsmail/A 31053-2024 FSC-klagomål mail.docx", "A 31053-2024")</f>
        <v/>
      </c>
      <c r="X660">
        <f>HYPERLINK("https://klasma.github.io/Logging_2132/tillsyn/A 31053-2024 tillsynsbegäran.docx", "A 31053-2024")</f>
        <v/>
      </c>
      <c r="Y660">
        <f>HYPERLINK("https://klasma.github.io/Logging_2132/tillsynsmail/A 31053-2024 tillsynsbegäran mail.docx", "A 31053-2024")</f>
        <v/>
      </c>
    </row>
    <row r="661" ht="15" customHeight="1">
      <c r="A661" t="inlineStr">
        <is>
          <t>A 31420-2024</t>
        </is>
      </c>
      <c r="B661" s="1" t="n">
        <v>45505</v>
      </c>
      <c r="C661" s="1" t="n">
        <v>45677</v>
      </c>
      <c r="D661" t="inlineStr">
        <is>
          <t>GÄVLEBORGS LÄN</t>
        </is>
      </c>
      <c r="E661" t="inlineStr">
        <is>
          <t>LJUSDAL</t>
        </is>
      </c>
      <c r="F661" t="inlineStr">
        <is>
          <t>Sveaskog</t>
        </is>
      </c>
      <c r="G661" t="n">
        <v>4.4</v>
      </c>
      <c r="H661" t="n">
        <v>0</v>
      </c>
      <c r="I661" t="n">
        <v>0</v>
      </c>
      <c r="J661" t="n">
        <v>1</v>
      </c>
      <c r="K661" t="n">
        <v>0</v>
      </c>
      <c r="L661" t="n">
        <v>0</v>
      </c>
      <c r="M661" t="n">
        <v>0</v>
      </c>
      <c r="N661" t="n">
        <v>0</v>
      </c>
      <c r="O661" t="n">
        <v>1</v>
      </c>
      <c r="P661" t="n">
        <v>0</v>
      </c>
      <c r="Q661" t="n">
        <v>1</v>
      </c>
      <c r="R661" s="2" t="inlineStr">
        <is>
          <t>Lunglav</t>
        </is>
      </c>
      <c r="S661">
        <f>HYPERLINK("https://klasma.github.io/Logging_2161/artfynd/A 31420-2024 artfynd.xlsx", "A 31420-2024")</f>
        <v/>
      </c>
      <c r="T661">
        <f>HYPERLINK("https://klasma.github.io/Logging_2161/kartor/A 31420-2024 karta.png", "A 31420-2024")</f>
        <v/>
      </c>
      <c r="V661">
        <f>HYPERLINK("https://klasma.github.io/Logging_2161/klagomål/A 31420-2024 FSC-klagomål.docx", "A 31420-2024")</f>
        <v/>
      </c>
      <c r="W661">
        <f>HYPERLINK("https://klasma.github.io/Logging_2161/klagomålsmail/A 31420-2024 FSC-klagomål mail.docx", "A 31420-2024")</f>
        <v/>
      </c>
      <c r="X661">
        <f>HYPERLINK("https://klasma.github.io/Logging_2161/tillsyn/A 31420-2024 tillsynsbegäran.docx", "A 31420-2024")</f>
        <v/>
      </c>
      <c r="Y661">
        <f>HYPERLINK("https://klasma.github.io/Logging_2161/tillsynsmail/A 31420-2024 tillsynsbegäran mail.docx", "A 31420-2024")</f>
        <v/>
      </c>
    </row>
    <row r="662" ht="15" customHeight="1">
      <c r="A662" t="inlineStr">
        <is>
          <t>A 31417-2024</t>
        </is>
      </c>
      <c r="B662" s="1" t="n">
        <v>45505</v>
      </c>
      <c r="C662" s="1" t="n">
        <v>45677</v>
      </c>
      <c r="D662" t="inlineStr">
        <is>
          <t>GÄVLEBORGS LÄN</t>
        </is>
      </c>
      <c r="E662" t="inlineStr">
        <is>
          <t>LJUSDAL</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HYPERLINK("https://klasma.github.io/Logging_2161/artfynd/A 31417-2024 artfynd.xlsx", "A 31417-2024")</f>
        <v/>
      </c>
      <c r="T662">
        <f>HYPERLINK("https://klasma.github.io/Logging_2161/kartor/A 31417-2024 karta.png", "A 31417-2024")</f>
        <v/>
      </c>
      <c r="V662">
        <f>HYPERLINK("https://klasma.github.io/Logging_2161/klagomål/A 31417-2024 FSC-klagomål.docx", "A 31417-2024")</f>
        <v/>
      </c>
      <c r="W662">
        <f>HYPERLINK("https://klasma.github.io/Logging_2161/klagomålsmail/A 31417-2024 FSC-klagomål mail.docx", "A 31417-2024")</f>
        <v/>
      </c>
      <c r="X662">
        <f>HYPERLINK("https://klasma.github.io/Logging_2161/tillsyn/A 31417-2024 tillsynsbegäran.docx", "A 31417-2024")</f>
        <v/>
      </c>
      <c r="Y662">
        <f>HYPERLINK("https://klasma.github.io/Logging_2161/tillsynsmail/A 31417-2024 tillsynsbegäran mail.docx", "A 31417-2024")</f>
        <v/>
      </c>
    </row>
    <row r="663" ht="15" customHeight="1">
      <c r="A663" t="inlineStr">
        <is>
          <t>A 32398-2024</t>
        </is>
      </c>
      <c r="B663" s="1" t="n">
        <v>45512</v>
      </c>
      <c r="C663" s="1" t="n">
        <v>45677</v>
      </c>
      <c r="D663" t="inlineStr">
        <is>
          <t>GÄVLEBORGS LÄN</t>
        </is>
      </c>
      <c r="E663" t="inlineStr">
        <is>
          <t>LJUSDAL</t>
        </is>
      </c>
      <c r="F663" t="inlineStr">
        <is>
          <t>Sveaskog</t>
        </is>
      </c>
      <c r="G663" t="n">
        <v>6.9</v>
      </c>
      <c r="H663" t="n">
        <v>0</v>
      </c>
      <c r="I663" t="n">
        <v>0</v>
      </c>
      <c r="J663" t="n">
        <v>1</v>
      </c>
      <c r="K663" t="n">
        <v>0</v>
      </c>
      <c r="L663" t="n">
        <v>0</v>
      </c>
      <c r="M663" t="n">
        <v>0</v>
      </c>
      <c r="N663" t="n">
        <v>0</v>
      </c>
      <c r="O663" t="n">
        <v>1</v>
      </c>
      <c r="P663" t="n">
        <v>0</v>
      </c>
      <c r="Q663" t="n">
        <v>1</v>
      </c>
      <c r="R663" s="2" t="inlineStr">
        <is>
          <t>Granticka</t>
        </is>
      </c>
      <c r="S663">
        <f>HYPERLINK("https://klasma.github.io/Logging_2161/artfynd/A 32398-2024 artfynd.xlsx", "A 32398-2024")</f>
        <v/>
      </c>
      <c r="T663">
        <f>HYPERLINK("https://klasma.github.io/Logging_2161/kartor/A 32398-2024 karta.png", "A 32398-2024")</f>
        <v/>
      </c>
      <c r="V663">
        <f>HYPERLINK("https://klasma.github.io/Logging_2161/klagomål/A 32398-2024 FSC-klagomål.docx", "A 32398-2024")</f>
        <v/>
      </c>
      <c r="W663">
        <f>HYPERLINK("https://klasma.github.io/Logging_2161/klagomålsmail/A 32398-2024 FSC-klagomål mail.docx", "A 32398-2024")</f>
        <v/>
      </c>
      <c r="X663">
        <f>HYPERLINK("https://klasma.github.io/Logging_2161/tillsyn/A 32398-2024 tillsynsbegäran.docx", "A 32398-2024")</f>
        <v/>
      </c>
      <c r="Y663">
        <f>HYPERLINK("https://klasma.github.io/Logging_2161/tillsynsmail/A 32398-2024 tillsynsbegäran mail.docx", "A 32398-2024")</f>
        <v/>
      </c>
    </row>
    <row r="664" ht="15" customHeight="1">
      <c r="A664" t="inlineStr">
        <is>
          <t>A 32807-2024</t>
        </is>
      </c>
      <c r="B664" s="1" t="n">
        <v>45516</v>
      </c>
      <c r="C664" s="1" t="n">
        <v>45677</v>
      </c>
      <c r="D664" t="inlineStr">
        <is>
          <t>GÄVLEBORGS LÄN</t>
        </is>
      </c>
      <c r="E664" t="inlineStr">
        <is>
          <t>LJUSDAL</t>
        </is>
      </c>
      <c r="F664" t="inlineStr">
        <is>
          <t>Sveaskog</t>
        </is>
      </c>
      <c r="G664" t="n">
        <v>11.5</v>
      </c>
      <c r="H664" t="n">
        <v>0</v>
      </c>
      <c r="I664" t="n">
        <v>0</v>
      </c>
      <c r="J664" t="n">
        <v>1</v>
      </c>
      <c r="K664" t="n">
        <v>0</v>
      </c>
      <c r="L664" t="n">
        <v>0</v>
      </c>
      <c r="M664" t="n">
        <v>0</v>
      </c>
      <c r="N664" t="n">
        <v>0</v>
      </c>
      <c r="O664" t="n">
        <v>1</v>
      </c>
      <c r="P664" t="n">
        <v>0</v>
      </c>
      <c r="Q664" t="n">
        <v>1</v>
      </c>
      <c r="R664" s="2" t="inlineStr">
        <is>
          <t>Kolflarnlav</t>
        </is>
      </c>
      <c r="S664">
        <f>HYPERLINK("https://klasma.github.io/Logging_2161/artfynd/A 32807-2024 artfynd.xlsx", "A 32807-2024")</f>
        <v/>
      </c>
      <c r="T664">
        <f>HYPERLINK("https://klasma.github.io/Logging_2161/kartor/A 32807-2024 karta.png", "A 32807-2024")</f>
        <v/>
      </c>
      <c r="V664">
        <f>HYPERLINK("https://klasma.github.io/Logging_2161/klagomål/A 32807-2024 FSC-klagomål.docx", "A 32807-2024")</f>
        <v/>
      </c>
      <c r="W664">
        <f>HYPERLINK("https://klasma.github.io/Logging_2161/klagomålsmail/A 32807-2024 FSC-klagomål mail.docx", "A 32807-2024")</f>
        <v/>
      </c>
      <c r="X664">
        <f>HYPERLINK("https://klasma.github.io/Logging_2161/tillsyn/A 32807-2024 tillsynsbegäran.docx", "A 32807-2024")</f>
        <v/>
      </c>
      <c r="Y664">
        <f>HYPERLINK("https://klasma.github.io/Logging_2161/tillsynsmail/A 32807-2024 tillsynsbegäran mail.docx", "A 32807-2024")</f>
        <v/>
      </c>
    </row>
    <row r="665" ht="15" customHeight="1">
      <c r="A665" t="inlineStr">
        <is>
          <t>A 33950-2024</t>
        </is>
      </c>
      <c r="B665" s="1" t="n">
        <v>45523</v>
      </c>
      <c r="C665" s="1" t="n">
        <v>45677</v>
      </c>
      <c r="D665" t="inlineStr">
        <is>
          <t>GÄVLEBORGS LÄN</t>
        </is>
      </c>
      <c r="E665" t="inlineStr">
        <is>
          <t>LJUSDAL</t>
        </is>
      </c>
      <c r="F665" t="inlineStr">
        <is>
          <t>Sveaskog</t>
        </is>
      </c>
      <c r="G665" t="n">
        <v>3.6</v>
      </c>
      <c r="H665" t="n">
        <v>0</v>
      </c>
      <c r="I665" t="n">
        <v>0</v>
      </c>
      <c r="J665" t="n">
        <v>1</v>
      </c>
      <c r="K665" t="n">
        <v>0</v>
      </c>
      <c r="L665" t="n">
        <v>0</v>
      </c>
      <c r="M665" t="n">
        <v>0</v>
      </c>
      <c r="N665" t="n">
        <v>0</v>
      </c>
      <c r="O665" t="n">
        <v>1</v>
      </c>
      <c r="P665" t="n">
        <v>0</v>
      </c>
      <c r="Q665" t="n">
        <v>1</v>
      </c>
      <c r="R665" s="2" t="inlineStr">
        <is>
          <t>Lunglav</t>
        </is>
      </c>
      <c r="S665">
        <f>HYPERLINK("https://klasma.github.io/Logging_2161/artfynd/A 33950-2024 artfynd.xlsx", "A 33950-2024")</f>
        <v/>
      </c>
      <c r="T665">
        <f>HYPERLINK("https://klasma.github.io/Logging_2161/kartor/A 33950-2024 karta.png", "A 33950-2024")</f>
        <v/>
      </c>
      <c r="V665">
        <f>HYPERLINK("https://klasma.github.io/Logging_2161/klagomål/A 33950-2024 FSC-klagomål.docx", "A 33950-2024")</f>
        <v/>
      </c>
      <c r="W665">
        <f>HYPERLINK("https://klasma.github.io/Logging_2161/klagomålsmail/A 33950-2024 FSC-klagomål mail.docx", "A 33950-2024")</f>
        <v/>
      </c>
      <c r="X665">
        <f>HYPERLINK("https://klasma.github.io/Logging_2161/tillsyn/A 33950-2024 tillsynsbegäran.docx", "A 33950-2024")</f>
        <v/>
      </c>
      <c r="Y665">
        <f>HYPERLINK("https://klasma.github.io/Logging_2161/tillsynsmail/A 33950-2024 tillsynsbegäran mail.docx", "A 33950-2024")</f>
        <v/>
      </c>
    </row>
    <row r="666" ht="15" customHeight="1">
      <c r="A666" t="inlineStr">
        <is>
          <t>A 34233-2024</t>
        </is>
      </c>
      <c r="B666" s="1" t="n">
        <v>45524</v>
      </c>
      <c r="C666" s="1" t="n">
        <v>45677</v>
      </c>
      <c r="D666" t="inlineStr">
        <is>
          <t>GÄVLEBORGS LÄN</t>
        </is>
      </c>
      <c r="E666" t="inlineStr">
        <is>
          <t>LJUSDAL</t>
        </is>
      </c>
      <c r="F666" t="inlineStr">
        <is>
          <t>Sveaskog</t>
        </is>
      </c>
      <c r="G666" t="n">
        <v>7.5</v>
      </c>
      <c r="H666" t="n">
        <v>1</v>
      </c>
      <c r="I666" t="n">
        <v>1</v>
      </c>
      <c r="J666" t="n">
        <v>0</v>
      </c>
      <c r="K666" t="n">
        <v>0</v>
      </c>
      <c r="L666" t="n">
        <v>0</v>
      </c>
      <c r="M666" t="n">
        <v>0</v>
      </c>
      <c r="N666" t="n">
        <v>0</v>
      </c>
      <c r="O666" t="n">
        <v>0</v>
      </c>
      <c r="P666" t="n">
        <v>0</v>
      </c>
      <c r="Q666" t="n">
        <v>1</v>
      </c>
      <c r="R666" s="2" t="inlineStr">
        <is>
          <t>Plattlummer</t>
        </is>
      </c>
      <c r="S666">
        <f>HYPERLINK("https://klasma.github.io/Logging_2161/artfynd/A 34233-2024 artfynd.xlsx", "A 34233-2024")</f>
        <v/>
      </c>
      <c r="T666">
        <f>HYPERLINK("https://klasma.github.io/Logging_2161/kartor/A 34233-2024 karta.png", "A 34233-2024")</f>
        <v/>
      </c>
      <c r="V666">
        <f>HYPERLINK("https://klasma.github.io/Logging_2161/klagomål/A 34233-2024 FSC-klagomål.docx", "A 34233-2024")</f>
        <v/>
      </c>
      <c r="W666">
        <f>HYPERLINK("https://klasma.github.io/Logging_2161/klagomålsmail/A 34233-2024 FSC-klagomål mail.docx", "A 34233-2024")</f>
        <v/>
      </c>
      <c r="X666">
        <f>HYPERLINK("https://klasma.github.io/Logging_2161/tillsyn/A 34233-2024 tillsynsbegäran.docx", "A 34233-2024")</f>
        <v/>
      </c>
      <c r="Y666">
        <f>HYPERLINK("https://klasma.github.io/Logging_2161/tillsynsmail/A 34233-2024 tillsynsbegäran mail.docx", "A 34233-2024")</f>
        <v/>
      </c>
    </row>
    <row r="667" ht="15" customHeight="1">
      <c r="A667" t="inlineStr">
        <is>
          <t>A 34235-2024</t>
        </is>
      </c>
      <c r="B667" s="1" t="n">
        <v>45524</v>
      </c>
      <c r="C667" s="1" t="n">
        <v>45677</v>
      </c>
      <c r="D667" t="inlineStr">
        <is>
          <t>GÄVLEBORGS LÄN</t>
        </is>
      </c>
      <c r="E667" t="inlineStr">
        <is>
          <t>LJUSDAL</t>
        </is>
      </c>
      <c r="F667" t="inlineStr">
        <is>
          <t>Sveaskog</t>
        </is>
      </c>
      <c r="G667" t="n">
        <v>3.5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34235-2024 artfynd.xlsx", "A 34235-2024")</f>
        <v/>
      </c>
      <c r="T667">
        <f>HYPERLINK("https://klasma.github.io/Logging_2161/kartor/A 34235-2024 karta.png", "A 34235-2024")</f>
        <v/>
      </c>
      <c r="V667">
        <f>HYPERLINK("https://klasma.github.io/Logging_2161/klagomål/A 34235-2024 FSC-klagomål.docx", "A 34235-2024")</f>
        <v/>
      </c>
      <c r="W667">
        <f>HYPERLINK("https://klasma.github.io/Logging_2161/klagomålsmail/A 34235-2024 FSC-klagomål mail.docx", "A 34235-2024")</f>
        <v/>
      </c>
      <c r="X667">
        <f>HYPERLINK("https://klasma.github.io/Logging_2161/tillsyn/A 34235-2024 tillsynsbegäran.docx", "A 34235-2024")</f>
        <v/>
      </c>
      <c r="Y667">
        <f>HYPERLINK("https://klasma.github.io/Logging_2161/tillsynsmail/A 34235-2024 tillsynsbegäran mail.docx", "A 34235-2024")</f>
        <v/>
      </c>
    </row>
    <row r="668" ht="15" customHeight="1">
      <c r="A668" t="inlineStr">
        <is>
          <t>A 34358-2024</t>
        </is>
      </c>
      <c r="B668" s="1" t="n">
        <v>45525</v>
      </c>
      <c r="C668" s="1" t="n">
        <v>45677</v>
      </c>
      <c r="D668" t="inlineStr">
        <is>
          <t>GÄVLEBORGS LÄN</t>
        </is>
      </c>
      <c r="E668" t="inlineStr">
        <is>
          <t>HUDIKSVALL</t>
        </is>
      </c>
      <c r="F668" t="inlineStr">
        <is>
          <t>Holmen skog AB</t>
        </is>
      </c>
      <c r="G668" t="n">
        <v>4.7</v>
      </c>
      <c r="H668" t="n">
        <v>0</v>
      </c>
      <c r="I668" t="n">
        <v>0</v>
      </c>
      <c r="J668" t="n">
        <v>1</v>
      </c>
      <c r="K668" t="n">
        <v>0</v>
      </c>
      <c r="L668" t="n">
        <v>0</v>
      </c>
      <c r="M668" t="n">
        <v>0</v>
      </c>
      <c r="N668" t="n">
        <v>0</v>
      </c>
      <c r="O668" t="n">
        <v>1</v>
      </c>
      <c r="P668" t="n">
        <v>0</v>
      </c>
      <c r="Q668" t="n">
        <v>1</v>
      </c>
      <c r="R668" s="2" t="inlineStr">
        <is>
          <t>Garnlav</t>
        </is>
      </c>
      <c r="S668">
        <f>HYPERLINK("https://klasma.github.io/Logging_2184/artfynd/A 34358-2024 artfynd.xlsx", "A 34358-2024")</f>
        <v/>
      </c>
      <c r="T668">
        <f>HYPERLINK("https://klasma.github.io/Logging_2184/kartor/A 34358-2024 karta.png", "A 34358-2024")</f>
        <v/>
      </c>
      <c r="V668">
        <f>HYPERLINK("https://klasma.github.io/Logging_2184/klagomål/A 34358-2024 FSC-klagomål.docx", "A 34358-2024")</f>
        <v/>
      </c>
      <c r="W668">
        <f>HYPERLINK("https://klasma.github.io/Logging_2184/klagomålsmail/A 34358-2024 FSC-klagomål mail.docx", "A 34358-2024")</f>
        <v/>
      </c>
      <c r="X668">
        <f>HYPERLINK("https://klasma.github.io/Logging_2184/tillsyn/A 34358-2024 tillsynsbegäran.docx", "A 34358-2024")</f>
        <v/>
      </c>
      <c r="Y668">
        <f>HYPERLINK("https://klasma.github.io/Logging_2184/tillsynsmail/A 34358-2024 tillsynsbegäran mail.docx", "A 34358-2024")</f>
        <v/>
      </c>
    </row>
    <row r="669" ht="15" customHeight="1">
      <c r="A669" t="inlineStr">
        <is>
          <t>A 34475-2024</t>
        </is>
      </c>
      <c r="B669" s="1" t="n">
        <v>45525</v>
      </c>
      <c r="C669" s="1" t="n">
        <v>45677</v>
      </c>
      <c r="D669" t="inlineStr">
        <is>
          <t>GÄVLEBORGS LÄN</t>
        </is>
      </c>
      <c r="E669" t="inlineStr">
        <is>
          <t>BOLLNÄS</t>
        </is>
      </c>
      <c r="F669" t="inlineStr">
        <is>
          <t>Bergvik skog väst AB</t>
        </is>
      </c>
      <c r="G669" t="n">
        <v>7.8</v>
      </c>
      <c r="H669" t="n">
        <v>0</v>
      </c>
      <c r="I669" t="n">
        <v>1</v>
      </c>
      <c r="J669" t="n">
        <v>0</v>
      </c>
      <c r="K669" t="n">
        <v>0</v>
      </c>
      <c r="L669" t="n">
        <v>0</v>
      </c>
      <c r="M669" t="n">
        <v>0</v>
      </c>
      <c r="N669" t="n">
        <v>0</v>
      </c>
      <c r="O669" t="n">
        <v>0</v>
      </c>
      <c r="P669" t="n">
        <v>0</v>
      </c>
      <c r="Q669" t="n">
        <v>1</v>
      </c>
      <c r="R669" s="2" t="inlineStr">
        <is>
          <t>Kambräken</t>
        </is>
      </c>
      <c r="S669">
        <f>HYPERLINK("https://klasma.github.io/Logging_2183/artfynd/A 34475-2024 artfynd.xlsx", "A 34475-2024")</f>
        <v/>
      </c>
      <c r="T669">
        <f>HYPERLINK("https://klasma.github.io/Logging_2183/kartor/A 34475-2024 karta.png", "A 34475-2024")</f>
        <v/>
      </c>
      <c r="V669">
        <f>HYPERLINK("https://klasma.github.io/Logging_2183/klagomål/A 34475-2024 FSC-klagomål.docx", "A 34475-2024")</f>
        <v/>
      </c>
      <c r="W669">
        <f>HYPERLINK("https://klasma.github.io/Logging_2183/klagomålsmail/A 34475-2024 FSC-klagomål mail.docx", "A 34475-2024")</f>
        <v/>
      </c>
      <c r="X669">
        <f>HYPERLINK("https://klasma.github.io/Logging_2183/tillsyn/A 34475-2024 tillsynsbegäran.docx", "A 34475-2024")</f>
        <v/>
      </c>
      <c r="Y669">
        <f>HYPERLINK("https://klasma.github.io/Logging_2183/tillsynsmail/A 34475-2024 tillsynsbegäran mail.docx", "A 34475-2024")</f>
        <v/>
      </c>
    </row>
    <row r="670" ht="15" customHeight="1">
      <c r="A670" t="inlineStr">
        <is>
          <t>A 34346-2024</t>
        </is>
      </c>
      <c r="B670" s="1" t="n">
        <v>45525</v>
      </c>
      <c r="C670" s="1" t="n">
        <v>45677</v>
      </c>
      <c r="D670" t="inlineStr">
        <is>
          <t>GÄVLEBORGS LÄN</t>
        </is>
      </c>
      <c r="E670" t="inlineStr">
        <is>
          <t>LJUSDAL</t>
        </is>
      </c>
      <c r="F670" t="inlineStr">
        <is>
          <t>Holmen skog AB</t>
        </is>
      </c>
      <c r="G670" t="n">
        <v>6.8</v>
      </c>
      <c r="H670" t="n">
        <v>1</v>
      </c>
      <c r="I670" t="n">
        <v>0</v>
      </c>
      <c r="J670" t="n">
        <v>1</v>
      </c>
      <c r="K670" t="n">
        <v>0</v>
      </c>
      <c r="L670" t="n">
        <v>0</v>
      </c>
      <c r="M670" t="n">
        <v>0</v>
      </c>
      <c r="N670" t="n">
        <v>0</v>
      </c>
      <c r="O670" t="n">
        <v>1</v>
      </c>
      <c r="P670" t="n">
        <v>0</v>
      </c>
      <c r="Q670" t="n">
        <v>1</v>
      </c>
      <c r="R670" s="2" t="inlineStr">
        <is>
          <t>Talltita</t>
        </is>
      </c>
      <c r="S670">
        <f>HYPERLINK("https://klasma.github.io/Logging_2161/artfynd/A 34346-2024 artfynd.xlsx", "A 34346-2024")</f>
        <v/>
      </c>
      <c r="T670">
        <f>HYPERLINK("https://klasma.github.io/Logging_2161/kartor/A 34346-2024 karta.png", "A 34346-2024")</f>
        <v/>
      </c>
      <c r="V670">
        <f>HYPERLINK("https://klasma.github.io/Logging_2161/klagomål/A 34346-2024 FSC-klagomål.docx", "A 34346-2024")</f>
        <v/>
      </c>
      <c r="W670">
        <f>HYPERLINK("https://klasma.github.io/Logging_2161/klagomålsmail/A 34346-2024 FSC-klagomål mail.docx", "A 34346-2024")</f>
        <v/>
      </c>
      <c r="X670">
        <f>HYPERLINK("https://klasma.github.io/Logging_2161/tillsyn/A 34346-2024 tillsynsbegäran.docx", "A 34346-2024")</f>
        <v/>
      </c>
      <c r="Y670">
        <f>HYPERLINK("https://klasma.github.io/Logging_2161/tillsynsmail/A 34346-2024 tillsynsbegäran mail.docx", "A 34346-2024")</f>
        <v/>
      </c>
      <c r="Z670">
        <f>HYPERLINK("https://klasma.github.io/Logging_2161/fåglar/A 34346-2024 prioriterade fågelarter.docx", "A 34346-2024")</f>
        <v/>
      </c>
    </row>
    <row r="671" ht="15" customHeight="1">
      <c r="A671" t="inlineStr">
        <is>
          <t>A 34597-2024</t>
        </is>
      </c>
      <c r="B671" s="1" t="n">
        <v>45526</v>
      </c>
      <c r="C671" s="1" t="n">
        <v>45677</v>
      </c>
      <c r="D671" t="inlineStr">
        <is>
          <t>GÄVLEBORGS LÄN</t>
        </is>
      </c>
      <c r="E671" t="inlineStr">
        <is>
          <t>LJUSDAL</t>
        </is>
      </c>
      <c r="F671" t="inlineStr">
        <is>
          <t>Sveaskog</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34597-2024 artfynd.xlsx", "A 34597-2024")</f>
        <v/>
      </c>
      <c r="T671">
        <f>HYPERLINK("https://klasma.github.io/Logging_2161/kartor/A 34597-2024 karta.png", "A 34597-2024")</f>
        <v/>
      </c>
      <c r="V671">
        <f>HYPERLINK("https://klasma.github.io/Logging_2161/klagomål/A 34597-2024 FSC-klagomål.docx", "A 34597-2024")</f>
        <v/>
      </c>
      <c r="W671">
        <f>HYPERLINK("https://klasma.github.io/Logging_2161/klagomålsmail/A 34597-2024 FSC-klagomål mail.docx", "A 34597-2024")</f>
        <v/>
      </c>
      <c r="X671">
        <f>HYPERLINK("https://klasma.github.io/Logging_2161/tillsyn/A 34597-2024 tillsynsbegäran.docx", "A 34597-2024")</f>
        <v/>
      </c>
      <c r="Y671">
        <f>HYPERLINK("https://klasma.github.io/Logging_2161/tillsynsmail/A 34597-2024 tillsynsbegäran mail.docx", "A 34597-2024")</f>
        <v/>
      </c>
    </row>
    <row r="672" ht="15" customHeight="1">
      <c r="A672" t="inlineStr">
        <is>
          <t>A 34748-2024</t>
        </is>
      </c>
      <c r="B672" s="1" t="n">
        <v>45526</v>
      </c>
      <c r="C672" s="1" t="n">
        <v>45677</v>
      </c>
      <c r="D672" t="inlineStr">
        <is>
          <t>GÄVLEBORGS LÄN</t>
        </is>
      </c>
      <c r="E672" t="inlineStr">
        <is>
          <t>LJUSDAL</t>
        </is>
      </c>
      <c r="F672" t="inlineStr">
        <is>
          <t>Sveaskog</t>
        </is>
      </c>
      <c r="G672" t="n">
        <v>11.2</v>
      </c>
      <c r="H672" t="n">
        <v>0</v>
      </c>
      <c r="I672" t="n">
        <v>0</v>
      </c>
      <c r="J672" t="n">
        <v>1</v>
      </c>
      <c r="K672" t="n">
        <v>0</v>
      </c>
      <c r="L672" t="n">
        <v>0</v>
      </c>
      <c r="M672" t="n">
        <v>0</v>
      </c>
      <c r="N672" t="n">
        <v>0</v>
      </c>
      <c r="O672" t="n">
        <v>1</v>
      </c>
      <c r="P672" t="n">
        <v>0</v>
      </c>
      <c r="Q672" t="n">
        <v>1</v>
      </c>
      <c r="R672" s="2" t="inlineStr">
        <is>
          <t>Kolflarnlav</t>
        </is>
      </c>
      <c r="S672">
        <f>HYPERLINK("https://klasma.github.io/Logging_2161/artfynd/A 34748-2024 artfynd.xlsx", "A 34748-2024")</f>
        <v/>
      </c>
      <c r="T672">
        <f>HYPERLINK("https://klasma.github.io/Logging_2161/kartor/A 34748-2024 karta.png", "A 34748-2024")</f>
        <v/>
      </c>
      <c r="V672">
        <f>HYPERLINK("https://klasma.github.io/Logging_2161/klagomål/A 34748-2024 FSC-klagomål.docx", "A 34748-2024")</f>
        <v/>
      </c>
      <c r="W672">
        <f>HYPERLINK("https://klasma.github.io/Logging_2161/klagomålsmail/A 34748-2024 FSC-klagomål mail.docx", "A 34748-2024")</f>
        <v/>
      </c>
      <c r="X672">
        <f>HYPERLINK("https://klasma.github.io/Logging_2161/tillsyn/A 34748-2024 tillsynsbegäran.docx", "A 34748-2024")</f>
        <v/>
      </c>
      <c r="Y672">
        <f>HYPERLINK("https://klasma.github.io/Logging_2161/tillsynsmail/A 34748-2024 tillsynsbegäran mail.docx", "A 34748-2024")</f>
        <v/>
      </c>
    </row>
    <row r="673" ht="15" customHeight="1">
      <c r="A673" t="inlineStr">
        <is>
          <t>A 34744-2024</t>
        </is>
      </c>
      <c r="B673" s="1" t="n">
        <v>45526</v>
      </c>
      <c r="C673" s="1" t="n">
        <v>45677</v>
      </c>
      <c r="D673" t="inlineStr">
        <is>
          <t>GÄVLEBORGS LÄN</t>
        </is>
      </c>
      <c r="E673" t="inlineStr">
        <is>
          <t>LJUSDAL</t>
        </is>
      </c>
      <c r="F673" t="inlineStr">
        <is>
          <t>Sveaskog</t>
        </is>
      </c>
      <c r="G673" t="n">
        <v>9.9</v>
      </c>
      <c r="H673" t="n">
        <v>0</v>
      </c>
      <c r="I673" t="n">
        <v>0</v>
      </c>
      <c r="J673" t="n">
        <v>1</v>
      </c>
      <c r="K673" t="n">
        <v>0</v>
      </c>
      <c r="L673" t="n">
        <v>0</v>
      </c>
      <c r="M673" t="n">
        <v>0</v>
      </c>
      <c r="N673" t="n">
        <v>0</v>
      </c>
      <c r="O673" t="n">
        <v>1</v>
      </c>
      <c r="P673" t="n">
        <v>0</v>
      </c>
      <c r="Q673" t="n">
        <v>1</v>
      </c>
      <c r="R673" s="2" t="inlineStr">
        <is>
          <t>Lunglav</t>
        </is>
      </c>
      <c r="S673">
        <f>HYPERLINK("https://klasma.github.io/Logging_2161/artfynd/A 34744-2024 artfynd.xlsx", "A 34744-2024")</f>
        <v/>
      </c>
      <c r="T673">
        <f>HYPERLINK("https://klasma.github.io/Logging_2161/kartor/A 34744-2024 karta.png", "A 34744-2024")</f>
        <v/>
      </c>
      <c r="V673">
        <f>HYPERLINK("https://klasma.github.io/Logging_2161/klagomål/A 34744-2024 FSC-klagomål.docx", "A 34744-2024")</f>
        <v/>
      </c>
      <c r="W673">
        <f>HYPERLINK("https://klasma.github.io/Logging_2161/klagomålsmail/A 34744-2024 FSC-klagomål mail.docx", "A 34744-2024")</f>
        <v/>
      </c>
      <c r="X673">
        <f>HYPERLINK("https://klasma.github.io/Logging_2161/tillsyn/A 34744-2024 tillsynsbegäran.docx", "A 34744-2024")</f>
        <v/>
      </c>
      <c r="Y673">
        <f>HYPERLINK("https://klasma.github.io/Logging_2161/tillsynsmail/A 34744-2024 tillsynsbegäran mail.docx", "A 34744-2024")</f>
        <v/>
      </c>
    </row>
    <row r="674" ht="15" customHeight="1">
      <c r="A674" t="inlineStr">
        <is>
          <t>A 34974-2024</t>
        </is>
      </c>
      <c r="B674" s="1" t="n">
        <v>45527</v>
      </c>
      <c r="C674" s="1" t="n">
        <v>45677</v>
      </c>
      <c r="D674" t="inlineStr">
        <is>
          <t>GÄVLEBORGS LÄN</t>
        </is>
      </c>
      <c r="E674" t="inlineStr">
        <is>
          <t>LJUSDAL</t>
        </is>
      </c>
      <c r="F674" t="inlineStr">
        <is>
          <t>Sveaskog</t>
        </is>
      </c>
      <c r="G674" t="n">
        <v>4.6</v>
      </c>
      <c r="H674" t="n">
        <v>0</v>
      </c>
      <c r="I674" t="n">
        <v>0</v>
      </c>
      <c r="J674" t="n">
        <v>1</v>
      </c>
      <c r="K674" t="n">
        <v>0</v>
      </c>
      <c r="L674" t="n">
        <v>0</v>
      </c>
      <c r="M674" t="n">
        <v>0</v>
      </c>
      <c r="N674" t="n">
        <v>0</v>
      </c>
      <c r="O674" t="n">
        <v>1</v>
      </c>
      <c r="P674" t="n">
        <v>0</v>
      </c>
      <c r="Q674" t="n">
        <v>1</v>
      </c>
      <c r="R674" s="2" t="inlineStr">
        <is>
          <t>Kolflarnlav</t>
        </is>
      </c>
      <c r="S674">
        <f>HYPERLINK("https://klasma.github.io/Logging_2161/artfynd/A 34974-2024 artfynd.xlsx", "A 34974-2024")</f>
        <v/>
      </c>
      <c r="T674">
        <f>HYPERLINK("https://klasma.github.io/Logging_2161/kartor/A 34974-2024 karta.png", "A 34974-2024")</f>
        <v/>
      </c>
      <c r="V674">
        <f>HYPERLINK("https://klasma.github.io/Logging_2161/klagomål/A 34974-2024 FSC-klagomål.docx", "A 34974-2024")</f>
        <v/>
      </c>
      <c r="W674">
        <f>HYPERLINK("https://klasma.github.io/Logging_2161/klagomålsmail/A 34974-2024 FSC-klagomål mail.docx", "A 34974-2024")</f>
        <v/>
      </c>
      <c r="X674">
        <f>HYPERLINK("https://klasma.github.io/Logging_2161/tillsyn/A 34974-2024 tillsynsbegäran.docx", "A 34974-2024")</f>
        <v/>
      </c>
      <c r="Y674">
        <f>HYPERLINK("https://klasma.github.io/Logging_2161/tillsynsmail/A 34974-2024 tillsynsbegäran mail.docx", "A 34974-2024")</f>
        <v/>
      </c>
    </row>
    <row r="675" ht="15" customHeight="1">
      <c r="A675" t="inlineStr">
        <is>
          <t>A 35521-2024</t>
        </is>
      </c>
      <c r="B675" s="1" t="n">
        <v>45531</v>
      </c>
      <c r="C675" s="1" t="n">
        <v>45677</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35373-2024</t>
        </is>
      </c>
      <c r="B676" s="1" t="n">
        <v>45531</v>
      </c>
      <c r="C676" s="1" t="n">
        <v>45677</v>
      </c>
      <c r="D676" t="inlineStr">
        <is>
          <t>GÄVLEBORGS LÄN</t>
        </is>
      </c>
      <c r="E676" t="inlineStr">
        <is>
          <t>OVANÅKER</t>
        </is>
      </c>
      <c r="F676" t="inlineStr">
        <is>
          <t>Sveaskog</t>
        </is>
      </c>
      <c r="G676" t="n">
        <v>2.3</v>
      </c>
      <c r="H676" t="n">
        <v>0</v>
      </c>
      <c r="I676" t="n">
        <v>0</v>
      </c>
      <c r="J676" t="n">
        <v>1</v>
      </c>
      <c r="K676" t="n">
        <v>0</v>
      </c>
      <c r="L676" t="n">
        <v>0</v>
      </c>
      <c r="M676" t="n">
        <v>0</v>
      </c>
      <c r="N676" t="n">
        <v>0</v>
      </c>
      <c r="O676" t="n">
        <v>1</v>
      </c>
      <c r="P676" t="n">
        <v>0</v>
      </c>
      <c r="Q676" t="n">
        <v>1</v>
      </c>
      <c r="R676" s="2" t="inlineStr">
        <is>
          <t>Vedtrappmossa</t>
        </is>
      </c>
      <c r="S676">
        <f>HYPERLINK("https://klasma.github.io/Logging_2121/artfynd/A 35373-2024 artfynd.xlsx", "A 35373-2024")</f>
        <v/>
      </c>
      <c r="T676">
        <f>HYPERLINK("https://klasma.github.io/Logging_2121/kartor/A 35373-2024 karta.png", "A 35373-2024")</f>
        <v/>
      </c>
      <c r="V676">
        <f>HYPERLINK("https://klasma.github.io/Logging_2121/klagomål/A 35373-2024 FSC-klagomål.docx", "A 35373-2024")</f>
        <v/>
      </c>
      <c r="W676">
        <f>HYPERLINK("https://klasma.github.io/Logging_2121/klagomålsmail/A 35373-2024 FSC-klagomål mail.docx", "A 35373-2024")</f>
        <v/>
      </c>
      <c r="X676">
        <f>HYPERLINK("https://klasma.github.io/Logging_2121/tillsyn/A 35373-2024 tillsynsbegäran.docx", "A 35373-2024")</f>
        <v/>
      </c>
      <c r="Y676">
        <f>HYPERLINK("https://klasma.github.io/Logging_2121/tillsynsmail/A 35373-2024 tillsynsbegäran mail.docx", "A 35373-2024")</f>
        <v/>
      </c>
    </row>
    <row r="677" ht="15" customHeight="1">
      <c r="A677" t="inlineStr">
        <is>
          <t>A 35623-2024</t>
        </is>
      </c>
      <c r="B677" s="1" t="n">
        <v>45531</v>
      </c>
      <c r="C677" s="1" t="n">
        <v>45677</v>
      </c>
      <c r="D677" t="inlineStr">
        <is>
          <t>GÄVLEBORGS LÄN</t>
        </is>
      </c>
      <c r="E677" t="inlineStr">
        <is>
          <t>SANDVIKEN</t>
        </is>
      </c>
      <c r="F677" t="inlineStr">
        <is>
          <t>Sveaskog</t>
        </is>
      </c>
      <c r="G677" t="n">
        <v>13.1</v>
      </c>
      <c r="H677" t="n">
        <v>1</v>
      </c>
      <c r="I677" t="n">
        <v>0</v>
      </c>
      <c r="J677" t="n">
        <v>1</v>
      </c>
      <c r="K677" t="n">
        <v>0</v>
      </c>
      <c r="L677" t="n">
        <v>0</v>
      </c>
      <c r="M677" t="n">
        <v>0</v>
      </c>
      <c r="N677" t="n">
        <v>0</v>
      </c>
      <c r="O677" t="n">
        <v>1</v>
      </c>
      <c r="P677" t="n">
        <v>0</v>
      </c>
      <c r="Q677" t="n">
        <v>1</v>
      </c>
      <c r="R677" s="2" t="inlineStr">
        <is>
          <t>Nordfladdermus</t>
        </is>
      </c>
      <c r="S677">
        <f>HYPERLINK("https://klasma.github.io/Logging_2181/artfynd/A 35623-2024 artfynd.xlsx", "A 35623-2024")</f>
        <v/>
      </c>
      <c r="T677">
        <f>HYPERLINK("https://klasma.github.io/Logging_2181/kartor/A 35623-2024 karta.png", "A 35623-2024")</f>
        <v/>
      </c>
      <c r="V677">
        <f>HYPERLINK("https://klasma.github.io/Logging_2181/klagomål/A 35623-2024 FSC-klagomål.docx", "A 35623-2024")</f>
        <v/>
      </c>
      <c r="W677">
        <f>HYPERLINK("https://klasma.github.io/Logging_2181/klagomålsmail/A 35623-2024 FSC-klagomål mail.docx", "A 35623-2024")</f>
        <v/>
      </c>
      <c r="X677">
        <f>HYPERLINK("https://klasma.github.io/Logging_2181/tillsyn/A 35623-2024 tillsynsbegäran.docx", "A 35623-2024")</f>
        <v/>
      </c>
      <c r="Y677">
        <f>HYPERLINK("https://klasma.github.io/Logging_2181/tillsynsmail/A 35623-2024 tillsynsbegäran mail.docx", "A 35623-2024")</f>
        <v/>
      </c>
    </row>
    <row r="678" ht="15" customHeight="1">
      <c r="A678" t="inlineStr">
        <is>
          <t>A 36752-2024</t>
        </is>
      </c>
      <c r="B678" s="1" t="n">
        <v>45538</v>
      </c>
      <c r="C678" s="1" t="n">
        <v>45677</v>
      </c>
      <c r="D678" t="inlineStr">
        <is>
          <t>GÄVLEBORGS LÄN</t>
        </is>
      </c>
      <c r="E678" t="inlineStr">
        <is>
          <t>HOFORS</t>
        </is>
      </c>
      <c r="G678" t="n">
        <v>2.3</v>
      </c>
      <c r="H678" t="n">
        <v>1</v>
      </c>
      <c r="I678" t="n">
        <v>0</v>
      </c>
      <c r="J678" t="n">
        <v>0</v>
      </c>
      <c r="K678" t="n">
        <v>1</v>
      </c>
      <c r="L678" t="n">
        <v>0</v>
      </c>
      <c r="M678" t="n">
        <v>0</v>
      </c>
      <c r="N678" t="n">
        <v>0</v>
      </c>
      <c r="O678" t="n">
        <v>1</v>
      </c>
      <c r="P678" t="n">
        <v>1</v>
      </c>
      <c r="Q678" t="n">
        <v>1</v>
      </c>
      <c r="R678" s="2" t="inlineStr">
        <is>
          <t>Knärot</t>
        </is>
      </c>
      <c r="S678">
        <f>HYPERLINK("https://klasma.github.io/Logging_2104/artfynd/A 36752-2024 artfynd.xlsx", "A 36752-2024")</f>
        <v/>
      </c>
      <c r="T678">
        <f>HYPERLINK("https://klasma.github.io/Logging_2104/kartor/A 36752-2024 karta.png", "A 36752-2024")</f>
        <v/>
      </c>
      <c r="U678">
        <f>HYPERLINK("https://klasma.github.io/Logging_2104/knärot/A 36752-2024 karta knärot.png", "A 36752-2024")</f>
        <v/>
      </c>
      <c r="V678">
        <f>HYPERLINK("https://klasma.github.io/Logging_2104/klagomål/A 36752-2024 FSC-klagomål.docx", "A 36752-2024")</f>
        <v/>
      </c>
      <c r="W678">
        <f>HYPERLINK("https://klasma.github.io/Logging_2104/klagomålsmail/A 36752-2024 FSC-klagomål mail.docx", "A 36752-2024")</f>
        <v/>
      </c>
      <c r="X678">
        <f>HYPERLINK("https://klasma.github.io/Logging_2104/tillsyn/A 36752-2024 tillsynsbegäran.docx", "A 36752-2024")</f>
        <v/>
      </c>
      <c r="Y678">
        <f>HYPERLINK("https://klasma.github.io/Logging_2104/tillsynsmail/A 36752-2024 tillsynsbegäran mail.docx", "A 36752-2024")</f>
        <v/>
      </c>
    </row>
    <row r="679" ht="15" customHeight="1">
      <c r="A679" t="inlineStr">
        <is>
          <t>A 36760-2024</t>
        </is>
      </c>
      <c r="B679" s="1" t="n">
        <v>45538</v>
      </c>
      <c r="C679" s="1" t="n">
        <v>45677</v>
      </c>
      <c r="D679" t="inlineStr">
        <is>
          <t>GÄVLEBORGS LÄN</t>
        </is>
      </c>
      <c r="E679" t="inlineStr">
        <is>
          <t>HOFORS</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HYPERLINK("https://klasma.github.io/Logging_2104/artfynd/A 36760-2024 artfynd.xlsx", "A 36760-2024")</f>
        <v/>
      </c>
      <c r="T679">
        <f>HYPERLINK("https://klasma.github.io/Logging_2104/kartor/A 36760-2024 karta.png", "A 36760-2024")</f>
        <v/>
      </c>
      <c r="U679">
        <f>HYPERLINK("https://klasma.github.io/Logging_2104/knärot/A 36760-2024 karta knärot.png", "A 36760-2024")</f>
        <v/>
      </c>
      <c r="V679">
        <f>HYPERLINK("https://klasma.github.io/Logging_2104/klagomål/A 36760-2024 FSC-klagomål.docx", "A 36760-2024")</f>
        <v/>
      </c>
      <c r="W679">
        <f>HYPERLINK("https://klasma.github.io/Logging_2104/klagomålsmail/A 36760-2024 FSC-klagomål mail.docx", "A 36760-2024")</f>
        <v/>
      </c>
      <c r="X679">
        <f>HYPERLINK("https://klasma.github.io/Logging_2104/tillsyn/A 36760-2024 tillsynsbegäran.docx", "A 36760-2024")</f>
        <v/>
      </c>
      <c r="Y679">
        <f>HYPERLINK("https://klasma.github.io/Logging_2104/tillsynsmail/A 36760-2024 tillsynsbegäran mail.docx", "A 36760-2024")</f>
        <v/>
      </c>
    </row>
    <row r="680" ht="15" customHeight="1">
      <c r="A680" t="inlineStr">
        <is>
          <t>A 37090-2024</t>
        </is>
      </c>
      <c r="B680" s="1" t="n">
        <v>45539</v>
      </c>
      <c r="C680" s="1" t="n">
        <v>45677</v>
      </c>
      <c r="D680" t="inlineStr">
        <is>
          <t>GÄVLEBORGS LÄN</t>
        </is>
      </c>
      <c r="E680" t="inlineStr">
        <is>
          <t>LJUSDAL</t>
        </is>
      </c>
      <c r="F680" t="inlineStr">
        <is>
          <t>Sveaskog</t>
        </is>
      </c>
      <c r="G680" t="n">
        <v>2.6</v>
      </c>
      <c r="H680" t="n">
        <v>0</v>
      </c>
      <c r="I680" t="n">
        <v>0</v>
      </c>
      <c r="J680" t="n">
        <v>1</v>
      </c>
      <c r="K680" t="n">
        <v>0</v>
      </c>
      <c r="L680" t="n">
        <v>0</v>
      </c>
      <c r="M680" t="n">
        <v>0</v>
      </c>
      <c r="N680" t="n">
        <v>0</v>
      </c>
      <c r="O680" t="n">
        <v>1</v>
      </c>
      <c r="P680" t="n">
        <v>0</v>
      </c>
      <c r="Q680" t="n">
        <v>1</v>
      </c>
      <c r="R680" s="2" t="inlineStr">
        <is>
          <t>Skrovellav</t>
        </is>
      </c>
      <c r="S680">
        <f>HYPERLINK("https://klasma.github.io/Logging_2161/artfynd/A 37090-2024 artfynd.xlsx", "A 37090-2024")</f>
        <v/>
      </c>
      <c r="T680">
        <f>HYPERLINK("https://klasma.github.io/Logging_2161/kartor/A 37090-2024 karta.png", "A 37090-2024")</f>
        <v/>
      </c>
      <c r="V680">
        <f>HYPERLINK("https://klasma.github.io/Logging_2161/klagomål/A 37090-2024 FSC-klagomål.docx", "A 37090-2024")</f>
        <v/>
      </c>
      <c r="W680">
        <f>HYPERLINK("https://klasma.github.io/Logging_2161/klagomålsmail/A 37090-2024 FSC-klagomål mail.docx", "A 37090-2024")</f>
        <v/>
      </c>
      <c r="X680">
        <f>HYPERLINK("https://klasma.github.io/Logging_2161/tillsyn/A 37090-2024 tillsynsbegäran.docx", "A 37090-2024")</f>
        <v/>
      </c>
      <c r="Y680">
        <f>HYPERLINK("https://klasma.github.io/Logging_2161/tillsynsmail/A 37090-2024 tillsynsbegäran mail.docx", "A 37090-2024")</f>
        <v/>
      </c>
    </row>
    <row r="681" ht="15" customHeight="1">
      <c r="A681" t="inlineStr">
        <is>
          <t>A 37435-2024</t>
        </is>
      </c>
      <c r="B681" s="1" t="n">
        <v>45540</v>
      </c>
      <c r="C681" s="1" t="n">
        <v>45677</v>
      </c>
      <c r="D681" t="inlineStr">
        <is>
          <t>GÄVLEBORGS LÄN</t>
        </is>
      </c>
      <c r="E681" t="inlineStr">
        <is>
          <t>LJUSDAL</t>
        </is>
      </c>
      <c r="F681" t="inlineStr">
        <is>
          <t>Sveaskog</t>
        </is>
      </c>
      <c r="G681" t="n">
        <v>11.4</v>
      </c>
      <c r="H681" t="n">
        <v>0</v>
      </c>
      <c r="I681" t="n">
        <v>0</v>
      </c>
      <c r="J681" t="n">
        <v>1</v>
      </c>
      <c r="K681" t="n">
        <v>0</v>
      </c>
      <c r="L681" t="n">
        <v>0</v>
      </c>
      <c r="M681" t="n">
        <v>0</v>
      </c>
      <c r="N681" t="n">
        <v>0</v>
      </c>
      <c r="O681" t="n">
        <v>1</v>
      </c>
      <c r="P681" t="n">
        <v>0</v>
      </c>
      <c r="Q681" t="n">
        <v>1</v>
      </c>
      <c r="R681" s="2" t="inlineStr">
        <is>
          <t>Garnlav</t>
        </is>
      </c>
      <c r="S681">
        <f>HYPERLINK("https://klasma.github.io/Logging_2161/artfynd/A 37435-2024 artfynd.xlsx", "A 37435-2024")</f>
        <v/>
      </c>
      <c r="T681">
        <f>HYPERLINK("https://klasma.github.io/Logging_2161/kartor/A 37435-2024 karta.png", "A 37435-2024")</f>
        <v/>
      </c>
      <c r="V681">
        <f>HYPERLINK("https://klasma.github.io/Logging_2161/klagomål/A 37435-2024 FSC-klagomål.docx", "A 37435-2024")</f>
        <v/>
      </c>
      <c r="W681">
        <f>HYPERLINK("https://klasma.github.io/Logging_2161/klagomålsmail/A 37435-2024 FSC-klagomål mail.docx", "A 37435-2024")</f>
        <v/>
      </c>
      <c r="X681">
        <f>HYPERLINK("https://klasma.github.io/Logging_2161/tillsyn/A 37435-2024 tillsynsbegäran.docx", "A 37435-2024")</f>
        <v/>
      </c>
      <c r="Y681">
        <f>HYPERLINK("https://klasma.github.io/Logging_2161/tillsynsmail/A 37435-2024 tillsynsbegäran mail.docx", "A 37435-2024")</f>
        <v/>
      </c>
    </row>
    <row r="682" ht="15" customHeight="1">
      <c r="A682" t="inlineStr">
        <is>
          <t>A 37525-2024</t>
        </is>
      </c>
      <c r="B682" s="1" t="n">
        <v>45541</v>
      </c>
      <c r="C682" s="1" t="n">
        <v>45677</v>
      </c>
      <c r="D682" t="inlineStr">
        <is>
          <t>GÄVLEBORGS LÄN</t>
        </is>
      </c>
      <c r="E682" t="inlineStr">
        <is>
          <t>SANDVIKEN</t>
        </is>
      </c>
      <c r="F682" t="inlineStr">
        <is>
          <t>Sveaskog</t>
        </is>
      </c>
      <c r="G682" t="n">
        <v>5.5</v>
      </c>
      <c r="H682" t="n">
        <v>1</v>
      </c>
      <c r="I682" t="n">
        <v>0</v>
      </c>
      <c r="J682" t="n">
        <v>0</v>
      </c>
      <c r="K682" t="n">
        <v>0</v>
      </c>
      <c r="L682" t="n">
        <v>0</v>
      </c>
      <c r="M682" t="n">
        <v>0</v>
      </c>
      <c r="N682" t="n">
        <v>0</v>
      </c>
      <c r="O682" t="n">
        <v>0</v>
      </c>
      <c r="P682" t="n">
        <v>0</v>
      </c>
      <c r="Q682" t="n">
        <v>1</v>
      </c>
      <c r="R682" s="2" t="inlineStr">
        <is>
          <t>Fläcknycklar</t>
        </is>
      </c>
      <c r="S682">
        <f>HYPERLINK("https://klasma.github.io/Logging_2181/artfynd/A 37525-2024 artfynd.xlsx", "A 37525-2024")</f>
        <v/>
      </c>
      <c r="T682">
        <f>HYPERLINK("https://klasma.github.io/Logging_2181/kartor/A 37525-2024 karta.png", "A 37525-2024")</f>
        <v/>
      </c>
      <c r="V682">
        <f>HYPERLINK("https://klasma.github.io/Logging_2181/klagomål/A 37525-2024 FSC-klagomål.docx", "A 37525-2024")</f>
        <v/>
      </c>
      <c r="W682">
        <f>HYPERLINK("https://klasma.github.io/Logging_2181/klagomålsmail/A 37525-2024 FSC-klagomål mail.docx", "A 37525-2024")</f>
        <v/>
      </c>
      <c r="X682">
        <f>HYPERLINK("https://klasma.github.io/Logging_2181/tillsyn/A 37525-2024 tillsynsbegäran.docx", "A 37525-2024")</f>
        <v/>
      </c>
      <c r="Y682">
        <f>HYPERLINK("https://klasma.github.io/Logging_2181/tillsynsmail/A 37525-2024 tillsynsbegäran mail.docx", "A 37525-2024")</f>
        <v/>
      </c>
    </row>
    <row r="683" ht="15" customHeight="1">
      <c r="A683" t="inlineStr">
        <is>
          <t>A 37635-2024</t>
        </is>
      </c>
      <c r="B683" s="1" t="n">
        <v>45541</v>
      </c>
      <c r="C683" s="1" t="n">
        <v>45677</v>
      </c>
      <c r="D683" t="inlineStr">
        <is>
          <t>GÄVLEBORGS LÄN</t>
        </is>
      </c>
      <c r="E683" t="inlineStr">
        <is>
          <t>SANDVIKEN</t>
        </is>
      </c>
      <c r="F683" t="inlineStr">
        <is>
          <t>Sveaskog</t>
        </is>
      </c>
      <c r="G683" t="n">
        <v>25</v>
      </c>
      <c r="H683" t="n">
        <v>1</v>
      </c>
      <c r="I683" t="n">
        <v>0</v>
      </c>
      <c r="J683" t="n">
        <v>1</v>
      </c>
      <c r="K683" t="n">
        <v>0</v>
      </c>
      <c r="L683" t="n">
        <v>0</v>
      </c>
      <c r="M683" t="n">
        <v>0</v>
      </c>
      <c r="N683" t="n">
        <v>0</v>
      </c>
      <c r="O683" t="n">
        <v>1</v>
      </c>
      <c r="P683" t="n">
        <v>0</v>
      </c>
      <c r="Q683" t="n">
        <v>1</v>
      </c>
      <c r="R683" s="2" t="inlineStr">
        <is>
          <t>Talltita</t>
        </is>
      </c>
      <c r="S683">
        <f>HYPERLINK("https://klasma.github.io/Logging_2181/artfynd/A 37635-2024 artfynd.xlsx", "A 37635-2024")</f>
        <v/>
      </c>
      <c r="T683">
        <f>HYPERLINK("https://klasma.github.io/Logging_2181/kartor/A 37635-2024 karta.png", "A 37635-2024")</f>
        <v/>
      </c>
      <c r="V683">
        <f>HYPERLINK("https://klasma.github.io/Logging_2181/klagomål/A 37635-2024 FSC-klagomål.docx", "A 37635-2024")</f>
        <v/>
      </c>
      <c r="W683">
        <f>HYPERLINK("https://klasma.github.io/Logging_2181/klagomålsmail/A 37635-2024 FSC-klagomål mail.docx", "A 37635-2024")</f>
        <v/>
      </c>
      <c r="X683">
        <f>HYPERLINK("https://klasma.github.io/Logging_2181/tillsyn/A 37635-2024 tillsynsbegäran.docx", "A 37635-2024")</f>
        <v/>
      </c>
      <c r="Y683">
        <f>HYPERLINK("https://klasma.github.io/Logging_2181/tillsynsmail/A 37635-2024 tillsynsbegäran mail.docx", "A 37635-2024")</f>
        <v/>
      </c>
      <c r="Z683">
        <f>HYPERLINK("https://klasma.github.io/Logging_2181/fåglar/A 37635-2024 prioriterade fågelarter.docx", "A 37635-2024")</f>
        <v/>
      </c>
    </row>
    <row r="684" ht="15" customHeight="1">
      <c r="A684" t="inlineStr">
        <is>
          <t>A 37776-2024</t>
        </is>
      </c>
      <c r="B684" s="1" t="n">
        <v>45542</v>
      </c>
      <c r="C684" s="1" t="n">
        <v>45677</v>
      </c>
      <c r="D684" t="inlineStr">
        <is>
          <t>GÄVLEBORGS LÄN</t>
        </is>
      </c>
      <c r="E684" t="inlineStr">
        <is>
          <t>OVANÅKER</t>
        </is>
      </c>
      <c r="F684" t="inlineStr">
        <is>
          <t>Bergvik skog väst AB</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HYPERLINK("https://klasma.github.io/Logging_2121/artfynd/A 37776-2024 artfynd.xlsx", "A 37776-2024")</f>
        <v/>
      </c>
      <c r="T684">
        <f>HYPERLINK("https://klasma.github.io/Logging_2121/kartor/A 37776-2024 karta.png", "A 37776-2024")</f>
        <v/>
      </c>
      <c r="U684">
        <f>HYPERLINK("https://klasma.github.io/Logging_2121/knärot/A 37776-2024 karta knärot.png", "A 37776-2024")</f>
        <v/>
      </c>
      <c r="V684">
        <f>HYPERLINK("https://klasma.github.io/Logging_2121/klagomål/A 37776-2024 FSC-klagomål.docx", "A 37776-2024")</f>
        <v/>
      </c>
      <c r="W684">
        <f>HYPERLINK("https://klasma.github.io/Logging_2121/klagomålsmail/A 37776-2024 FSC-klagomål mail.docx", "A 37776-2024")</f>
        <v/>
      </c>
      <c r="X684">
        <f>HYPERLINK("https://klasma.github.io/Logging_2121/tillsyn/A 37776-2024 tillsynsbegäran.docx", "A 37776-2024")</f>
        <v/>
      </c>
      <c r="Y684">
        <f>HYPERLINK("https://klasma.github.io/Logging_2121/tillsynsmail/A 37776-2024 tillsynsbegäran mail.docx", "A 37776-2024")</f>
        <v/>
      </c>
    </row>
    <row r="685" ht="15" customHeight="1">
      <c r="A685" t="inlineStr">
        <is>
          <t>A 38152-2024</t>
        </is>
      </c>
      <c r="B685" s="1" t="n">
        <v>45545</v>
      </c>
      <c r="C685" s="1" t="n">
        <v>45677</v>
      </c>
      <c r="D685" t="inlineStr">
        <is>
          <t>GÄVLEBORGS LÄN</t>
        </is>
      </c>
      <c r="E685" t="inlineStr">
        <is>
          <t>LJUSDAL</t>
        </is>
      </c>
      <c r="F685" t="inlineStr">
        <is>
          <t>Sveaskog</t>
        </is>
      </c>
      <c r="G685" t="n">
        <v>3.6</v>
      </c>
      <c r="H685" t="n">
        <v>1</v>
      </c>
      <c r="I685" t="n">
        <v>0</v>
      </c>
      <c r="J685" t="n">
        <v>0</v>
      </c>
      <c r="K685" t="n">
        <v>1</v>
      </c>
      <c r="L685" t="n">
        <v>0</v>
      </c>
      <c r="M685" t="n">
        <v>0</v>
      </c>
      <c r="N685" t="n">
        <v>0</v>
      </c>
      <c r="O685" t="n">
        <v>1</v>
      </c>
      <c r="P685" t="n">
        <v>1</v>
      </c>
      <c r="Q685" t="n">
        <v>1</v>
      </c>
      <c r="R685" s="2" t="inlineStr">
        <is>
          <t>Knärot</t>
        </is>
      </c>
      <c r="S685">
        <f>HYPERLINK("https://klasma.github.io/Logging_2161/artfynd/A 38152-2024 artfynd.xlsx", "A 38152-2024")</f>
        <v/>
      </c>
      <c r="T685">
        <f>HYPERLINK("https://klasma.github.io/Logging_2161/kartor/A 38152-2024 karta.png", "A 38152-2024")</f>
        <v/>
      </c>
      <c r="U685">
        <f>HYPERLINK("https://klasma.github.io/Logging_2161/knärot/A 38152-2024 karta knärot.png", "A 38152-2024")</f>
        <v/>
      </c>
      <c r="V685">
        <f>HYPERLINK("https://klasma.github.io/Logging_2161/klagomål/A 38152-2024 FSC-klagomål.docx", "A 38152-2024")</f>
        <v/>
      </c>
      <c r="W685">
        <f>HYPERLINK("https://klasma.github.io/Logging_2161/klagomålsmail/A 38152-2024 FSC-klagomål mail.docx", "A 38152-2024")</f>
        <v/>
      </c>
      <c r="X685">
        <f>HYPERLINK("https://klasma.github.io/Logging_2161/tillsyn/A 38152-2024 tillsynsbegäran.docx", "A 38152-2024")</f>
        <v/>
      </c>
      <c r="Y685">
        <f>HYPERLINK("https://klasma.github.io/Logging_2161/tillsynsmail/A 38152-2024 tillsynsbegäran mail.docx", "A 38152-2024")</f>
        <v/>
      </c>
    </row>
    <row r="686" ht="15" customHeight="1">
      <c r="A686" t="inlineStr">
        <is>
          <t>A 38960-2024</t>
        </is>
      </c>
      <c r="B686" s="1" t="n">
        <v>45548</v>
      </c>
      <c r="C686" s="1" t="n">
        <v>45677</v>
      </c>
      <c r="D686" t="inlineStr">
        <is>
          <t>GÄVLEBORGS LÄN</t>
        </is>
      </c>
      <c r="E686" t="inlineStr">
        <is>
          <t>SANDVIKEN</t>
        </is>
      </c>
      <c r="F686" t="inlineStr">
        <is>
          <t>Sveaskog</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HYPERLINK("https://klasma.github.io/Logging_2181/artfynd/A 38960-2024 artfynd.xlsx", "A 38960-2024")</f>
        <v/>
      </c>
      <c r="T686">
        <f>HYPERLINK("https://klasma.github.io/Logging_2181/kartor/A 38960-2024 karta.png", "A 38960-2024")</f>
        <v/>
      </c>
      <c r="U686">
        <f>HYPERLINK("https://klasma.github.io/Logging_2181/knärot/A 38960-2024 karta knärot.png", "A 38960-2024")</f>
        <v/>
      </c>
      <c r="V686">
        <f>HYPERLINK("https://klasma.github.io/Logging_2181/klagomål/A 38960-2024 FSC-klagomål.docx", "A 38960-2024")</f>
        <v/>
      </c>
      <c r="W686">
        <f>HYPERLINK("https://klasma.github.io/Logging_2181/klagomålsmail/A 38960-2024 FSC-klagomål mail.docx", "A 38960-2024")</f>
        <v/>
      </c>
      <c r="X686">
        <f>HYPERLINK("https://klasma.github.io/Logging_2181/tillsyn/A 38960-2024 tillsynsbegäran.docx", "A 38960-2024")</f>
        <v/>
      </c>
      <c r="Y686">
        <f>HYPERLINK("https://klasma.github.io/Logging_2181/tillsynsmail/A 38960-2024 tillsynsbegäran mail.docx", "A 38960-2024")</f>
        <v/>
      </c>
    </row>
    <row r="687" ht="15" customHeight="1">
      <c r="A687" t="inlineStr">
        <is>
          <t>A 38971-2024</t>
        </is>
      </c>
      <c r="B687" s="1" t="n">
        <v>45548</v>
      </c>
      <c r="C687" s="1" t="n">
        <v>45677</v>
      </c>
      <c r="D687" t="inlineStr">
        <is>
          <t>GÄVLEBORGS LÄN</t>
        </is>
      </c>
      <c r="E687" t="inlineStr">
        <is>
          <t>BOLLNÄS</t>
        </is>
      </c>
      <c r="F687" t="inlineStr">
        <is>
          <t>Sveaskog</t>
        </is>
      </c>
      <c r="G687" t="n">
        <v>5.7</v>
      </c>
      <c r="H687" t="n">
        <v>1</v>
      </c>
      <c r="I687" t="n">
        <v>0</v>
      </c>
      <c r="J687" t="n">
        <v>0</v>
      </c>
      <c r="K687" t="n">
        <v>0</v>
      </c>
      <c r="L687" t="n">
        <v>0</v>
      </c>
      <c r="M687" t="n">
        <v>0</v>
      </c>
      <c r="N687" t="n">
        <v>0</v>
      </c>
      <c r="O687" t="n">
        <v>0</v>
      </c>
      <c r="P687" t="n">
        <v>0</v>
      </c>
      <c r="Q687" t="n">
        <v>1</v>
      </c>
      <c r="R687" s="2" t="inlineStr">
        <is>
          <t>Lavskrika</t>
        </is>
      </c>
      <c r="S687">
        <f>HYPERLINK("https://klasma.github.io/Logging_2183/artfynd/A 38971-2024 artfynd.xlsx", "A 38971-2024")</f>
        <v/>
      </c>
      <c r="T687">
        <f>HYPERLINK("https://klasma.github.io/Logging_2183/kartor/A 38971-2024 karta.png", "A 38971-2024")</f>
        <v/>
      </c>
      <c r="V687">
        <f>HYPERLINK("https://klasma.github.io/Logging_2183/klagomål/A 38971-2024 FSC-klagomål.docx", "A 38971-2024")</f>
        <v/>
      </c>
      <c r="W687">
        <f>HYPERLINK("https://klasma.github.io/Logging_2183/klagomålsmail/A 38971-2024 FSC-klagomål mail.docx", "A 38971-2024")</f>
        <v/>
      </c>
      <c r="X687">
        <f>HYPERLINK("https://klasma.github.io/Logging_2183/tillsyn/A 38971-2024 tillsynsbegäran.docx", "A 38971-2024")</f>
        <v/>
      </c>
      <c r="Y687">
        <f>HYPERLINK("https://klasma.github.io/Logging_2183/tillsynsmail/A 38971-2024 tillsynsbegäran mail.docx", "A 38971-2024")</f>
        <v/>
      </c>
      <c r="Z687">
        <f>HYPERLINK("https://klasma.github.io/Logging_2183/fåglar/A 38971-2024 prioriterade fågelarter.docx", "A 38971-2024")</f>
        <v/>
      </c>
    </row>
    <row r="688" ht="15" customHeight="1">
      <c r="A688" t="inlineStr">
        <is>
          <t>A 39024-2024</t>
        </is>
      </c>
      <c r="B688" s="1" t="n">
        <v>45548</v>
      </c>
      <c r="C688" s="1" t="n">
        <v>45677</v>
      </c>
      <c r="D688" t="inlineStr">
        <is>
          <t>GÄVLEBORGS LÄN</t>
        </is>
      </c>
      <c r="E688" t="inlineStr">
        <is>
          <t>LJUSDAL</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HYPERLINK("https://klasma.github.io/Logging_2161/artfynd/A 39024-2024 artfynd.xlsx", "A 39024-2024")</f>
        <v/>
      </c>
      <c r="T688">
        <f>HYPERLINK("https://klasma.github.io/Logging_2161/kartor/A 39024-2024 karta.png", "A 39024-2024")</f>
        <v/>
      </c>
      <c r="V688">
        <f>HYPERLINK("https://klasma.github.io/Logging_2161/klagomål/A 39024-2024 FSC-klagomål.docx", "A 39024-2024")</f>
        <v/>
      </c>
      <c r="W688">
        <f>HYPERLINK("https://klasma.github.io/Logging_2161/klagomålsmail/A 39024-2024 FSC-klagomål mail.docx", "A 39024-2024")</f>
        <v/>
      </c>
      <c r="X688">
        <f>HYPERLINK("https://klasma.github.io/Logging_2161/tillsyn/A 39024-2024 tillsynsbegäran.docx", "A 39024-2024")</f>
        <v/>
      </c>
      <c r="Y688">
        <f>HYPERLINK("https://klasma.github.io/Logging_2161/tillsynsmail/A 39024-2024 tillsynsbegäran mail.docx", "A 39024-2024")</f>
        <v/>
      </c>
    </row>
    <row r="689" ht="15" customHeight="1">
      <c r="A689" t="inlineStr">
        <is>
          <t>A 39460-2024</t>
        </is>
      </c>
      <c r="B689" s="1" t="n">
        <v>45551</v>
      </c>
      <c r="C689" s="1" t="n">
        <v>45677</v>
      </c>
      <c r="D689" t="inlineStr">
        <is>
          <t>GÄVLEBORGS LÄN</t>
        </is>
      </c>
      <c r="E689" t="inlineStr">
        <is>
          <t>GÄVLE</t>
        </is>
      </c>
      <c r="F689" t="inlineStr">
        <is>
          <t>Bergvik skog väst AB</t>
        </is>
      </c>
      <c r="G689" t="n">
        <v>5.1</v>
      </c>
      <c r="H689" t="n">
        <v>1</v>
      </c>
      <c r="I689" t="n">
        <v>0</v>
      </c>
      <c r="J689" t="n">
        <v>0</v>
      </c>
      <c r="K689" t="n">
        <v>0</v>
      </c>
      <c r="L689" t="n">
        <v>0</v>
      </c>
      <c r="M689" t="n">
        <v>0</v>
      </c>
      <c r="N689" t="n">
        <v>0</v>
      </c>
      <c r="O689" t="n">
        <v>0</v>
      </c>
      <c r="P689" t="n">
        <v>0</v>
      </c>
      <c r="Q689" t="n">
        <v>1</v>
      </c>
      <c r="R689" s="2" t="inlineStr">
        <is>
          <t>Tjäder</t>
        </is>
      </c>
      <c r="S689">
        <f>HYPERLINK("https://klasma.github.io/Logging_2180/artfynd/A 39460-2024 artfynd.xlsx", "A 39460-2024")</f>
        <v/>
      </c>
      <c r="T689">
        <f>HYPERLINK("https://klasma.github.io/Logging_2180/kartor/A 39460-2024 karta.png", "A 39460-2024")</f>
        <v/>
      </c>
      <c r="V689">
        <f>HYPERLINK("https://klasma.github.io/Logging_2180/klagomål/A 39460-2024 FSC-klagomål.docx", "A 39460-2024")</f>
        <v/>
      </c>
      <c r="W689">
        <f>HYPERLINK("https://klasma.github.io/Logging_2180/klagomålsmail/A 39460-2024 FSC-klagomål mail.docx", "A 39460-2024")</f>
        <v/>
      </c>
      <c r="X689">
        <f>HYPERLINK("https://klasma.github.io/Logging_2180/tillsyn/A 39460-2024 tillsynsbegäran.docx", "A 39460-2024")</f>
        <v/>
      </c>
      <c r="Y689">
        <f>HYPERLINK("https://klasma.github.io/Logging_2180/tillsynsmail/A 39460-2024 tillsynsbegäran mail.docx", "A 39460-2024")</f>
        <v/>
      </c>
      <c r="Z689">
        <f>HYPERLINK("https://klasma.github.io/Logging_2180/fåglar/A 39460-2024 prioriterade fågelarter.docx", "A 39460-2024")</f>
        <v/>
      </c>
    </row>
    <row r="690" ht="15" customHeight="1">
      <c r="A690" t="inlineStr">
        <is>
          <t>A 39793-2024</t>
        </is>
      </c>
      <c r="B690" s="1" t="n">
        <v>45553</v>
      </c>
      <c r="C690" s="1" t="n">
        <v>45677</v>
      </c>
      <c r="D690" t="inlineStr">
        <is>
          <t>GÄVLEBORGS LÄN</t>
        </is>
      </c>
      <c r="E690" t="inlineStr">
        <is>
          <t>SANDVIKEN</t>
        </is>
      </c>
      <c r="F690" t="inlineStr">
        <is>
          <t>Sveaskog</t>
        </is>
      </c>
      <c r="G690" t="n">
        <v>1.3</v>
      </c>
      <c r="H690" t="n">
        <v>1</v>
      </c>
      <c r="I690" t="n">
        <v>1</v>
      </c>
      <c r="J690" t="n">
        <v>0</v>
      </c>
      <c r="K690" t="n">
        <v>0</v>
      </c>
      <c r="L690" t="n">
        <v>0</v>
      </c>
      <c r="M690" t="n">
        <v>0</v>
      </c>
      <c r="N690" t="n">
        <v>0</v>
      </c>
      <c r="O690" t="n">
        <v>0</v>
      </c>
      <c r="P690" t="n">
        <v>0</v>
      </c>
      <c r="Q690" t="n">
        <v>1</v>
      </c>
      <c r="R690" s="2" t="inlineStr">
        <is>
          <t>Tvåblad</t>
        </is>
      </c>
      <c r="S690">
        <f>HYPERLINK("https://klasma.github.io/Logging_2181/artfynd/A 39793-2024 artfynd.xlsx", "A 39793-2024")</f>
        <v/>
      </c>
      <c r="T690">
        <f>HYPERLINK("https://klasma.github.io/Logging_2181/kartor/A 39793-2024 karta.png", "A 39793-2024")</f>
        <v/>
      </c>
      <c r="V690">
        <f>HYPERLINK("https://klasma.github.io/Logging_2181/klagomål/A 39793-2024 FSC-klagomål.docx", "A 39793-2024")</f>
        <v/>
      </c>
      <c r="W690">
        <f>HYPERLINK("https://klasma.github.io/Logging_2181/klagomålsmail/A 39793-2024 FSC-klagomål mail.docx", "A 39793-2024")</f>
        <v/>
      </c>
      <c r="X690">
        <f>HYPERLINK("https://klasma.github.io/Logging_2181/tillsyn/A 39793-2024 tillsynsbegäran.docx", "A 39793-2024")</f>
        <v/>
      </c>
      <c r="Y690">
        <f>HYPERLINK("https://klasma.github.io/Logging_2181/tillsynsmail/A 39793-2024 tillsynsbegäran mail.docx", "A 39793-2024")</f>
        <v/>
      </c>
    </row>
    <row r="691" ht="15" customHeight="1">
      <c r="A691" t="inlineStr">
        <is>
          <t>A 39838-2024</t>
        </is>
      </c>
      <c r="B691" s="1" t="n">
        <v>45553</v>
      </c>
      <c r="C691" s="1" t="n">
        <v>45677</v>
      </c>
      <c r="D691" t="inlineStr">
        <is>
          <t>GÄVLEBORGS LÄN</t>
        </is>
      </c>
      <c r="E691" t="inlineStr">
        <is>
          <t>LJUSDAL</t>
        </is>
      </c>
      <c r="G691" t="n">
        <v>10.9</v>
      </c>
      <c r="H691" t="n">
        <v>1</v>
      </c>
      <c r="I691" t="n">
        <v>0</v>
      </c>
      <c r="J691" t="n">
        <v>0</v>
      </c>
      <c r="K691" t="n">
        <v>1</v>
      </c>
      <c r="L691" t="n">
        <v>0</v>
      </c>
      <c r="M691" t="n">
        <v>0</v>
      </c>
      <c r="N691" t="n">
        <v>0</v>
      </c>
      <c r="O691" t="n">
        <v>1</v>
      </c>
      <c r="P691" t="n">
        <v>1</v>
      </c>
      <c r="Q691" t="n">
        <v>1</v>
      </c>
      <c r="R691" s="2" t="inlineStr">
        <is>
          <t>Knärot</t>
        </is>
      </c>
      <c r="S691">
        <f>HYPERLINK("https://klasma.github.io/Logging_2161/artfynd/A 39838-2024 artfynd.xlsx", "A 39838-2024")</f>
        <v/>
      </c>
      <c r="T691">
        <f>HYPERLINK("https://klasma.github.io/Logging_2161/kartor/A 39838-2024 karta.png", "A 39838-2024")</f>
        <v/>
      </c>
      <c r="U691">
        <f>HYPERLINK("https://klasma.github.io/Logging_2161/knärot/A 39838-2024 karta knärot.png", "A 39838-2024")</f>
        <v/>
      </c>
      <c r="V691">
        <f>HYPERLINK("https://klasma.github.io/Logging_2161/klagomål/A 39838-2024 FSC-klagomål.docx", "A 39838-2024")</f>
        <v/>
      </c>
      <c r="W691">
        <f>HYPERLINK("https://klasma.github.io/Logging_2161/klagomålsmail/A 39838-2024 FSC-klagomål mail.docx", "A 39838-2024")</f>
        <v/>
      </c>
      <c r="X691">
        <f>HYPERLINK("https://klasma.github.io/Logging_2161/tillsyn/A 39838-2024 tillsynsbegäran.docx", "A 39838-2024")</f>
        <v/>
      </c>
      <c r="Y691">
        <f>HYPERLINK("https://klasma.github.io/Logging_2161/tillsynsmail/A 39838-2024 tillsynsbegäran mail.docx", "A 39838-2024")</f>
        <v/>
      </c>
    </row>
    <row r="692" ht="15" customHeight="1">
      <c r="A692" t="inlineStr">
        <is>
          <t>A 40904-2024</t>
        </is>
      </c>
      <c r="B692" s="1" t="n">
        <v>45558</v>
      </c>
      <c r="C692" s="1" t="n">
        <v>45677</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40904-2024 artfynd.xlsx", "A 40904-2024")</f>
        <v/>
      </c>
      <c r="T692">
        <f>HYPERLINK("https://klasma.github.io/Logging_2161/kartor/A 40904-2024 karta.png", "A 40904-2024")</f>
        <v/>
      </c>
      <c r="U692">
        <f>HYPERLINK("https://klasma.github.io/Logging_2161/knärot/A 40904-2024 karta knärot.png", "A 40904-2024")</f>
        <v/>
      </c>
      <c r="V692">
        <f>HYPERLINK("https://klasma.github.io/Logging_2161/klagomål/A 40904-2024 FSC-klagomål.docx", "A 40904-2024")</f>
        <v/>
      </c>
      <c r="W692">
        <f>HYPERLINK("https://klasma.github.io/Logging_2161/klagomålsmail/A 40904-2024 FSC-klagomål mail.docx", "A 40904-2024")</f>
        <v/>
      </c>
      <c r="X692">
        <f>HYPERLINK("https://klasma.github.io/Logging_2161/tillsyn/A 40904-2024 tillsynsbegäran.docx", "A 40904-2024")</f>
        <v/>
      </c>
      <c r="Y692">
        <f>HYPERLINK("https://klasma.github.io/Logging_2161/tillsynsmail/A 40904-2024 tillsynsbegäran mail.docx", "A 40904-2024")</f>
        <v/>
      </c>
    </row>
    <row r="693" ht="15" customHeight="1">
      <c r="A693" t="inlineStr">
        <is>
          <t>A 41494-2024</t>
        </is>
      </c>
      <c r="B693" s="1" t="n">
        <v>45560</v>
      </c>
      <c r="C693" s="1" t="n">
        <v>45677</v>
      </c>
      <c r="D693" t="inlineStr">
        <is>
          <t>GÄVLEBORGS LÄN</t>
        </is>
      </c>
      <c r="E693" t="inlineStr">
        <is>
          <t>HUDIKSVALL</t>
        </is>
      </c>
      <c r="F693" t="inlineStr">
        <is>
          <t>Holmen skog AB</t>
        </is>
      </c>
      <c r="G693" t="n">
        <v>20.9</v>
      </c>
      <c r="H693" t="n">
        <v>0</v>
      </c>
      <c r="I693" t="n">
        <v>0</v>
      </c>
      <c r="J693" t="n">
        <v>1</v>
      </c>
      <c r="K693" t="n">
        <v>0</v>
      </c>
      <c r="L693" t="n">
        <v>0</v>
      </c>
      <c r="M693" t="n">
        <v>0</v>
      </c>
      <c r="N693" t="n">
        <v>0</v>
      </c>
      <c r="O693" t="n">
        <v>1</v>
      </c>
      <c r="P693" t="n">
        <v>0</v>
      </c>
      <c r="Q693" t="n">
        <v>1</v>
      </c>
      <c r="R693" s="2" t="inlineStr">
        <is>
          <t>Lunglav</t>
        </is>
      </c>
      <c r="S693">
        <f>HYPERLINK("https://klasma.github.io/Logging_2184/artfynd/A 41494-2024 artfynd.xlsx", "A 41494-2024")</f>
        <v/>
      </c>
      <c r="T693">
        <f>HYPERLINK("https://klasma.github.io/Logging_2184/kartor/A 41494-2024 karta.png", "A 41494-2024")</f>
        <v/>
      </c>
      <c r="V693">
        <f>HYPERLINK("https://klasma.github.io/Logging_2184/klagomål/A 41494-2024 FSC-klagomål.docx", "A 41494-2024")</f>
        <v/>
      </c>
      <c r="W693">
        <f>HYPERLINK("https://klasma.github.io/Logging_2184/klagomålsmail/A 41494-2024 FSC-klagomål mail.docx", "A 41494-2024")</f>
        <v/>
      </c>
      <c r="X693">
        <f>HYPERLINK("https://klasma.github.io/Logging_2184/tillsyn/A 41494-2024 tillsynsbegäran.docx", "A 41494-2024")</f>
        <v/>
      </c>
      <c r="Y693">
        <f>HYPERLINK("https://klasma.github.io/Logging_2184/tillsynsmail/A 41494-2024 tillsynsbegäran mail.docx", "A 41494-2024")</f>
        <v/>
      </c>
    </row>
    <row r="694" ht="15" customHeight="1">
      <c r="A694" t="inlineStr">
        <is>
          <t>A 41388-2024</t>
        </is>
      </c>
      <c r="B694" s="1" t="n">
        <v>45560</v>
      </c>
      <c r="C694" s="1" t="n">
        <v>45677</v>
      </c>
      <c r="D694" t="inlineStr">
        <is>
          <t>GÄVLEBORGS LÄN</t>
        </is>
      </c>
      <c r="E694" t="inlineStr">
        <is>
          <t>LJUSDAL</t>
        </is>
      </c>
      <c r="F694" t="inlineStr">
        <is>
          <t>Holmen skog AB</t>
        </is>
      </c>
      <c r="G694" t="n">
        <v>1.2</v>
      </c>
      <c r="H694" t="n">
        <v>0</v>
      </c>
      <c r="I694" t="n">
        <v>0</v>
      </c>
      <c r="J694" t="n">
        <v>1</v>
      </c>
      <c r="K694" t="n">
        <v>0</v>
      </c>
      <c r="L694" t="n">
        <v>0</v>
      </c>
      <c r="M694" t="n">
        <v>0</v>
      </c>
      <c r="N694" t="n">
        <v>0</v>
      </c>
      <c r="O694" t="n">
        <v>1</v>
      </c>
      <c r="P694" t="n">
        <v>0</v>
      </c>
      <c r="Q694" t="n">
        <v>1</v>
      </c>
      <c r="R694" s="2" t="inlineStr">
        <is>
          <t>Garnlav</t>
        </is>
      </c>
      <c r="S694">
        <f>HYPERLINK("https://klasma.github.io/Logging_2161/artfynd/A 41388-2024 artfynd.xlsx", "A 41388-2024")</f>
        <v/>
      </c>
      <c r="T694">
        <f>HYPERLINK("https://klasma.github.io/Logging_2161/kartor/A 41388-2024 karta.png", "A 41388-2024")</f>
        <v/>
      </c>
      <c r="V694">
        <f>HYPERLINK("https://klasma.github.io/Logging_2161/klagomål/A 41388-2024 FSC-klagomål.docx", "A 41388-2024")</f>
        <v/>
      </c>
      <c r="W694">
        <f>HYPERLINK("https://klasma.github.io/Logging_2161/klagomålsmail/A 41388-2024 FSC-klagomål mail.docx", "A 41388-2024")</f>
        <v/>
      </c>
      <c r="X694">
        <f>HYPERLINK("https://klasma.github.io/Logging_2161/tillsyn/A 41388-2024 tillsynsbegäran.docx", "A 41388-2024")</f>
        <v/>
      </c>
      <c r="Y694">
        <f>HYPERLINK("https://klasma.github.io/Logging_2161/tillsynsmail/A 41388-2024 tillsynsbegäran mail.docx", "A 41388-2024")</f>
        <v/>
      </c>
    </row>
    <row r="695" ht="15" customHeight="1">
      <c r="A695" t="inlineStr">
        <is>
          <t>A 44434-2024</t>
        </is>
      </c>
      <c r="B695" s="1" t="n">
        <v>45574</v>
      </c>
      <c r="C695" s="1" t="n">
        <v>45677</v>
      </c>
      <c r="D695" t="inlineStr">
        <is>
          <t>GÄVLEBORGS LÄN</t>
        </is>
      </c>
      <c r="E695" t="inlineStr">
        <is>
          <t>GÄVLE</t>
        </is>
      </c>
      <c r="G695" t="n">
        <v>6</v>
      </c>
      <c r="H695" t="n">
        <v>1</v>
      </c>
      <c r="I695" t="n">
        <v>0</v>
      </c>
      <c r="J695" t="n">
        <v>0</v>
      </c>
      <c r="K695" t="n">
        <v>0</v>
      </c>
      <c r="L695" t="n">
        <v>0</v>
      </c>
      <c r="M695" t="n">
        <v>0</v>
      </c>
      <c r="N695" t="n">
        <v>0</v>
      </c>
      <c r="O695" t="n">
        <v>0</v>
      </c>
      <c r="P695" t="n">
        <v>0</v>
      </c>
      <c r="Q695" t="n">
        <v>1</v>
      </c>
      <c r="R695" s="2" t="inlineStr">
        <is>
          <t>Fläcknycklar</t>
        </is>
      </c>
      <c r="S695">
        <f>HYPERLINK("https://klasma.github.io/Logging_2180/artfynd/A 44434-2024 artfynd.xlsx", "A 44434-2024")</f>
        <v/>
      </c>
      <c r="T695">
        <f>HYPERLINK("https://klasma.github.io/Logging_2180/kartor/A 44434-2024 karta.png", "A 44434-2024")</f>
        <v/>
      </c>
      <c r="V695">
        <f>HYPERLINK("https://klasma.github.io/Logging_2180/klagomål/A 44434-2024 FSC-klagomål.docx", "A 44434-2024")</f>
        <v/>
      </c>
      <c r="W695">
        <f>HYPERLINK("https://klasma.github.io/Logging_2180/klagomålsmail/A 44434-2024 FSC-klagomål mail.docx", "A 44434-2024")</f>
        <v/>
      </c>
      <c r="X695">
        <f>HYPERLINK("https://klasma.github.io/Logging_2180/tillsyn/A 44434-2024 tillsynsbegäran.docx", "A 44434-2024")</f>
        <v/>
      </c>
      <c r="Y695">
        <f>HYPERLINK("https://klasma.github.io/Logging_2180/tillsynsmail/A 44434-2024 tillsynsbegäran mail.docx", "A 44434-2024")</f>
        <v/>
      </c>
    </row>
    <row r="696" ht="15" customHeight="1">
      <c r="A696" t="inlineStr">
        <is>
          <t>A 46614-2024</t>
        </is>
      </c>
      <c r="B696" s="1" t="n">
        <v>45583</v>
      </c>
      <c r="C696" s="1" t="n">
        <v>45677</v>
      </c>
      <c r="D696" t="inlineStr">
        <is>
          <t>GÄVLEBORGS LÄN</t>
        </is>
      </c>
      <c r="E696" t="inlineStr">
        <is>
          <t>HUDIKSVALL</t>
        </is>
      </c>
      <c r="G696" t="n">
        <v>2</v>
      </c>
      <c r="H696" t="n">
        <v>0</v>
      </c>
      <c r="I696" t="n">
        <v>0</v>
      </c>
      <c r="J696" t="n">
        <v>1</v>
      </c>
      <c r="K696" t="n">
        <v>0</v>
      </c>
      <c r="L696" t="n">
        <v>0</v>
      </c>
      <c r="M696" t="n">
        <v>0</v>
      </c>
      <c r="N696" t="n">
        <v>0</v>
      </c>
      <c r="O696" t="n">
        <v>1</v>
      </c>
      <c r="P696" t="n">
        <v>0</v>
      </c>
      <c r="Q696" t="n">
        <v>1</v>
      </c>
      <c r="R696" s="2" t="inlineStr">
        <is>
          <t>Orange taggsvamp</t>
        </is>
      </c>
      <c r="S696">
        <f>HYPERLINK("https://klasma.github.io/Logging_2184/artfynd/A 46614-2024 artfynd.xlsx", "A 46614-2024")</f>
        <v/>
      </c>
      <c r="T696">
        <f>HYPERLINK("https://klasma.github.io/Logging_2184/kartor/A 46614-2024 karta.png", "A 46614-2024")</f>
        <v/>
      </c>
      <c r="V696">
        <f>HYPERLINK("https://klasma.github.io/Logging_2184/klagomål/A 46614-2024 FSC-klagomål.docx", "A 46614-2024")</f>
        <v/>
      </c>
      <c r="W696">
        <f>HYPERLINK("https://klasma.github.io/Logging_2184/klagomålsmail/A 46614-2024 FSC-klagomål mail.docx", "A 46614-2024")</f>
        <v/>
      </c>
      <c r="X696">
        <f>HYPERLINK("https://klasma.github.io/Logging_2184/tillsyn/A 46614-2024 tillsynsbegäran.docx", "A 46614-2024")</f>
        <v/>
      </c>
      <c r="Y696">
        <f>HYPERLINK("https://klasma.github.io/Logging_2184/tillsynsmail/A 46614-2024 tillsynsbegäran mail.docx", "A 46614-2024")</f>
        <v/>
      </c>
    </row>
    <row r="697" ht="15" customHeight="1">
      <c r="A697" t="inlineStr">
        <is>
          <t>A 47219-2024</t>
        </is>
      </c>
      <c r="B697" s="1" t="n">
        <v>45586</v>
      </c>
      <c r="C697" s="1" t="n">
        <v>45677</v>
      </c>
      <c r="D697" t="inlineStr">
        <is>
          <t>GÄVLEBORGS LÄN</t>
        </is>
      </c>
      <c r="E697" t="inlineStr">
        <is>
          <t>HOFORS</t>
        </is>
      </c>
      <c r="F697" t="inlineStr">
        <is>
          <t>Sveaskog</t>
        </is>
      </c>
      <c r="G697" t="n">
        <v>8.300000000000001</v>
      </c>
      <c r="H697" t="n">
        <v>0</v>
      </c>
      <c r="I697" t="n">
        <v>0</v>
      </c>
      <c r="J697" t="n">
        <v>1</v>
      </c>
      <c r="K697" t="n">
        <v>0</v>
      </c>
      <c r="L697" t="n">
        <v>0</v>
      </c>
      <c r="M697" t="n">
        <v>0</v>
      </c>
      <c r="N697" t="n">
        <v>0</v>
      </c>
      <c r="O697" t="n">
        <v>1</v>
      </c>
      <c r="P697" t="n">
        <v>0</v>
      </c>
      <c r="Q697" t="n">
        <v>1</v>
      </c>
      <c r="R697" s="2" t="inlineStr">
        <is>
          <t>Motaggsvamp</t>
        </is>
      </c>
      <c r="S697">
        <f>HYPERLINK("https://klasma.github.io/Logging_2104/artfynd/A 47219-2024 artfynd.xlsx", "A 47219-2024")</f>
        <v/>
      </c>
      <c r="T697">
        <f>HYPERLINK("https://klasma.github.io/Logging_2104/kartor/A 47219-2024 karta.png", "A 47219-2024")</f>
        <v/>
      </c>
      <c r="V697">
        <f>HYPERLINK("https://klasma.github.io/Logging_2104/klagomål/A 47219-2024 FSC-klagomål.docx", "A 47219-2024")</f>
        <v/>
      </c>
      <c r="W697">
        <f>HYPERLINK("https://klasma.github.io/Logging_2104/klagomålsmail/A 47219-2024 FSC-klagomål mail.docx", "A 47219-2024")</f>
        <v/>
      </c>
      <c r="X697">
        <f>HYPERLINK("https://klasma.github.io/Logging_2104/tillsyn/A 47219-2024 tillsynsbegäran.docx", "A 47219-2024")</f>
        <v/>
      </c>
      <c r="Y697">
        <f>HYPERLINK("https://klasma.github.io/Logging_2104/tillsynsmail/A 47219-2024 tillsynsbegäran mail.docx", "A 47219-2024")</f>
        <v/>
      </c>
    </row>
    <row r="698" ht="15" customHeight="1">
      <c r="A698" t="inlineStr">
        <is>
          <t>A 47355-2024</t>
        </is>
      </c>
      <c r="B698" s="1" t="n">
        <v>45587</v>
      </c>
      <c r="C698" s="1" t="n">
        <v>45677</v>
      </c>
      <c r="D698" t="inlineStr">
        <is>
          <t>GÄVLEBORGS LÄN</t>
        </is>
      </c>
      <c r="E698" t="inlineStr">
        <is>
          <t>NORDANSTIG</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HYPERLINK("https://klasma.github.io/Logging_2132/artfynd/A 47355-2024 artfynd.xlsx", "A 47355-2024")</f>
        <v/>
      </c>
      <c r="T698">
        <f>HYPERLINK("https://klasma.github.io/Logging_2132/kartor/A 47355-2024 karta.png", "A 47355-2024")</f>
        <v/>
      </c>
      <c r="V698">
        <f>HYPERLINK("https://klasma.github.io/Logging_2132/klagomål/A 47355-2024 FSC-klagomål.docx", "A 47355-2024")</f>
        <v/>
      </c>
      <c r="W698">
        <f>HYPERLINK("https://klasma.github.io/Logging_2132/klagomålsmail/A 47355-2024 FSC-klagomål mail.docx", "A 47355-2024")</f>
        <v/>
      </c>
      <c r="X698">
        <f>HYPERLINK("https://klasma.github.io/Logging_2132/tillsyn/A 47355-2024 tillsynsbegäran.docx", "A 47355-2024")</f>
        <v/>
      </c>
      <c r="Y698">
        <f>HYPERLINK("https://klasma.github.io/Logging_2132/tillsynsmail/A 47355-2024 tillsynsbegäran mail.docx", "A 47355-2024")</f>
        <v/>
      </c>
    </row>
    <row r="699" ht="15" customHeight="1">
      <c r="A699" t="inlineStr">
        <is>
          <t>A 47621-2024</t>
        </is>
      </c>
      <c r="B699" s="1" t="n">
        <v>45588</v>
      </c>
      <c r="C699" s="1" t="n">
        <v>45677</v>
      </c>
      <c r="D699" t="inlineStr">
        <is>
          <t>GÄVLEBORGS LÄN</t>
        </is>
      </c>
      <c r="E699" t="inlineStr">
        <is>
          <t>BOLLNÄS</t>
        </is>
      </c>
      <c r="G699" t="n">
        <v>7.6</v>
      </c>
      <c r="H699" t="n">
        <v>0</v>
      </c>
      <c r="I699" t="n">
        <v>0</v>
      </c>
      <c r="J699" t="n">
        <v>0</v>
      </c>
      <c r="K699" t="n">
        <v>0</v>
      </c>
      <c r="L699" t="n">
        <v>1</v>
      </c>
      <c r="M699" t="n">
        <v>0</v>
      </c>
      <c r="N699" t="n">
        <v>0</v>
      </c>
      <c r="O699" t="n">
        <v>1</v>
      </c>
      <c r="P699" t="n">
        <v>1</v>
      </c>
      <c r="Q699" t="n">
        <v>1</v>
      </c>
      <c r="R699" s="2" t="inlineStr">
        <is>
          <t>Flodpärlmussla</t>
        </is>
      </c>
      <c r="S699">
        <f>HYPERLINK("https://klasma.github.io/Logging_2183/artfynd/A 47621-2024 artfynd.xlsx", "A 47621-2024")</f>
        <v/>
      </c>
      <c r="T699">
        <f>HYPERLINK("https://klasma.github.io/Logging_2183/kartor/A 47621-2024 karta.png", "A 47621-2024")</f>
        <v/>
      </c>
      <c r="V699">
        <f>HYPERLINK("https://klasma.github.io/Logging_2183/klagomål/A 47621-2024 FSC-klagomål.docx", "A 47621-2024")</f>
        <v/>
      </c>
      <c r="W699">
        <f>HYPERLINK("https://klasma.github.io/Logging_2183/klagomålsmail/A 47621-2024 FSC-klagomål mail.docx", "A 47621-2024")</f>
        <v/>
      </c>
      <c r="X699">
        <f>HYPERLINK("https://klasma.github.io/Logging_2183/tillsyn/A 47621-2024 tillsynsbegäran.docx", "A 47621-2024")</f>
        <v/>
      </c>
      <c r="Y699">
        <f>HYPERLINK("https://klasma.github.io/Logging_2183/tillsynsmail/A 47621-2024 tillsynsbegäran mail.docx", "A 47621-2024")</f>
        <v/>
      </c>
    </row>
    <row r="700" ht="15" customHeight="1">
      <c r="A700" t="inlineStr">
        <is>
          <t>A 47971-2024</t>
        </is>
      </c>
      <c r="B700" s="1" t="n">
        <v>45589</v>
      </c>
      <c r="C700" s="1" t="n">
        <v>45677</v>
      </c>
      <c r="D700" t="inlineStr">
        <is>
          <t>GÄVLEBORGS LÄN</t>
        </is>
      </c>
      <c r="E700" t="inlineStr">
        <is>
          <t>SANDVIKEN</t>
        </is>
      </c>
      <c r="F700" t="inlineStr">
        <is>
          <t>Bergvik skog väst AB</t>
        </is>
      </c>
      <c r="G700" t="n">
        <v>0.9</v>
      </c>
      <c r="H700" t="n">
        <v>0</v>
      </c>
      <c r="I700" t="n">
        <v>1</v>
      </c>
      <c r="J700" t="n">
        <v>0</v>
      </c>
      <c r="K700" t="n">
        <v>0</v>
      </c>
      <c r="L700" t="n">
        <v>0</v>
      </c>
      <c r="M700" t="n">
        <v>0</v>
      </c>
      <c r="N700" t="n">
        <v>0</v>
      </c>
      <c r="O700" t="n">
        <v>0</v>
      </c>
      <c r="P700" t="n">
        <v>0</v>
      </c>
      <c r="Q700" t="n">
        <v>1</v>
      </c>
      <c r="R700" s="2" t="inlineStr">
        <is>
          <t>Kamjordstjärna</t>
        </is>
      </c>
      <c r="S700">
        <f>HYPERLINK("https://klasma.github.io/Logging_2181/artfynd/A 47971-2024 artfynd.xlsx", "A 47971-2024")</f>
        <v/>
      </c>
      <c r="T700">
        <f>HYPERLINK("https://klasma.github.io/Logging_2181/kartor/A 47971-2024 karta.png", "A 47971-2024")</f>
        <v/>
      </c>
      <c r="V700">
        <f>HYPERLINK("https://klasma.github.io/Logging_2181/klagomål/A 47971-2024 FSC-klagomål.docx", "A 47971-2024")</f>
        <v/>
      </c>
      <c r="W700">
        <f>HYPERLINK("https://klasma.github.io/Logging_2181/klagomålsmail/A 47971-2024 FSC-klagomål mail.docx", "A 47971-2024")</f>
        <v/>
      </c>
      <c r="X700">
        <f>HYPERLINK("https://klasma.github.io/Logging_2181/tillsyn/A 47971-2024 tillsynsbegäran.docx", "A 47971-2024")</f>
        <v/>
      </c>
      <c r="Y700">
        <f>HYPERLINK("https://klasma.github.io/Logging_2181/tillsynsmail/A 47971-2024 tillsynsbegäran mail.docx", "A 47971-2024")</f>
        <v/>
      </c>
    </row>
    <row r="701" ht="15" customHeight="1">
      <c r="A701" t="inlineStr">
        <is>
          <t>A 48800-2024</t>
        </is>
      </c>
      <c r="B701" s="1" t="n">
        <v>45593</v>
      </c>
      <c r="C701" s="1" t="n">
        <v>45677</v>
      </c>
      <c r="D701" t="inlineStr">
        <is>
          <t>GÄVLEBORGS LÄN</t>
        </is>
      </c>
      <c r="E701" t="inlineStr">
        <is>
          <t>GÄVLE</t>
        </is>
      </c>
      <c r="G701" t="n">
        <v>15.3</v>
      </c>
      <c r="H701" t="n">
        <v>1</v>
      </c>
      <c r="I701" t="n">
        <v>0</v>
      </c>
      <c r="J701" t="n">
        <v>1</v>
      </c>
      <c r="K701" t="n">
        <v>0</v>
      </c>
      <c r="L701" t="n">
        <v>0</v>
      </c>
      <c r="M701" t="n">
        <v>0</v>
      </c>
      <c r="N701" t="n">
        <v>0</v>
      </c>
      <c r="O701" t="n">
        <v>1</v>
      </c>
      <c r="P701" t="n">
        <v>0</v>
      </c>
      <c r="Q701" t="n">
        <v>1</v>
      </c>
      <c r="R701" s="2" t="inlineStr">
        <is>
          <t>Järpe</t>
        </is>
      </c>
      <c r="S701">
        <f>HYPERLINK("https://klasma.github.io/Logging_2180/artfynd/A 48800-2024 artfynd.xlsx", "A 48800-2024")</f>
        <v/>
      </c>
      <c r="T701">
        <f>HYPERLINK("https://klasma.github.io/Logging_2180/kartor/A 48800-2024 karta.png", "A 48800-2024")</f>
        <v/>
      </c>
      <c r="V701">
        <f>HYPERLINK("https://klasma.github.io/Logging_2180/klagomål/A 48800-2024 FSC-klagomål.docx", "A 48800-2024")</f>
        <v/>
      </c>
      <c r="W701">
        <f>HYPERLINK("https://klasma.github.io/Logging_2180/klagomålsmail/A 48800-2024 FSC-klagomål mail.docx", "A 48800-2024")</f>
        <v/>
      </c>
      <c r="X701">
        <f>HYPERLINK("https://klasma.github.io/Logging_2180/tillsyn/A 48800-2024 tillsynsbegäran.docx", "A 48800-2024")</f>
        <v/>
      </c>
      <c r="Y701">
        <f>HYPERLINK("https://klasma.github.io/Logging_2180/tillsynsmail/A 48800-2024 tillsynsbegäran mail.docx", "A 48800-2024")</f>
        <v/>
      </c>
      <c r="Z701">
        <f>HYPERLINK("https://klasma.github.io/Logging_2180/fåglar/A 48800-2024 prioriterade fågelarter.docx", "A 48800-2024")</f>
        <v/>
      </c>
    </row>
    <row r="702" ht="15" customHeight="1">
      <c r="A702" t="inlineStr">
        <is>
          <t>A 49365-2024</t>
        </is>
      </c>
      <c r="B702" s="1" t="n">
        <v>45595</v>
      </c>
      <c r="C702" s="1" t="n">
        <v>45677</v>
      </c>
      <c r="D702" t="inlineStr">
        <is>
          <t>GÄVLEBORGS LÄN</t>
        </is>
      </c>
      <c r="E702" t="inlineStr">
        <is>
          <t>SANDVIKEN</t>
        </is>
      </c>
      <c r="G702" t="n">
        <v>4.2</v>
      </c>
      <c r="H702" t="n">
        <v>1</v>
      </c>
      <c r="I702" t="n">
        <v>0</v>
      </c>
      <c r="J702" t="n">
        <v>0</v>
      </c>
      <c r="K702" t="n">
        <v>1</v>
      </c>
      <c r="L702" t="n">
        <v>0</v>
      </c>
      <c r="M702" t="n">
        <v>0</v>
      </c>
      <c r="N702" t="n">
        <v>0</v>
      </c>
      <c r="O702" t="n">
        <v>1</v>
      </c>
      <c r="P702" t="n">
        <v>1</v>
      </c>
      <c r="Q702" t="n">
        <v>1</v>
      </c>
      <c r="R702" s="2" t="inlineStr">
        <is>
          <t>Knärot</t>
        </is>
      </c>
      <c r="S702">
        <f>HYPERLINK("https://klasma.github.io/Logging_2181/artfynd/A 49365-2024 artfynd.xlsx", "A 49365-2024")</f>
        <v/>
      </c>
      <c r="T702">
        <f>HYPERLINK("https://klasma.github.io/Logging_2181/kartor/A 49365-2024 karta.png", "A 49365-2024")</f>
        <v/>
      </c>
      <c r="U702">
        <f>HYPERLINK("https://klasma.github.io/Logging_2181/knärot/A 49365-2024 karta knärot.png", "A 49365-2024")</f>
        <v/>
      </c>
      <c r="V702">
        <f>HYPERLINK("https://klasma.github.io/Logging_2181/klagomål/A 49365-2024 FSC-klagomål.docx", "A 49365-2024")</f>
        <v/>
      </c>
      <c r="W702">
        <f>HYPERLINK("https://klasma.github.io/Logging_2181/klagomålsmail/A 49365-2024 FSC-klagomål mail.docx", "A 49365-2024")</f>
        <v/>
      </c>
      <c r="X702">
        <f>HYPERLINK("https://klasma.github.io/Logging_2181/tillsyn/A 49365-2024 tillsynsbegäran.docx", "A 49365-2024")</f>
        <v/>
      </c>
      <c r="Y702">
        <f>HYPERLINK("https://klasma.github.io/Logging_2181/tillsynsmail/A 49365-2024 tillsynsbegäran mail.docx", "A 49365-2024")</f>
        <v/>
      </c>
    </row>
    <row r="703" ht="15" customHeight="1">
      <c r="A703" t="inlineStr">
        <is>
          <t>A 49862-2024</t>
        </is>
      </c>
      <c r="B703" s="1" t="n">
        <v>45597</v>
      </c>
      <c r="C703" s="1" t="n">
        <v>45677</v>
      </c>
      <c r="D703" t="inlineStr">
        <is>
          <t>GÄVLEBORGS LÄN</t>
        </is>
      </c>
      <c r="E703" t="inlineStr">
        <is>
          <t>LJUSDAL</t>
        </is>
      </c>
      <c r="F703" t="inlineStr">
        <is>
          <t>Bergvik skog väst AB</t>
        </is>
      </c>
      <c r="G703" t="n">
        <v>8.800000000000001</v>
      </c>
      <c r="H703" t="n">
        <v>1</v>
      </c>
      <c r="I703" t="n">
        <v>0</v>
      </c>
      <c r="J703" t="n">
        <v>0</v>
      </c>
      <c r="K703" t="n">
        <v>0</v>
      </c>
      <c r="L703" t="n">
        <v>0</v>
      </c>
      <c r="M703" t="n">
        <v>0</v>
      </c>
      <c r="N703" t="n">
        <v>0</v>
      </c>
      <c r="O703" t="n">
        <v>0</v>
      </c>
      <c r="P703" t="n">
        <v>0</v>
      </c>
      <c r="Q703" t="n">
        <v>1</v>
      </c>
      <c r="R703" s="2" t="inlineStr">
        <is>
          <t>Mindre vattensalamander</t>
        </is>
      </c>
      <c r="S703">
        <f>HYPERLINK("https://klasma.github.io/Logging_2161/artfynd/A 49862-2024 artfynd.xlsx", "A 49862-2024")</f>
        <v/>
      </c>
      <c r="T703">
        <f>HYPERLINK("https://klasma.github.io/Logging_2161/kartor/A 49862-2024 karta.png", "A 49862-2024")</f>
        <v/>
      </c>
      <c r="V703">
        <f>HYPERLINK("https://klasma.github.io/Logging_2161/klagomål/A 49862-2024 FSC-klagomål.docx", "A 49862-2024")</f>
        <v/>
      </c>
      <c r="W703">
        <f>HYPERLINK("https://klasma.github.io/Logging_2161/klagomålsmail/A 49862-2024 FSC-klagomål mail.docx", "A 49862-2024")</f>
        <v/>
      </c>
      <c r="X703">
        <f>HYPERLINK("https://klasma.github.io/Logging_2161/tillsyn/A 49862-2024 tillsynsbegäran.docx", "A 49862-2024")</f>
        <v/>
      </c>
      <c r="Y703">
        <f>HYPERLINK("https://klasma.github.io/Logging_2161/tillsynsmail/A 49862-2024 tillsynsbegäran mail.docx", "A 49862-2024")</f>
        <v/>
      </c>
    </row>
    <row r="704" ht="15" customHeight="1">
      <c r="A704" t="inlineStr">
        <is>
          <t>A 49917-2024</t>
        </is>
      </c>
      <c r="B704" s="1" t="n">
        <v>45597</v>
      </c>
      <c r="C704" s="1" t="n">
        <v>45677</v>
      </c>
      <c r="D704" t="inlineStr">
        <is>
          <t>GÄVLEBORGS LÄN</t>
        </is>
      </c>
      <c r="E704" t="inlineStr">
        <is>
          <t>HOFORS</t>
        </is>
      </c>
      <c r="G704" t="n">
        <v>1</v>
      </c>
      <c r="H704" t="n">
        <v>0</v>
      </c>
      <c r="I704" t="n">
        <v>0</v>
      </c>
      <c r="J704" t="n">
        <v>1</v>
      </c>
      <c r="K704" t="n">
        <v>0</v>
      </c>
      <c r="L704" t="n">
        <v>0</v>
      </c>
      <c r="M704" t="n">
        <v>0</v>
      </c>
      <c r="N704" t="n">
        <v>0</v>
      </c>
      <c r="O704" t="n">
        <v>1</v>
      </c>
      <c r="P704" t="n">
        <v>0</v>
      </c>
      <c r="Q704" t="n">
        <v>1</v>
      </c>
      <c r="R704" s="2" t="inlineStr">
        <is>
          <t>Brunklöver</t>
        </is>
      </c>
      <c r="S704">
        <f>HYPERLINK("https://klasma.github.io/Logging_2104/artfynd/A 49917-2024 artfynd.xlsx", "A 49917-2024")</f>
        <v/>
      </c>
      <c r="T704">
        <f>HYPERLINK("https://klasma.github.io/Logging_2104/kartor/A 49917-2024 karta.png", "A 49917-2024")</f>
        <v/>
      </c>
      <c r="V704">
        <f>HYPERLINK("https://klasma.github.io/Logging_2104/klagomål/A 49917-2024 FSC-klagomål.docx", "A 49917-2024")</f>
        <v/>
      </c>
      <c r="W704">
        <f>HYPERLINK("https://klasma.github.io/Logging_2104/klagomålsmail/A 49917-2024 FSC-klagomål mail.docx", "A 49917-2024")</f>
        <v/>
      </c>
      <c r="X704">
        <f>HYPERLINK("https://klasma.github.io/Logging_2104/tillsyn/A 49917-2024 tillsynsbegäran.docx", "A 49917-2024")</f>
        <v/>
      </c>
      <c r="Y704">
        <f>HYPERLINK("https://klasma.github.io/Logging_2104/tillsynsmail/A 49917-2024 tillsynsbegäran mail.docx", "A 49917-2024")</f>
        <v/>
      </c>
    </row>
    <row r="705" ht="15" customHeight="1">
      <c r="A705" t="inlineStr">
        <is>
          <t>A 50164-2024</t>
        </is>
      </c>
      <c r="B705" s="1" t="n">
        <v>45600</v>
      </c>
      <c r="C705" s="1" t="n">
        <v>45677</v>
      </c>
      <c r="D705" t="inlineStr">
        <is>
          <t>GÄVLEBORGS LÄN</t>
        </is>
      </c>
      <c r="E705" t="inlineStr">
        <is>
          <t>LJUSDAL</t>
        </is>
      </c>
      <c r="F705" t="inlineStr">
        <is>
          <t>Sveaskog</t>
        </is>
      </c>
      <c r="G705" t="n">
        <v>6.5</v>
      </c>
      <c r="H705" t="n">
        <v>0</v>
      </c>
      <c r="I705" t="n">
        <v>0</v>
      </c>
      <c r="J705" t="n">
        <v>1</v>
      </c>
      <c r="K705" t="n">
        <v>0</v>
      </c>
      <c r="L705" t="n">
        <v>0</v>
      </c>
      <c r="M705" t="n">
        <v>0</v>
      </c>
      <c r="N705" t="n">
        <v>0</v>
      </c>
      <c r="O705" t="n">
        <v>1</v>
      </c>
      <c r="P705" t="n">
        <v>0</v>
      </c>
      <c r="Q705" t="n">
        <v>1</v>
      </c>
      <c r="R705" s="2" t="inlineStr">
        <is>
          <t>Lunglav</t>
        </is>
      </c>
      <c r="S705">
        <f>HYPERLINK("https://klasma.github.io/Logging_2161/artfynd/A 50164-2024 artfynd.xlsx", "A 50164-2024")</f>
        <v/>
      </c>
      <c r="T705">
        <f>HYPERLINK("https://klasma.github.io/Logging_2161/kartor/A 50164-2024 karta.png", "A 50164-2024")</f>
        <v/>
      </c>
      <c r="V705">
        <f>HYPERLINK("https://klasma.github.io/Logging_2161/klagomål/A 50164-2024 FSC-klagomål.docx", "A 50164-2024")</f>
        <v/>
      </c>
      <c r="W705">
        <f>HYPERLINK("https://klasma.github.io/Logging_2161/klagomålsmail/A 50164-2024 FSC-klagomål mail.docx", "A 50164-2024")</f>
        <v/>
      </c>
      <c r="X705">
        <f>HYPERLINK("https://klasma.github.io/Logging_2161/tillsyn/A 50164-2024 tillsynsbegäran.docx", "A 50164-2024")</f>
        <v/>
      </c>
      <c r="Y705">
        <f>HYPERLINK("https://klasma.github.io/Logging_2161/tillsynsmail/A 50164-2024 tillsynsbegäran mail.docx", "A 50164-2024")</f>
        <v/>
      </c>
    </row>
    <row r="706" ht="15" customHeight="1">
      <c r="A706" t="inlineStr">
        <is>
          <t>A 51508-2024</t>
        </is>
      </c>
      <c r="B706" s="1" t="n">
        <v>45604</v>
      </c>
      <c r="C706" s="1" t="n">
        <v>45677</v>
      </c>
      <c r="D706" t="inlineStr">
        <is>
          <t>GÄVLEBORGS LÄN</t>
        </is>
      </c>
      <c r="E706" t="inlineStr">
        <is>
          <t>GÄVLE</t>
        </is>
      </c>
      <c r="G706" t="n">
        <v>0.9</v>
      </c>
      <c r="H706" t="n">
        <v>0</v>
      </c>
      <c r="I706" t="n">
        <v>1</v>
      </c>
      <c r="J706" t="n">
        <v>0</v>
      </c>
      <c r="K706" t="n">
        <v>0</v>
      </c>
      <c r="L706" t="n">
        <v>0</v>
      </c>
      <c r="M706" t="n">
        <v>0</v>
      </c>
      <c r="N706" t="n">
        <v>0</v>
      </c>
      <c r="O706" t="n">
        <v>0</v>
      </c>
      <c r="P706" t="n">
        <v>0</v>
      </c>
      <c r="Q706" t="n">
        <v>1</v>
      </c>
      <c r="R706" s="2" t="inlineStr">
        <is>
          <t>Tibast</t>
        </is>
      </c>
      <c r="S706">
        <f>HYPERLINK("https://klasma.github.io/Logging_2180/artfynd/A 51508-2024 artfynd.xlsx", "A 51508-2024")</f>
        <v/>
      </c>
      <c r="T706">
        <f>HYPERLINK("https://klasma.github.io/Logging_2180/kartor/A 51508-2024 karta.png", "A 51508-2024")</f>
        <v/>
      </c>
      <c r="V706">
        <f>HYPERLINK("https://klasma.github.io/Logging_2180/klagomål/A 51508-2024 FSC-klagomål.docx", "A 51508-2024")</f>
        <v/>
      </c>
      <c r="W706">
        <f>HYPERLINK("https://klasma.github.io/Logging_2180/klagomålsmail/A 51508-2024 FSC-klagomål mail.docx", "A 51508-2024")</f>
        <v/>
      </c>
      <c r="X706">
        <f>HYPERLINK("https://klasma.github.io/Logging_2180/tillsyn/A 51508-2024 tillsynsbegäran.docx", "A 51508-2024")</f>
        <v/>
      </c>
      <c r="Y706">
        <f>HYPERLINK("https://klasma.github.io/Logging_2180/tillsynsmail/A 51508-2024 tillsynsbegäran mail.docx", "A 51508-2024")</f>
        <v/>
      </c>
    </row>
    <row r="707" ht="15" customHeight="1">
      <c r="A707" t="inlineStr">
        <is>
          <t>A 53508-2024</t>
        </is>
      </c>
      <c r="B707" s="1" t="n">
        <v>45614</v>
      </c>
      <c r="C707" s="1" t="n">
        <v>45677</v>
      </c>
      <c r="D707" t="inlineStr">
        <is>
          <t>GÄVLEBORGS LÄN</t>
        </is>
      </c>
      <c r="E707" t="inlineStr">
        <is>
          <t>LJUSDAL</t>
        </is>
      </c>
      <c r="G707" t="n">
        <v>2.4</v>
      </c>
      <c r="H707" t="n">
        <v>0</v>
      </c>
      <c r="I707" t="n">
        <v>0</v>
      </c>
      <c r="J707" t="n">
        <v>1</v>
      </c>
      <c r="K707" t="n">
        <v>0</v>
      </c>
      <c r="L707" t="n">
        <v>0</v>
      </c>
      <c r="M707" t="n">
        <v>0</v>
      </c>
      <c r="N707" t="n">
        <v>0</v>
      </c>
      <c r="O707" t="n">
        <v>1</v>
      </c>
      <c r="P707" t="n">
        <v>0</v>
      </c>
      <c r="Q707" t="n">
        <v>1</v>
      </c>
      <c r="R707" s="2" t="inlineStr">
        <is>
          <t>Lunglav</t>
        </is>
      </c>
      <c r="S707">
        <f>HYPERLINK("https://klasma.github.io/Logging_2161/artfynd/A 53508-2024 artfynd.xlsx", "A 53508-2024")</f>
        <v/>
      </c>
      <c r="T707">
        <f>HYPERLINK("https://klasma.github.io/Logging_2161/kartor/A 53508-2024 karta.png", "A 53508-2024")</f>
        <v/>
      </c>
      <c r="V707">
        <f>HYPERLINK("https://klasma.github.io/Logging_2161/klagomål/A 53508-2024 FSC-klagomål.docx", "A 53508-2024")</f>
        <v/>
      </c>
      <c r="W707">
        <f>HYPERLINK("https://klasma.github.io/Logging_2161/klagomålsmail/A 53508-2024 FSC-klagomål mail.docx", "A 53508-2024")</f>
        <v/>
      </c>
      <c r="X707">
        <f>HYPERLINK("https://klasma.github.io/Logging_2161/tillsyn/A 53508-2024 tillsynsbegäran.docx", "A 53508-2024")</f>
        <v/>
      </c>
      <c r="Y707">
        <f>HYPERLINK("https://klasma.github.io/Logging_2161/tillsynsmail/A 53508-2024 tillsynsbegäran mail.docx", "A 53508-2024")</f>
        <v/>
      </c>
    </row>
    <row r="708" ht="15" customHeight="1">
      <c r="A708" t="inlineStr">
        <is>
          <t>A 53571-2024</t>
        </is>
      </c>
      <c r="B708" s="1" t="n">
        <v>45614</v>
      </c>
      <c r="C708" s="1" t="n">
        <v>45677</v>
      </c>
      <c r="D708" t="inlineStr">
        <is>
          <t>GÄVLEBORGS LÄN</t>
        </is>
      </c>
      <c r="E708" t="inlineStr">
        <is>
          <t>GÄVLE</t>
        </is>
      </c>
      <c r="F708" t="inlineStr">
        <is>
          <t>Bergvik skog öst AB</t>
        </is>
      </c>
      <c r="G708" t="n">
        <v>4.9</v>
      </c>
      <c r="H708" t="n">
        <v>0</v>
      </c>
      <c r="I708" t="n">
        <v>1</v>
      </c>
      <c r="J708" t="n">
        <v>0</v>
      </c>
      <c r="K708" t="n">
        <v>0</v>
      </c>
      <c r="L708" t="n">
        <v>0</v>
      </c>
      <c r="M708" t="n">
        <v>0</v>
      </c>
      <c r="N708" t="n">
        <v>0</v>
      </c>
      <c r="O708" t="n">
        <v>0</v>
      </c>
      <c r="P708" t="n">
        <v>0</v>
      </c>
      <c r="Q708" t="n">
        <v>1</v>
      </c>
      <c r="R708" s="2" t="inlineStr">
        <is>
          <t>Svavelriska</t>
        </is>
      </c>
      <c r="S708">
        <f>HYPERLINK("https://klasma.github.io/Logging_2180/artfynd/A 53571-2024 artfynd.xlsx", "A 53571-2024")</f>
        <v/>
      </c>
      <c r="T708">
        <f>HYPERLINK("https://klasma.github.io/Logging_2180/kartor/A 53571-2024 karta.png", "A 53571-2024")</f>
        <v/>
      </c>
      <c r="V708">
        <f>HYPERLINK("https://klasma.github.io/Logging_2180/klagomål/A 53571-2024 FSC-klagomål.docx", "A 53571-2024")</f>
        <v/>
      </c>
      <c r="W708">
        <f>HYPERLINK("https://klasma.github.io/Logging_2180/klagomålsmail/A 53571-2024 FSC-klagomål mail.docx", "A 53571-2024")</f>
        <v/>
      </c>
      <c r="X708">
        <f>HYPERLINK("https://klasma.github.io/Logging_2180/tillsyn/A 53571-2024 tillsynsbegäran.docx", "A 53571-2024")</f>
        <v/>
      </c>
      <c r="Y708">
        <f>HYPERLINK("https://klasma.github.io/Logging_2180/tillsynsmail/A 53571-2024 tillsynsbegäran mail.docx", "A 53571-2024")</f>
        <v/>
      </c>
    </row>
    <row r="709" ht="15" customHeight="1">
      <c r="A709" t="inlineStr">
        <is>
          <t>A 53562-2024</t>
        </is>
      </c>
      <c r="B709" s="1" t="n">
        <v>45614</v>
      </c>
      <c r="C709" s="1" t="n">
        <v>45677</v>
      </c>
      <c r="D709" t="inlineStr">
        <is>
          <t>GÄVLEBORGS LÄN</t>
        </is>
      </c>
      <c r="E709" t="inlineStr">
        <is>
          <t>SÖDERHAMN</t>
        </is>
      </c>
      <c r="F709" t="inlineStr">
        <is>
          <t>Bergvik skog väst AB</t>
        </is>
      </c>
      <c r="G709" t="n">
        <v>3.6</v>
      </c>
      <c r="H709" t="n">
        <v>1</v>
      </c>
      <c r="I709" t="n">
        <v>0</v>
      </c>
      <c r="J709" t="n">
        <v>1</v>
      </c>
      <c r="K709" t="n">
        <v>0</v>
      </c>
      <c r="L709" t="n">
        <v>0</v>
      </c>
      <c r="M709" t="n">
        <v>0</v>
      </c>
      <c r="N709" t="n">
        <v>0</v>
      </c>
      <c r="O709" t="n">
        <v>1</v>
      </c>
      <c r="P709" t="n">
        <v>0</v>
      </c>
      <c r="Q709" t="n">
        <v>1</v>
      </c>
      <c r="R709" s="2" t="inlineStr">
        <is>
          <t>Havsörn</t>
        </is>
      </c>
      <c r="S709">
        <f>HYPERLINK("https://klasma.github.io/Logging_2182/artfynd/A 53562-2024 artfynd.xlsx", "A 53562-2024")</f>
        <v/>
      </c>
      <c r="T709">
        <f>HYPERLINK("https://klasma.github.io/Logging_2182/kartor/A 53562-2024 karta.png", "A 53562-2024")</f>
        <v/>
      </c>
      <c r="V709">
        <f>HYPERLINK("https://klasma.github.io/Logging_2182/klagomål/A 53562-2024 FSC-klagomål.docx", "A 53562-2024")</f>
        <v/>
      </c>
      <c r="W709">
        <f>HYPERLINK("https://klasma.github.io/Logging_2182/klagomålsmail/A 53562-2024 FSC-klagomål mail.docx", "A 53562-2024")</f>
        <v/>
      </c>
      <c r="X709">
        <f>HYPERLINK("https://klasma.github.io/Logging_2182/tillsyn/A 53562-2024 tillsynsbegäran.docx", "A 53562-2024")</f>
        <v/>
      </c>
      <c r="Y709">
        <f>HYPERLINK("https://klasma.github.io/Logging_2182/tillsynsmail/A 53562-2024 tillsynsbegäran mail.docx", "A 53562-2024")</f>
        <v/>
      </c>
      <c r="Z709">
        <f>HYPERLINK("https://klasma.github.io/Logging_2182/fåglar/A 53562-2024 prioriterade fågelarter.docx", "A 53562-2024")</f>
        <v/>
      </c>
    </row>
    <row r="710" ht="15" customHeight="1">
      <c r="A710" t="inlineStr">
        <is>
          <t>A 54335-2024</t>
        </is>
      </c>
      <c r="B710" s="1" t="n">
        <v>45617</v>
      </c>
      <c r="C710" s="1" t="n">
        <v>45677</v>
      </c>
      <c r="D710" t="inlineStr">
        <is>
          <t>GÄVLEBORGS LÄN</t>
        </is>
      </c>
      <c r="E710" t="inlineStr">
        <is>
          <t>SANDVIKEN</t>
        </is>
      </c>
      <c r="G710" t="n">
        <v>7</v>
      </c>
      <c r="H710" t="n">
        <v>1</v>
      </c>
      <c r="I710" t="n">
        <v>0</v>
      </c>
      <c r="J710" t="n">
        <v>0</v>
      </c>
      <c r="K710" t="n">
        <v>1</v>
      </c>
      <c r="L710" t="n">
        <v>0</v>
      </c>
      <c r="M710" t="n">
        <v>0</v>
      </c>
      <c r="N710" t="n">
        <v>0</v>
      </c>
      <c r="O710" t="n">
        <v>1</v>
      </c>
      <c r="P710" t="n">
        <v>1</v>
      </c>
      <c r="Q710" t="n">
        <v>1</v>
      </c>
      <c r="R710" s="2" t="inlineStr">
        <is>
          <t>Väddnätfjäril</t>
        </is>
      </c>
      <c r="S710">
        <f>HYPERLINK("https://klasma.github.io/Logging_2181/artfynd/A 54335-2024 artfynd.xlsx", "A 54335-2024")</f>
        <v/>
      </c>
      <c r="T710">
        <f>HYPERLINK("https://klasma.github.io/Logging_2181/kartor/A 54335-2024 karta.png", "A 54335-2024")</f>
        <v/>
      </c>
      <c r="V710">
        <f>HYPERLINK("https://klasma.github.io/Logging_2181/klagomål/A 54335-2024 FSC-klagomål.docx", "A 54335-2024")</f>
        <v/>
      </c>
      <c r="W710">
        <f>HYPERLINK("https://klasma.github.io/Logging_2181/klagomålsmail/A 54335-2024 FSC-klagomål mail.docx", "A 54335-2024")</f>
        <v/>
      </c>
      <c r="X710">
        <f>HYPERLINK("https://klasma.github.io/Logging_2181/tillsyn/A 54335-2024 tillsynsbegäran.docx", "A 54335-2024")</f>
        <v/>
      </c>
      <c r="Y710">
        <f>HYPERLINK("https://klasma.github.io/Logging_2181/tillsynsmail/A 54335-2024 tillsynsbegäran mail.docx", "A 54335-2024")</f>
        <v/>
      </c>
    </row>
    <row r="711" ht="15" customHeight="1">
      <c r="A711" t="inlineStr">
        <is>
          <t>A 54706-2024</t>
        </is>
      </c>
      <c r="B711" s="1" t="n">
        <v>45618</v>
      </c>
      <c r="C711" s="1" t="n">
        <v>45677</v>
      </c>
      <c r="D711" t="inlineStr">
        <is>
          <t>GÄVLEBORGS LÄN</t>
        </is>
      </c>
      <c r="E711" t="inlineStr">
        <is>
          <t>HOFORS</t>
        </is>
      </c>
      <c r="G711" t="n">
        <v>11</v>
      </c>
      <c r="H711" t="n">
        <v>1</v>
      </c>
      <c r="I711" t="n">
        <v>0</v>
      </c>
      <c r="J711" t="n">
        <v>0</v>
      </c>
      <c r="K711" t="n">
        <v>0</v>
      </c>
      <c r="L711" t="n">
        <v>0</v>
      </c>
      <c r="M711" t="n">
        <v>0</v>
      </c>
      <c r="N711" t="n">
        <v>0</v>
      </c>
      <c r="O711" t="n">
        <v>0</v>
      </c>
      <c r="P711" t="n">
        <v>0</v>
      </c>
      <c r="Q711" t="n">
        <v>1</v>
      </c>
      <c r="R711" s="2" t="inlineStr">
        <is>
          <t>Nattviol</t>
        </is>
      </c>
      <c r="S711">
        <f>HYPERLINK("https://klasma.github.io/Logging_2104/artfynd/A 54706-2024 artfynd.xlsx", "A 54706-2024")</f>
        <v/>
      </c>
      <c r="T711">
        <f>HYPERLINK("https://klasma.github.io/Logging_2104/kartor/A 54706-2024 karta.png", "A 54706-2024")</f>
        <v/>
      </c>
      <c r="V711">
        <f>HYPERLINK("https://klasma.github.io/Logging_2104/klagomål/A 54706-2024 FSC-klagomål.docx", "A 54706-2024")</f>
        <v/>
      </c>
      <c r="W711">
        <f>HYPERLINK("https://klasma.github.io/Logging_2104/klagomålsmail/A 54706-2024 FSC-klagomål mail.docx", "A 54706-2024")</f>
        <v/>
      </c>
      <c r="X711">
        <f>HYPERLINK("https://klasma.github.io/Logging_2104/tillsyn/A 54706-2024 tillsynsbegäran.docx", "A 54706-2024")</f>
        <v/>
      </c>
      <c r="Y711">
        <f>HYPERLINK("https://klasma.github.io/Logging_2104/tillsynsmail/A 54706-2024 tillsynsbegäran mail.docx", "A 54706-2024")</f>
        <v/>
      </c>
    </row>
    <row r="712" ht="15" customHeight="1">
      <c r="A712" t="inlineStr">
        <is>
          <t>A 55289-2024</t>
        </is>
      </c>
      <c r="B712" s="1" t="n">
        <v>45621</v>
      </c>
      <c r="C712" s="1" t="n">
        <v>45677</v>
      </c>
      <c r="D712" t="inlineStr">
        <is>
          <t>GÄVLEBORGS LÄN</t>
        </is>
      </c>
      <c r="E712" t="inlineStr">
        <is>
          <t>LJUSDAL</t>
        </is>
      </c>
      <c r="F712" t="inlineStr">
        <is>
          <t>Sveaskog</t>
        </is>
      </c>
      <c r="G712" t="n">
        <v>3.3</v>
      </c>
      <c r="H712" t="n">
        <v>0</v>
      </c>
      <c r="I712" t="n">
        <v>0</v>
      </c>
      <c r="J712" t="n">
        <v>1</v>
      </c>
      <c r="K712" t="n">
        <v>0</v>
      </c>
      <c r="L712" t="n">
        <v>0</v>
      </c>
      <c r="M712" t="n">
        <v>0</v>
      </c>
      <c r="N712" t="n">
        <v>0</v>
      </c>
      <c r="O712" t="n">
        <v>1</v>
      </c>
      <c r="P712" t="n">
        <v>0</v>
      </c>
      <c r="Q712" t="n">
        <v>1</v>
      </c>
      <c r="R712" s="2" t="inlineStr">
        <is>
          <t>Garnlav</t>
        </is>
      </c>
      <c r="S712">
        <f>HYPERLINK("https://klasma.github.io/Logging_2161/artfynd/A 55289-2024 artfynd.xlsx", "A 55289-2024")</f>
        <v/>
      </c>
      <c r="T712">
        <f>HYPERLINK("https://klasma.github.io/Logging_2161/kartor/A 55289-2024 karta.png", "A 55289-2024")</f>
        <v/>
      </c>
      <c r="V712">
        <f>HYPERLINK("https://klasma.github.io/Logging_2161/klagomål/A 55289-2024 FSC-klagomål.docx", "A 55289-2024")</f>
        <v/>
      </c>
      <c r="W712">
        <f>HYPERLINK("https://klasma.github.io/Logging_2161/klagomålsmail/A 55289-2024 FSC-klagomål mail.docx", "A 55289-2024")</f>
        <v/>
      </c>
      <c r="X712">
        <f>HYPERLINK("https://klasma.github.io/Logging_2161/tillsyn/A 55289-2024 tillsynsbegäran.docx", "A 55289-2024")</f>
        <v/>
      </c>
      <c r="Y712">
        <f>HYPERLINK("https://klasma.github.io/Logging_2161/tillsynsmail/A 55289-2024 tillsynsbegäran mail.docx", "A 55289-2024")</f>
        <v/>
      </c>
    </row>
    <row r="713" ht="15" customHeight="1">
      <c r="A713" t="inlineStr">
        <is>
          <t>A 55326-2024</t>
        </is>
      </c>
      <c r="B713" s="1" t="n">
        <v>45621</v>
      </c>
      <c r="C713" s="1" t="n">
        <v>45677</v>
      </c>
      <c r="D713" t="inlineStr">
        <is>
          <t>GÄVLEBORGS LÄN</t>
        </is>
      </c>
      <c r="E713" t="inlineStr">
        <is>
          <t>LJUSDAL</t>
        </is>
      </c>
      <c r="G713" t="n">
        <v>11.1</v>
      </c>
      <c r="H713" t="n">
        <v>0</v>
      </c>
      <c r="I713" t="n">
        <v>0</v>
      </c>
      <c r="J713" t="n">
        <v>1</v>
      </c>
      <c r="K713" t="n">
        <v>0</v>
      </c>
      <c r="L713" t="n">
        <v>0</v>
      </c>
      <c r="M713" t="n">
        <v>0</v>
      </c>
      <c r="N713" t="n">
        <v>0</v>
      </c>
      <c r="O713" t="n">
        <v>1</v>
      </c>
      <c r="P713" t="n">
        <v>0</v>
      </c>
      <c r="Q713" t="n">
        <v>1</v>
      </c>
      <c r="R713" s="2" t="inlineStr">
        <is>
          <t>Vedskivlav</t>
        </is>
      </c>
      <c r="S713">
        <f>HYPERLINK("https://klasma.github.io/Logging_2161/artfynd/A 55326-2024 artfynd.xlsx", "A 55326-2024")</f>
        <v/>
      </c>
      <c r="T713">
        <f>HYPERLINK("https://klasma.github.io/Logging_2161/kartor/A 55326-2024 karta.png", "A 55326-2024")</f>
        <v/>
      </c>
      <c r="U713">
        <f>HYPERLINK("https://klasma.github.io/Logging_2161/knärot/A 55326-2024 karta knärot.png", "A 55326-2024")</f>
        <v/>
      </c>
      <c r="V713">
        <f>HYPERLINK("https://klasma.github.io/Logging_2161/klagomål/A 55326-2024 FSC-klagomål.docx", "A 55326-2024")</f>
        <v/>
      </c>
      <c r="W713">
        <f>HYPERLINK("https://klasma.github.io/Logging_2161/klagomålsmail/A 55326-2024 FSC-klagomål mail.docx", "A 55326-2024")</f>
        <v/>
      </c>
      <c r="X713">
        <f>HYPERLINK("https://klasma.github.io/Logging_2161/tillsyn/A 55326-2024 tillsynsbegäran.docx", "A 55326-2024")</f>
        <v/>
      </c>
      <c r="Y713">
        <f>HYPERLINK("https://klasma.github.io/Logging_2161/tillsynsmail/A 55326-2024 tillsynsbegäran mail.docx", "A 55326-2024")</f>
        <v/>
      </c>
    </row>
    <row r="714" ht="15" customHeight="1">
      <c r="A714" t="inlineStr">
        <is>
          <t>A 58239-2024</t>
        </is>
      </c>
      <c r="B714" s="1" t="n">
        <v>45632</v>
      </c>
      <c r="C714" s="1" t="n">
        <v>45677</v>
      </c>
      <c r="D714" t="inlineStr">
        <is>
          <t>GÄVLEBORGS LÄN</t>
        </is>
      </c>
      <c r="E714" t="inlineStr">
        <is>
          <t>HUDIKSVALL</t>
        </is>
      </c>
      <c r="F714" t="inlineStr">
        <is>
          <t>Holmen skog AB</t>
        </is>
      </c>
      <c r="G714" t="n">
        <v>4.3</v>
      </c>
      <c r="H714" t="n">
        <v>1</v>
      </c>
      <c r="I714" t="n">
        <v>0</v>
      </c>
      <c r="J714" t="n">
        <v>1</v>
      </c>
      <c r="K714" t="n">
        <v>0</v>
      </c>
      <c r="L714" t="n">
        <v>0</v>
      </c>
      <c r="M714" t="n">
        <v>0</v>
      </c>
      <c r="N714" t="n">
        <v>0</v>
      </c>
      <c r="O714" t="n">
        <v>1</v>
      </c>
      <c r="P714" t="n">
        <v>0</v>
      </c>
      <c r="Q714" t="n">
        <v>1</v>
      </c>
      <c r="R714" s="2" t="inlineStr">
        <is>
          <t>Kungsörn</t>
        </is>
      </c>
      <c r="S714">
        <f>HYPERLINK("https://klasma.github.io/Logging_2184/artfynd/A 58239-2024 artfynd.xlsx", "A 58239-2024")</f>
        <v/>
      </c>
      <c r="T714">
        <f>HYPERLINK("https://klasma.github.io/Logging_2184/kartor/A 58239-2024 karta.png", "A 58239-2024")</f>
        <v/>
      </c>
      <c r="V714">
        <f>HYPERLINK("https://klasma.github.io/Logging_2184/klagomål/A 58239-2024 FSC-klagomål.docx", "A 58239-2024")</f>
        <v/>
      </c>
      <c r="W714">
        <f>HYPERLINK("https://klasma.github.io/Logging_2184/klagomålsmail/A 58239-2024 FSC-klagomål mail.docx", "A 58239-2024")</f>
        <v/>
      </c>
      <c r="X714">
        <f>HYPERLINK("https://klasma.github.io/Logging_2184/tillsyn/A 58239-2024 tillsynsbegäran.docx", "A 58239-2024")</f>
        <v/>
      </c>
      <c r="Y714">
        <f>HYPERLINK("https://klasma.github.io/Logging_2184/tillsynsmail/A 58239-2024 tillsynsbegäran mail.docx", "A 58239-2024")</f>
        <v/>
      </c>
      <c r="Z714">
        <f>HYPERLINK("https://klasma.github.io/Logging_2184/fåglar/A 58239-2024 prioriterade fågelarter.docx", "A 58239-2024")</f>
        <v/>
      </c>
    </row>
    <row r="715" ht="15" customHeight="1">
      <c r="A715" t="inlineStr">
        <is>
          <t>A 58332-2024</t>
        </is>
      </c>
      <c r="B715" s="1" t="n">
        <v>45632</v>
      </c>
      <c r="C715" s="1" t="n">
        <v>45677</v>
      </c>
      <c r="D715" t="inlineStr">
        <is>
          <t>GÄVLEBORGS LÄN</t>
        </is>
      </c>
      <c r="E715" t="inlineStr">
        <is>
          <t>HUDIKSVALL</t>
        </is>
      </c>
      <c r="G715" t="n">
        <v>2.2</v>
      </c>
      <c r="H715" t="n">
        <v>1</v>
      </c>
      <c r="I715" t="n">
        <v>0</v>
      </c>
      <c r="J715" t="n">
        <v>0</v>
      </c>
      <c r="K715" t="n">
        <v>0</v>
      </c>
      <c r="L715" t="n">
        <v>0</v>
      </c>
      <c r="M715" t="n">
        <v>0</v>
      </c>
      <c r="N715" t="n">
        <v>0</v>
      </c>
      <c r="O715" t="n">
        <v>0</v>
      </c>
      <c r="P715" t="n">
        <v>0</v>
      </c>
      <c r="Q715" t="n">
        <v>1</v>
      </c>
      <c r="R715" s="2" t="inlineStr">
        <is>
          <t>Blåsippa</t>
        </is>
      </c>
      <c r="S715">
        <f>HYPERLINK("https://klasma.github.io/Logging_2184/artfynd/A 58332-2024 artfynd.xlsx", "A 58332-2024")</f>
        <v/>
      </c>
      <c r="T715">
        <f>HYPERLINK("https://klasma.github.io/Logging_2184/kartor/A 58332-2024 karta.png", "A 58332-2024")</f>
        <v/>
      </c>
      <c r="V715">
        <f>HYPERLINK("https://klasma.github.io/Logging_2184/klagomål/A 58332-2024 FSC-klagomål.docx", "A 58332-2024")</f>
        <v/>
      </c>
      <c r="W715">
        <f>HYPERLINK("https://klasma.github.io/Logging_2184/klagomålsmail/A 58332-2024 FSC-klagomål mail.docx", "A 58332-2024")</f>
        <v/>
      </c>
      <c r="X715">
        <f>HYPERLINK("https://klasma.github.io/Logging_2184/tillsyn/A 58332-2024 tillsynsbegäran.docx", "A 58332-2024")</f>
        <v/>
      </c>
      <c r="Y715">
        <f>HYPERLINK("https://klasma.github.io/Logging_2184/tillsynsmail/A 58332-2024 tillsynsbegäran mail.docx", "A 58332-2024")</f>
        <v/>
      </c>
    </row>
    <row r="716" ht="15" customHeight="1">
      <c r="A716" t="inlineStr">
        <is>
          <t>A 58575-2024</t>
        </is>
      </c>
      <c r="B716" s="1" t="n">
        <v>45635</v>
      </c>
      <c r="C716" s="1" t="n">
        <v>45677</v>
      </c>
      <c r="D716" t="inlineStr">
        <is>
          <t>GÄVLEBORGS LÄN</t>
        </is>
      </c>
      <c r="E716" t="inlineStr">
        <is>
          <t>LJUSDAL</t>
        </is>
      </c>
      <c r="F716" t="inlineStr">
        <is>
          <t>Allmännings- och besparingsskogar</t>
        </is>
      </c>
      <c r="G716" t="n">
        <v>9.4</v>
      </c>
      <c r="H716" t="n">
        <v>1</v>
      </c>
      <c r="I716" t="n">
        <v>0</v>
      </c>
      <c r="J716" t="n">
        <v>1</v>
      </c>
      <c r="K716" t="n">
        <v>0</v>
      </c>
      <c r="L716" t="n">
        <v>0</v>
      </c>
      <c r="M716" t="n">
        <v>0</v>
      </c>
      <c r="N716" t="n">
        <v>0</v>
      </c>
      <c r="O716" t="n">
        <v>1</v>
      </c>
      <c r="P716" t="n">
        <v>0</v>
      </c>
      <c r="Q716" t="n">
        <v>1</v>
      </c>
      <c r="R716" s="2" t="inlineStr">
        <is>
          <t>Kungsörn</t>
        </is>
      </c>
      <c r="S716">
        <f>HYPERLINK("https://klasma.github.io/Logging_2161/artfynd/A 58575-2024 artfynd.xlsx", "A 58575-2024")</f>
        <v/>
      </c>
      <c r="T716">
        <f>HYPERLINK("https://klasma.github.io/Logging_2161/kartor/A 58575-2024 karta.png", "A 58575-2024")</f>
        <v/>
      </c>
      <c r="V716">
        <f>HYPERLINK("https://klasma.github.io/Logging_2161/klagomål/A 58575-2024 FSC-klagomål.docx", "A 58575-2024")</f>
        <v/>
      </c>
      <c r="W716">
        <f>HYPERLINK("https://klasma.github.io/Logging_2161/klagomålsmail/A 58575-2024 FSC-klagomål mail.docx", "A 58575-2024")</f>
        <v/>
      </c>
      <c r="X716">
        <f>HYPERLINK("https://klasma.github.io/Logging_2161/tillsyn/A 58575-2024 tillsynsbegäran.docx", "A 58575-2024")</f>
        <v/>
      </c>
      <c r="Y716">
        <f>HYPERLINK("https://klasma.github.io/Logging_2161/tillsynsmail/A 58575-2024 tillsynsbegäran mail.docx", "A 58575-2024")</f>
        <v/>
      </c>
      <c r="Z716">
        <f>HYPERLINK("https://klasma.github.io/Logging_2161/fåglar/A 58575-2024 prioriterade fågelarter.docx", "A 58575-2024")</f>
        <v/>
      </c>
    </row>
    <row r="717" ht="15" customHeight="1">
      <c r="A717" t="inlineStr">
        <is>
          <t>A 59385-2024</t>
        </is>
      </c>
      <c r="B717" s="1" t="n">
        <v>45638</v>
      </c>
      <c r="C717" s="1" t="n">
        <v>45677</v>
      </c>
      <c r="D717" t="inlineStr">
        <is>
          <t>GÄVLEBORGS LÄN</t>
        </is>
      </c>
      <c r="E717" t="inlineStr">
        <is>
          <t>GÄVLE</t>
        </is>
      </c>
      <c r="F717" t="inlineStr">
        <is>
          <t>Bergvik skog öst AB</t>
        </is>
      </c>
      <c r="G717" t="n">
        <v>16.3</v>
      </c>
      <c r="H717" t="n">
        <v>0</v>
      </c>
      <c r="I717" t="n">
        <v>1</v>
      </c>
      <c r="J717" t="n">
        <v>0</v>
      </c>
      <c r="K717" t="n">
        <v>0</v>
      </c>
      <c r="L717" t="n">
        <v>0</v>
      </c>
      <c r="M717" t="n">
        <v>0</v>
      </c>
      <c r="N717" t="n">
        <v>0</v>
      </c>
      <c r="O717" t="n">
        <v>0</v>
      </c>
      <c r="P717" t="n">
        <v>0</v>
      </c>
      <c r="Q717" t="n">
        <v>1</v>
      </c>
      <c r="R717" s="2" t="inlineStr">
        <is>
          <t>Rödgul trumpetsvamp</t>
        </is>
      </c>
      <c r="S717">
        <f>HYPERLINK("https://klasma.github.io/Logging_2180/artfynd/A 59385-2024 artfynd.xlsx", "A 59385-2024")</f>
        <v/>
      </c>
      <c r="T717">
        <f>HYPERLINK("https://klasma.github.io/Logging_2180/kartor/A 59385-2024 karta.png", "A 59385-2024")</f>
        <v/>
      </c>
      <c r="V717">
        <f>HYPERLINK("https://klasma.github.io/Logging_2180/klagomål/A 59385-2024 FSC-klagomål.docx", "A 59385-2024")</f>
        <v/>
      </c>
      <c r="W717">
        <f>HYPERLINK("https://klasma.github.io/Logging_2180/klagomålsmail/A 59385-2024 FSC-klagomål mail.docx", "A 59385-2024")</f>
        <v/>
      </c>
      <c r="X717">
        <f>HYPERLINK("https://klasma.github.io/Logging_2180/tillsyn/A 59385-2024 tillsynsbegäran.docx", "A 59385-2024")</f>
        <v/>
      </c>
      <c r="Y717">
        <f>HYPERLINK("https://klasma.github.io/Logging_2180/tillsynsmail/A 59385-2024 tillsynsbegäran mail.docx", "A 59385-2024")</f>
        <v/>
      </c>
    </row>
    <row r="718" ht="15" customHeight="1">
      <c r="A718" t="inlineStr">
        <is>
          <t>A 60375-2024</t>
        </is>
      </c>
      <c r="B718" s="1" t="n">
        <v>45643</v>
      </c>
      <c r="C718" s="1" t="n">
        <v>45677</v>
      </c>
      <c r="D718" t="inlineStr">
        <is>
          <t>GÄVLEBORGS LÄN</t>
        </is>
      </c>
      <c r="E718" t="inlineStr">
        <is>
          <t>HOFORS</t>
        </is>
      </c>
      <c r="G718" t="n">
        <v>4.5</v>
      </c>
      <c r="H718" t="n">
        <v>0</v>
      </c>
      <c r="I718" t="n">
        <v>0</v>
      </c>
      <c r="J718" t="n">
        <v>1</v>
      </c>
      <c r="K718" t="n">
        <v>0</v>
      </c>
      <c r="L718" t="n">
        <v>0</v>
      </c>
      <c r="M718" t="n">
        <v>0</v>
      </c>
      <c r="N718" t="n">
        <v>0</v>
      </c>
      <c r="O718" t="n">
        <v>1</v>
      </c>
      <c r="P718" t="n">
        <v>0</v>
      </c>
      <c r="Q718" t="n">
        <v>1</v>
      </c>
      <c r="R718" s="2" t="inlineStr">
        <is>
          <t>Luddfingersvamp</t>
        </is>
      </c>
      <c r="S718">
        <f>HYPERLINK("https://klasma.github.io/Logging_2104/artfynd/A 60375-2024 artfynd.xlsx", "A 60375-2024")</f>
        <v/>
      </c>
      <c r="T718">
        <f>HYPERLINK("https://klasma.github.io/Logging_2104/kartor/A 60375-2024 karta.png", "A 60375-2024")</f>
        <v/>
      </c>
      <c r="V718">
        <f>HYPERLINK("https://klasma.github.io/Logging_2104/klagomål/A 60375-2024 FSC-klagomål.docx", "A 60375-2024")</f>
        <v/>
      </c>
      <c r="W718">
        <f>HYPERLINK("https://klasma.github.io/Logging_2104/klagomålsmail/A 60375-2024 FSC-klagomål mail.docx", "A 60375-2024")</f>
        <v/>
      </c>
      <c r="X718">
        <f>HYPERLINK("https://klasma.github.io/Logging_2104/tillsyn/A 60375-2024 tillsynsbegäran.docx", "A 60375-2024")</f>
        <v/>
      </c>
      <c r="Y718">
        <f>HYPERLINK("https://klasma.github.io/Logging_2104/tillsynsmail/A 60375-2024 tillsynsbegäran mail.docx", "A 60375-2024")</f>
        <v/>
      </c>
    </row>
    <row r="719" ht="15" customHeight="1">
      <c r="A719" t="inlineStr">
        <is>
          <t>A 990-2025</t>
        </is>
      </c>
      <c r="B719" s="1" t="n">
        <v>45666</v>
      </c>
      <c r="C719" s="1" t="n">
        <v>45677</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Lunglav</t>
        </is>
      </c>
      <c r="S719">
        <f>HYPERLINK("https://klasma.github.io/Logging_2161/artfynd/A 990-2025 artfynd.xlsx", "A 990-2025")</f>
        <v/>
      </c>
      <c r="T719">
        <f>HYPERLINK("https://klasma.github.io/Logging_2161/kartor/A 990-2025 karta.png", "A 990-2025")</f>
        <v/>
      </c>
      <c r="V719">
        <f>HYPERLINK("https://klasma.github.io/Logging_2161/klagomål/A 990-2025 FSC-klagomål.docx", "A 990-2025")</f>
        <v/>
      </c>
      <c r="W719">
        <f>HYPERLINK("https://klasma.github.io/Logging_2161/klagomålsmail/A 990-2025 FSC-klagomål mail.docx", "A 990-2025")</f>
        <v/>
      </c>
      <c r="X719">
        <f>HYPERLINK("https://klasma.github.io/Logging_2161/tillsyn/A 990-2025 tillsynsbegäran.docx", "A 990-2025")</f>
        <v/>
      </c>
      <c r="Y719">
        <f>HYPERLINK("https://klasma.github.io/Logging_2161/tillsynsmail/A 990-2025 tillsynsbegäran mail.docx", "A 990-2025")</f>
        <v/>
      </c>
    </row>
    <row r="720" ht="15" customHeight="1">
      <c r="A720" t="inlineStr">
        <is>
          <t>A 2254-2025</t>
        </is>
      </c>
      <c r="B720" s="1" t="n">
        <v>45673</v>
      </c>
      <c r="C720" s="1" t="n">
        <v>45677</v>
      </c>
      <c r="D720" t="inlineStr">
        <is>
          <t>GÄVLEBORGS LÄN</t>
        </is>
      </c>
      <c r="E720" t="inlineStr">
        <is>
          <t>NORDANSTIG</t>
        </is>
      </c>
      <c r="F720" t="inlineStr">
        <is>
          <t>Holmen skog AB</t>
        </is>
      </c>
      <c r="G720" t="n">
        <v>1.3</v>
      </c>
      <c r="H720" t="n">
        <v>1</v>
      </c>
      <c r="I720" t="n">
        <v>0</v>
      </c>
      <c r="J720" t="n">
        <v>0</v>
      </c>
      <c r="K720" t="n">
        <v>0</v>
      </c>
      <c r="L720" t="n">
        <v>1</v>
      </c>
      <c r="M720" t="n">
        <v>0</v>
      </c>
      <c r="N720" t="n">
        <v>0</v>
      </c>
      <c r="O720" t="n">
        <v>1</v>
      </c>
      <c r="P720" t="n">
        <v>1</v>
      </c>
      <c r="Q720" t="n">
        <v>1</v>
      </c>
      <c r="R720" s="2" t="inlineStr">
        <is>
          <t>Bredgentiana</t>
        </is>
      </c>
      <c r="S720">
        <f>HYPERLINK("https://klasma.github.io/Logging_2132/artfynd/A 2254-2025 artfynd.xlsx", "A 2254-2025")</f>
        <v/>
      </c>
      <c r="T720">
        <f>HYPERLINK("https://klasma.github.io/Logging_2132/kartor/A 2254-2025 karta.png", "A 2254-2025")</f>
        <v/>
      </c>
      <c r="V720">
        <f>HYPERLINK("https://klasma.github.io/Logging_2132/klagomål/A 2254-2025 FSC-klagomål.docx", "A 2254-2025")</f>
        <v/>
      </c>
      <c r="W720">
        <f>HYPERLINK("https://klasma.github.io/Logging_2132/klagomålsmail/A 2254-2025 FSC-klagomål mail.docx", "A 2254-2025")</f>
        <v/>
      </c>
      <c r="X720">
        <f>HYPERLINK("https://klasma.github.io/Logging_2132/tillsyn/A 2254-2025 tillsynsbegäran.docx", "A 2254-2025")</f>
        <v/>
      </c>
      <c r="Y720">
        <f>HYPERLINK("https://klasma.github.io/Logging_2132/tillsynsmail/A 2254-2025 tillsynsbegäran mail.docx", "A 2254-2025")</f>
        <v/>
      </c>
    </row>
    <row r="721" ht="15" customHeight="1">
      <c r="A721" t="inlineStr">
        <is>
          <t>A 17688-2019</t>
        </is>
      </c>
      <c r="B721" s="1" t="n">
        <v>43556</v>
      </c>
      <c r="C721" s="1" t="n">
        <v>45677</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45677</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45677</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45677</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45677</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45677</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45677</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45677</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45677</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45677</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45677</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45677</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45677</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45677</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45677</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45677</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45677</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45677</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45677</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45677</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45677</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45677</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45677</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45677</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45677</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45677</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45677</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45677</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45677</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45677</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45677</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45677</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45677</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45677</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45677</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45677</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45677</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45677</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45677</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45677</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45677</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45677</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45677</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45677</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45677</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45677</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45677</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45677</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45677</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45677</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45677</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45677</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45677</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45677</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45677</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45677</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45677</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45677</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45677</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45677</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45677</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45677</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45677</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45677</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45677</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45677</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45677</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45677</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45677</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45677</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45677</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45677</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45677</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45677</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45677</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45677</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45677</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45677</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45677</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45677</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45677</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45677</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45677</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45677</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45677</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45677</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45677</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45677</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45677</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45677</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45677</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45677</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45677</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45677</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45677</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45677</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45677</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45677</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45677</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45677</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45677</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45677</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45677</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45677</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45677</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45677</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45677</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45677</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45677</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45677</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45677</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45677</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45677</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45677</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45677</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45677</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45677</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45677</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45677</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45677</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45677</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45677</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45677</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45677</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45677</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45677</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45677</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45677</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45677</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45677</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45677</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45677</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45677</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45677</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45677</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45677</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45677</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45677</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45677</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45677</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45677</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45677</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45677</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45677</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45677</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45677</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45677</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45677</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45677</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45677</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45677</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45677</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45677</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45677</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45677</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45677</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45677</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45677</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45677</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45677</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45677</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45677</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45677</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45677</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45677</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45677</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45677</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45677</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45677</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45677</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45677</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45677</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45677</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45677</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45677</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45677</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45677</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45677</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45677</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45677</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45677</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45677</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45677</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45677</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45677</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45677</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45677</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45677</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45677</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45677</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45677</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45677</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45677</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45677</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45677</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45677</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45677</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45677</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45677</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45677</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45677</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45677</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45677</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45677</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45677</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45677</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45677</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45677</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45677</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45677</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45677</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45677</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45677</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45677</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45677</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45677</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45677</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45677</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45677</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45677</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45677</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45677</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45677</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45677</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45677</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45677</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45677</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45677</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45677</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45677</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45677</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45677</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45677</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45677</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45677</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45677</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45677</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45677</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45677</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45677</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45677</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45677</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45677</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45677</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45677</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45677</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45677</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45677</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45677</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45677</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45677</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45677</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45677</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45677</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45677</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45677</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45677</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45677</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45677</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45677</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45677</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45677</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45677</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45677</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45677</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45677</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45677</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45677</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45677</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45677</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45677</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45677</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45677</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45677</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45677</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45677</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45677</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45677</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45677</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45677</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45677</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45677</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45677</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45677</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45677</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45677</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45677</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45677</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45677</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45677</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45677</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45677</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45677</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45677</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45677</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45677</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45677</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45677</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45677</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45677</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45677</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45677</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45677</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45677</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45677</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45677</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45677</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45677</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45677</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45677</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45677</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45677</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45677</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45677</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45677</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45677</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45677</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45677</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45677</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45677</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45677</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45677</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45677</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45677</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45677</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45677</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45677</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45677</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45677</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45677</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45677</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45677</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45677</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45677</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45677</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45677</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45677</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45677</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45677</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45677</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45677</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45677</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45677</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45677</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45677</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45677</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45677</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45677</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45677</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45677</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45677</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45677</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45677</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45677</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45677</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45677</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45677</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45677</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45677</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45677</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45677</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45677</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45677</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45677</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45677</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45677</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45677</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45677</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45677</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45677</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45677</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45677</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45677</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45677</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45677</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45677</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45677</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45677</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45677</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45677</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45677</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45677</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45677</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45677</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45677</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45677</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45677</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45677</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45677</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45677</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45677</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45677</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45677</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45677</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45677</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45677</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45677</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45677</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45677</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45677</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45677</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45677</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45677</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45677</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45677</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45677</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45677</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45677</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45677</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45677</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45677</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45677</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45677</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45677</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45677</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45677</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45677</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45677</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45677</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45677</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45677</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45677</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45677</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45677</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45677</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45677</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45677</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45677</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45677</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45677</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45677</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45677</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45677</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45677</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45677</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45677</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45677</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45677</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45677</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45677</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45677</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45677</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45677</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45677</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45677</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45677</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45677</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45677</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45677</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45677</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45677</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45677</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45677</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45677</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45677</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45677</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45677</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45677</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45677</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45677</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45677</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45677</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45677</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45677</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45677</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45677</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45677</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45677</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45677</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45677</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45677</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45677</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45677</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45677</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45677</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45677</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45677</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45677</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45677</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45677</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45677</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45677</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45677</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45677</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45677</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45677</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45677</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45677</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45677</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45677</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45677</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45677</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45677</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45677</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45677</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45677</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45677</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45677</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45677</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45677</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45677</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45677</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45677</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45677</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45677</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45677</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45677</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45677</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45677</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45677</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45677</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45677</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45677</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45677</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45677</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45677</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45677</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45677</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45677</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45677</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45677</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45677</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45677</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45677</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45677</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45677</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45677</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45677</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45677</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45677</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45677</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45677</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45677</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45677</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45677</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45677</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45677</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45677</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45677</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45677</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45677</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45677</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45677</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45677</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45677</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45677</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45677</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45677</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45677</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45677</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45677</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45677</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45677</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45677</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45677</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45677</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45677</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45677</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45677</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45677</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45677</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45677</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45677</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45677</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45677</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45677</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45677</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45677</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45677</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45677</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45677</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45677</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45677</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45677</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45677</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45677</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45677</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45677</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45677</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45677</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45677</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45677</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45677</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45677</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45677</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45677</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45677</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45677</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45677</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45677</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45677</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45677</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45677</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45677</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45677</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45677</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45677</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45677</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45677</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45677</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45677</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45677</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45677</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45677</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45677</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45677</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45677</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45677</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45677</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45677</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45677</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45677</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45677</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45677</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45677</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45677</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45677</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45677</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45677</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45677</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45677</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45677</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45677</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45677</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45677</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45677</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45677</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45677</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45677</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45677</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45677</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45677</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45677</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45677</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45677</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45677</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45677</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45677</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45677</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45677</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45677</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45677</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45677</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45677</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45677</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45677</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45677</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45677</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45677</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45677</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45677</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45677</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45677</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45677</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45677</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45677</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45677</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45677</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45677</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45677</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45677</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45677</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45677</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45677</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45677</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45677</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45677</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45677</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45677</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45677</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45677</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45677</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45677</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45677</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45677</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45677</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45677</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45677</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45677</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45677</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45677</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45677</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45677</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45677</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45677</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45677</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45677</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45677</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45677</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45677</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45677</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45677</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45677</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45677</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45677</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45677</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45677</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45677</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45677</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45677</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45677</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45677</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45677</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45677</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45677</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45677</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45677</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45677</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45677</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45677</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45677</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45677</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45677</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45677</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45677</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45677</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45677</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45677</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45677</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45677</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45677</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45677</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45677</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45677</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45677</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45677</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45677</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45677</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45677</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45677</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45677</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45677</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45677</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45677</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45677</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45677</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45677</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45677</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45677</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45677</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45677</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45677</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45677</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45677</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45677</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45677</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45677</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45677</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45677</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45677</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45677</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45677</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45677</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45677</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45677</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45677</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45677</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45677</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45677</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45677</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45677</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45677</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45677</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45677</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45677</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45677</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45677</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45677</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45677</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45677</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45677</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45677</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45677</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45677</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45677</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45677</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45677</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45677</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45677</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45677</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45677</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45677</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45677</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45677</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45677</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45677</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45677</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45677</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45677</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45677</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45677</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45677</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45677</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45677</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45677</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45677</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45677</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45677</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45677</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45677</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45677</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45677</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45677</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45677</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45677</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45677</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45677</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45677</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45677</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45677</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45677</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45677</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45677</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45677</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45677</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45677</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45677</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45677</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45677</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45677</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45677</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45677</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45677</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45677</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45677</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45677</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45677</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45677</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45677</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45677</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45677</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45677</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45677</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45677</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45677</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45677</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45677</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45677</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45677</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45677</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45677</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45677</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45677</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45677</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45677</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45677</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45677</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45677</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45677</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45677</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45677</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45677</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45677</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45677</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45677</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45677</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45677</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45677</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45677</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45677</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45677</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45677</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45677</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45677</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45677</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45677</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45677</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45677</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45677</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45677</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45677</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45677</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45677</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45677</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45677</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45677</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45677</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45677</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45677</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45677</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45677</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45677</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45677</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45677</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45677</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45677</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45677</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45677</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45677</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45677</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45677</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45677</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45677</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45677</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45677</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45677</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45677</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45677</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45677</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45677</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45677</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45677</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45677</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45677</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45677</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45677</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45677</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45677</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45677</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45677</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45677</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45677</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45677</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45677</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45677</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45677</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45677</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45677</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45677</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45677</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45677</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45677</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45677</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45677</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45677</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45677</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45677</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45677</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45677</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45677</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45677</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45677</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45677</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45677</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45677</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45677</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45677</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45677</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45677</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45677</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45677</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45677</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45677</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45677</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45677</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45677</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45677</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45677</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45677</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45677</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45677</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45677</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45677</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45677</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45677</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45677</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45677</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45677</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45677</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45677</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45677</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45677</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45677</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45677</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45677</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45677</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45677</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45677</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45677</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45677</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45677</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45677</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45677</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45677</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45677</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45677</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45677</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45677</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45677</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45677</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45677</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45677</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45677</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45677</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45677</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45677</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45677</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45677</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45677</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45677</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45677</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45677</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45677</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45677</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45677</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45677</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45677</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45677</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45677</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45677</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45677</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45677</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45677</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45677</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45677</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45677</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45677</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45677</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45677</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45677</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45677</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45677</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45677</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45677</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45677</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45677</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45677</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45677</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45677</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45677</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45677</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45677</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45677</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45677</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45677</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45677</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45677</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45677</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45677</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45677</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45677</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45677</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45677</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45677</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45677</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45677</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45677</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45677</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45677</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45677</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45677</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45677</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45677</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45677</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45677</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45677</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45677</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45677</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45677</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45677</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45677</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45677</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45677</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45677</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45677</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45677</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45677</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45677</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45677</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45677</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45677</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45677</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45677</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45677</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45677</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45677</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45677</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45677</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45677</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45677</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45677</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45677</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45677</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45677</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45677</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45677</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45677</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45677</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45677</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45677</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45677</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45677</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45677</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45677</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45677</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45677</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45677</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45677</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45677</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45677</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45677</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45677</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45677</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45677</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45677</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45677</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45677</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45677</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45677</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45677</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45677</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45677</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45677</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45677</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45677</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45677</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45677</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45677</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45677</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45677</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45677</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45677</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45677</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45677</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45677</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45677</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45677</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45677</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45677</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45677</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45677</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45677</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45677</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45677</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45677</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45677</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45677</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45677</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45677</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45677</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45677</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45677</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45677</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45677</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45677</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45677</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45677</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45677</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45677</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45677</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45677</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45677</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45677</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45677</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45677</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45677</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45677</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45677</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45677</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45677</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45677</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45677</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45677</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45677</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45677</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45677</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45677</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45677</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45677</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45677</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45677</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45677</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45677</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45677</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45677</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45677</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45677</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45677</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45677</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45677</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45677</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45677</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45677</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45677</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45677</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45677</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45677</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45677</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45677</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45677</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45677</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45677</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45677</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45677</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45677</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45677</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45677</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45677</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45677</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45677</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45677</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45677</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45677</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45677</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45677</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45677</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45677</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45677</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45677</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45677</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45677</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45677</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45677</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45677</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45677</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45677</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45677</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45677</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45677</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45677</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45677</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45677</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45677</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45677</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45677</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45677</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45677</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45677</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45677</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45677</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45677</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45677</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45677</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45677</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45677</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45677</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45677</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45677</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45677</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45677</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45677</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45677</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45677</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45677</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45677</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45677</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45677</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45677</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45677</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45677</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45677</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45677</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45677</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45677</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45677</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45677</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45677</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45677</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45677</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45677</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45677</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45677</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45677</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45677</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45677</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45677</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45677</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45677</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45677</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45677</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45677</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45677</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45677</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45677</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45677</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45677</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45677</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45677</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45677</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45677</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45677</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45677</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45677</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45677</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45677</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45677</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45677</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45677</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45677</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45677</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45677</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45677</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45677</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45677</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45677</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45677</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45677</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45677</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45677</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45677</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45677</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45677</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45677</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45677</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45677</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45677</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45677</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45677</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45677</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45677</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45677</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45677</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45677</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45677</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45677</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45677</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45677</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45677</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45677</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45677</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45677</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45677</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45677</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45677</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45677</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45677</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45677</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45677</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45677</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45677</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45677</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45677</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45677</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45677</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45677</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45677</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45677</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45677</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45677</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45677</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45677</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45677</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45677</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45677</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45677</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45677</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45677</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45677</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45677</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45677</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45677</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45677</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45677</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45677</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45677</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45677</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45677</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45677</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45677</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45677</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45677</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45677</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45677</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45677</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45677</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45677</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45677</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45677</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45677</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45677</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45677</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45677</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45677</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45677</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45677</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45677</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45677</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45677</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45677</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45677</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45677</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45677</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45677</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45677</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45677</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45677</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45677</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45677</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45677</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45677</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45677</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45677</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45677</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45677</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45677</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45677</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45677</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45677</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45677</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45677</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45677</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45677</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45677</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45677</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45677</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45677</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45677</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45677</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45677</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45677</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45677</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45677</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45677</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45677</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45677</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45677</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45677</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45677</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45677</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45677</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45677</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45677</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45677</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45677</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45677</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45677</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45677</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45677</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45677</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45677</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45677</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45677</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45677</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45677</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45677</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45677</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45677</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45677</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45677</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45677</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45677</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45677</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45677</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45677</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45677</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45677</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45677</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45677</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45677</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45677</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45677</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45677</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45677</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45677</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45677</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45677</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45677</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45677</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45677</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45677</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45677</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45677</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45677</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45677</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45677</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45677</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45677</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45677</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45677</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45677</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45677</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45677</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45677</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45677</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45677</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45677</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45677</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45677</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45677</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45677</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45677</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45677</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45677</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45677</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45677</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45677</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45677</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45677</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45677</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45677</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45677</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45677</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45677</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45677</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45677</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45677</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45677</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45677</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45677</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45677</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45677</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45677</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45677</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45677</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45677</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45677</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45677</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45677</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45677</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45677</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45677</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45677</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45677</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45677</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45677</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45677</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45677</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45677</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45677</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45677</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45677</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45677</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45677</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45677</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45677</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45677</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45677</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45677</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45677</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45677</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45677</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45677</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45677</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45677</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45677</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45677</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45677</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45677</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45677</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45677</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45677</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45677</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45677</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45677</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45677</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45677</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45677</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45677</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45677</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45677</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45677</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45677</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45677</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45677</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45677</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45677</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45677</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45677</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45677</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45677</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45677</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45677</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45677</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45677</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45677</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45677</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45677</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45677</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45677</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45677</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45677</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45677</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45677</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45677</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45677</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45677</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45677</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45677</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45677</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45677</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45677</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45677</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45677</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45677</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45677</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45677</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45677</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45677</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45677</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45677</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45677</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45677</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45677</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45677</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45677</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45677</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45677</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45677</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45677</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45677</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45677</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45677</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45677</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45677</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45677</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45677</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45677</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45677</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45677</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45677</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45677</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45677</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45677</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45677</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45677</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45677</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45677</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45677</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45677</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45677</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45677</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45677</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45677</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45677</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45677</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45677</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45677</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45677</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45677</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45677</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45677</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45677</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45677</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45677</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45677</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45677</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45677</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45677</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45677</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45677</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45677</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45677</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45677</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45677</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45677</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45677</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45677</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45677</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45677</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45677</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45677</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45677</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45677</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45677</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45677</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45677</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45677</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45677</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45677</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45677</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45677</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45677</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45677</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45677</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45677</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45677</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45677</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45677</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45677</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45677</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45677</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45677</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45677</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45677</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45677</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45677</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45677</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45677</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45677</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45677</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45677</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45677</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45677</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45677</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45677</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45677</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45677</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45677</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45677</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45677</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45677</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45677</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45677</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45677</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45677</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45677</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45677</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45677</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45677</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45677</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45677</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45677</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45677</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45677</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45677</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45677</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45677</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45677</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45677</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45677</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45677</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45677</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45677</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45677</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45677</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45677</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45677</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45677</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45677</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45677</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45677</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45677</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45677</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45677</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45677</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45677</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45677</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45677</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45677</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45677</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45677</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45677</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45677</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45677</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45677</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45677</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45677</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45677</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45677</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45677</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45677</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45677</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45677</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45677</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45677</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45677</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45677</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45677</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45677</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45677</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45677</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45677</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45677</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45677</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45677</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45677</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45677</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45677</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45677</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45677</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45677</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45677</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45677</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45677</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45677</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45677</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45677</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45677</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45677</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45677</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45677</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45677</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45677</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45677</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45677</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45677</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45677</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45677</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45677</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45677</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45677</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45677</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45677</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45677</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45677</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45677</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45677</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45677</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45677</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45677</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45677</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45677</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45677</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45677</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45677</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45677</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45677</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45677</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45677</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45677</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45677</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45677</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45677</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45677</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45677</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45677</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45677</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45677</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45677</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45677</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45677</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45677</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45677</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45677</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45677</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45677</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45677</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45677</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45677</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45677</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45677</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45677</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45677</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45677</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45677</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45677</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45677</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45677</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45677</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45677</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45677</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45677</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45677</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45677</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45677</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45677</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45677</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45677</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45677</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45677</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45677</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45677</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45677</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45677</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45677</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45677</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45677</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45677</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45677</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45677</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45677</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45677</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45677</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45677</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45677</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45677</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45677</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45677</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45677</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45677</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45677</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45677</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45677</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45677</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45677</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45677</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45677</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45677</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45677</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45677</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45677</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45677</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45677</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45677</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45677</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45677</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45677</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45677</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45677</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45677</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45677</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45677</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45677</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45677</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45677</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45677</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45677</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45677</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45677</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45677</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45677</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45677</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45677</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45677</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45677</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45677</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45677</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45677</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45677</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45677</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45677</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45677</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45677</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45677</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45677</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45677</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45677</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45677</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45677</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45677</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45677</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45677</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45677</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45677</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45677</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45677</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45677</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45677</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45677</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45677</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45677</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45677</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45677</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45677</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45677</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45677</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45677</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45677</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45677</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45677</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45677</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45677</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45677</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45677</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45677</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45677</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45677</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45677</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45677</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45677</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45677</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45677</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45677</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45677</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45677</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45677</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45677</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45677</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45677</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45677</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45677</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45677</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45677</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45677</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45677</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45677</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45677</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45677</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45677</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45677</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45677</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45677</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45677</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45677</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45677</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45677</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45677</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45677</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45677</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45677</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45677</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45677</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45677</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45677</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45677</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45677</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45677</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45677</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45677</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45677</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45677</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45677</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45677</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45677</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45677</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45677</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45677</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45677</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45677</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45677</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45677</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45677</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45677</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45677</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45677</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45677</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45677</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45677</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45677</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45677</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45677</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45677</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45677</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45677</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45677</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45677</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45677</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45677</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45677</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45677</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45677</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45677</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45677</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45677</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45677</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45677</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45677</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45677</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45677</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45677</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45677</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45677</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45677</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45677</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45677</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45677</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45677</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45677</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45677</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45677</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45677</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45677</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45677</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45677</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45677</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45677</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45677</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45677</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45677</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45677</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45677</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45677</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45677</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45677</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45677</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45677</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45677</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45677</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45677</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45677</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45677</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45677</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45677</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45677</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45677</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45677</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45677</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45677</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45677</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45677</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45677</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45677</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45677</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45677</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45677</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45677</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45677</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45677</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45677</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45677</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45677</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45677</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45677</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45677</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45677</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45677</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45677</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45677</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45677</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45677</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45677</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45677</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45677</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45677</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45677</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45677</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45677</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45677</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45677</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45677</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45677</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45677</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45677</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45677</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45677</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45677</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45677</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45677</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45677</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45677</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45677</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45677</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45677</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45677</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45677</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45677</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45677</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45677</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45677</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45677</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45677</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45677</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45677</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45677</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45677</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45677</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45677</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45677</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45677</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45677</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45677</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45677</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45677</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45677</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45677</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45677</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45677</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45677</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45677</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45677</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45677</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45677</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45677</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45677</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45677</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45677</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45677</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45677</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45677</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45677</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45677</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45677</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45677</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45677</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45677</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45677</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45677</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45677</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45677</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45677</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45677</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45677</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45677</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45677</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45677</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45677</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45677</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45677</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45677</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45677</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45677</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45677</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45677</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45677</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45677</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45677</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45677</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45677</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45677</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45677</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45677</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45677</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45677</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45677</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45677</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45677</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45677</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45677</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45677</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45677</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45677</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45677</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45677</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45677</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45677</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45677</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45677</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45677</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45677</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45677</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45677</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45677</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45677</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45677</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45677</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45677</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45677</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45677</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45677</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45677</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45677</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45677</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45677</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45677</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45677</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45677</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45677</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45677</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45677</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45677</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45677</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45677</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45677</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45677</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45677</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45677</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45677</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45677</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45677</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45677</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45677</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45677</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45677</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45677</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45677</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45677</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45677</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45677</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45677</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45677</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45677</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45677</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45677</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45677</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45677</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45677</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45677</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45677</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45677</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45677</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45677</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45677</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45677</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45677</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45677</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45677</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45677</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45677</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45677</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45677</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45677</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45677</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45677</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45677</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45677</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45677</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45677</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45677</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45677</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45677</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45677</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45677</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45677</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45677</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45677</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45677</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45677</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45677</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45677</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45677</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45677</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45677</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45677</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45677</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45677</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45677</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45677</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45677</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45677</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45677</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45677</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45677</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45677</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45677</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45677</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45677</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45677</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45677</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45677</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45677</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45677</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45677</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45677</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45677</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45677</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45677</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45677</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45677</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45677</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45677</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45677</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45677</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45677</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45677</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45677</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45677</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45677</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45677</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45677</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45677</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45677</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45677</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45677</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45677</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45677</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45677</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45677</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45677</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45677</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45677</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45677</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45677</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45677</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45677</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45677</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45677</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45677</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45677</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45677</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45677</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45677</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45677</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45677</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45677</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45677</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45677</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45677</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45677</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45677</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45677</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45677</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45677</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45677</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45677</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45677</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45677</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45677</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45677</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45677</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45677</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45677</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45677</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45677</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45677</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45677</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45677</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45677</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45677</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45677</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45677</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45677</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45677</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45677</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45677</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45677</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45677</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45677</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45677</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45677</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45677</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45677</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45677</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45677</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45677</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45677</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45677</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45677</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45677</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45677</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45677</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45677</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45677</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45677</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45677</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45677</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45677</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45677</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45677</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45677</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45677</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45677</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45677</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45677</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45677</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45677</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45677</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45677</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45677</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45677</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45677</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45677</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45677</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45677</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45677</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45677</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45677</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45677</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45677</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45677</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45677</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45677</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45677</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45677</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45677</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45677</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45677</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45677</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45677</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45677</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45677</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45677</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45677</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45677</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45677</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45677</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45677</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45677</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45677</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45677</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45677</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45677</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45677</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45677</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45677</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45677</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45677</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45677</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45677</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45677</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45677</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45677</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45677</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45677</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45677</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45677</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45677</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45677</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45677</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45677</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45677</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45677</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45677</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45677</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45677</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45677</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45677</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45677</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45677</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45677</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45677</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45677</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45677</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45677</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45677</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45677</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45677</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45677</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45677</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45677</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45677</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45677</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45677</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45677</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45677</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45677</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45677</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45677</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45677</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45677</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45677</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45677</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45677</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45677</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45677</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45677</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45677</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45677</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45677</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45677</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45677</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45677</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45677</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45677</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45677</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45677</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45677</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45677</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45677</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45677</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45677</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45677</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45677</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45677</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45677</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45677</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45677</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45677</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45677</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45677</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45677</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45677</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45677</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45677</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45677</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45677</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45677</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45677</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45677</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45677</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45677</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45677</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45677</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45677</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45677</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45677</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45677</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45677</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45677</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45677</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45677</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45677</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45677</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45677</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45677</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45677</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45677</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45677</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45677</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45677</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45677</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45677</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45677</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45677</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45677</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45677</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45677</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45677</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45677</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45677</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45677</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45677</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45677</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45677</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45677</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45677</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45677</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45677</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45677</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45677</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45677</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45677</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45677</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45677</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45677</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45677</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45677</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45677</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45677</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45677</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45677</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45677</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45677</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45677</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45677</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45677</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45677</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45677</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45677</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45677</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45677</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45677</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45677</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45677</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45677</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45677</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45677</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45677</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45677</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45677</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45677</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45677</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45677</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45677</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45677</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45677</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45677</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45677</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45677</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45677</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45677</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45677</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45677</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45677</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45677</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45677</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45677</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45677</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45677</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45677</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45677</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45677</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45677</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45677</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45677</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45677</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45677</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45677</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45677</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45677</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45677</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45677</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45677</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45677</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45677</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45677</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45677</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45677</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45677</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45677</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45677</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45677</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45677</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45677</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45677</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45677</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45677</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45677</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45677</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45677</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45677</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45677</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45677</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45677</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45677</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45677</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45677</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45677</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45677</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45677</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45677</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45677</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45677</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45677</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45677</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45677</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45677</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45677</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45677</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45677</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45677</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45677</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45677</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45677</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45677</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45677</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45677</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45677</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45677</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45677</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45677</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45677</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45677</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45677</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45677</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45677</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45677</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45677</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45677</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45677</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45677</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45677</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45677</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45677</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45677</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45677</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45677</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45677</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45677</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45677</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45677</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45677</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45677</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45677</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45677</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45677</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45677</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45677</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45677</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45677</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45677</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45677</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45677</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45677</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45677</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45677</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45677</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45677</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45677</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45677</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45677</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45677</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45677</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45677</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45677</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45677</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45677</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45677</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45677</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45677</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45677</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45677</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45677</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45677</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45677</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45677</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45677</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45677</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45677</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45677</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45677</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45677</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45677</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45677</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45677</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45677</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45677</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45677</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45677</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45677</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45677</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45677</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45677</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45677</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45677</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45677</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45677</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45677</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45677</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45677</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45677</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45677</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45677</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45677</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45677</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45677</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45677</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45677</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45677</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45677</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45677</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45677</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45677</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45677</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45677</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45677</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45677</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45677</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45677</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45677</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45677</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45677</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45677</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45677</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45677</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45677</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45677</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45677</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45677</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45677</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45677</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45677</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45677</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45677</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45677</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45677</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45677</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45677</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45677</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45677</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45677</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45677</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45677</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45677</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45677</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45677</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45677</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45677</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45677</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45677</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45677</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45677</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45677</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45677</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45677</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45677</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45677</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45677</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45677</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45677</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45677</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45677</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45677</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45677</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45677</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45677</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45677</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45677</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45677</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45677</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45677</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45677</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45677</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45677</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45677</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45677</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45677</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45677</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45677</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45677</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45677</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45677</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45677</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45677</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45677</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45677</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45677</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45677</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45677</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45677</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45677</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45677</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45677</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45677</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45677</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45677</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45677</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45677</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45677</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45677</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45677</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45677</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45677</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45677</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45677</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45677</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45677</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45677</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45677</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45677</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45677</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45677</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45677</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45677</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45677</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45677</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45677</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45677</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45677</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45677</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45677</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45677</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45677</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45677</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45677</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45677</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45677</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45677</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45677</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45677</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45677</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45677</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45677</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45677</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45677</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45677</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45677</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45677</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45677</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45677</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45677</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45677</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45677</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45677</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45677</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45677</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45677</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45677</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45677</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45677</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45677</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45677</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45677</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45677</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45677</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45677</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45677</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45677</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45677</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45677</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45677</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45677</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45677</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45677</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45677</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45677</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45677</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45677</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45677</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45677</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45677</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45677</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45677</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45677</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45677</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45677</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45677</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45677</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45677</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45677</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45677</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45677</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45677</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45677</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45677</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45677</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45677</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45677</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45677</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45677</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45677</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45677</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45677</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45677</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45677</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45677</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45677</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45677</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45677</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45677</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45677</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45677</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45677</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45677</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45677</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45677</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45677</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45677</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45677</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45677</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45677</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45677</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45677</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45677</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45677</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45677</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45677</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45677</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45677</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45677</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45677</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45677</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45677</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45677</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45677</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45677</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45677</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45677</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45677</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45677</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45677</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45677</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45677</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45677</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45677</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45677</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45677</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45677</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45677</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45677</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45677</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45677</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45677</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45677</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45677</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45677</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45677</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45677</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45677</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45677</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45677</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45677</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45677</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45677</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45677</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45677</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45677</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45677</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45677</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45677</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45677</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45677</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45677</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45677</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45677</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45677</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45677</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45677</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45677</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45677</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45677</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45677</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45677</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45677</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45677</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45677</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45677</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45677</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45677</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45677</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45677</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45677</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45677</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45677</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45677</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45677</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45677</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45677</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45677</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45677</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45677</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45677</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45677</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45677</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45677</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45677</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45677</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45677</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45677</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45677</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45677</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45677</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45677</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45677</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45677</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45677</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45677</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45677</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45677</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45677</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45677</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45677</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45677</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45677</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45677</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45677</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45677</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45677</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45677</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45677</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45677</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45677</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45677</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45677</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45677</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45677</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45677</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45677</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45677</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45677</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45677</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45677</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45677</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45677</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45677</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45677</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45677</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45677</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45677</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45677</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45677</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45677</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45677</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45677</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45677</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45677</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45677</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45677</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45677</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45677</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45677</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45677</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45677</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45677</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45677</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45677</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45677</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45677</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45677</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45677</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45677</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45677</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45677</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45677</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45677</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45677</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45677</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45677</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45677</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45677</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45677</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45677</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45677</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45677</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45677</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45677</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45677</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45677</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45677</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45677</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45677</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45677</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45677</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45677</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45677</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45677</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45677</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45677</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45677</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45677</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45677</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45677</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45677</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45677</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45677</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45677</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45677</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45677</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45677</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45677</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45677</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45677</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45677</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45677</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45677</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45677</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45677</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45677</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45677</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45677</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45677</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45677</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45677</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45677</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45677</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45677</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45677</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45677</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45677</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45677</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45677</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45677</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45677</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45677</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45677</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45677</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45677</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45677</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45677</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45677</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45677</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45677</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45677</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45677</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45677</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45677</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45677</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45677</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45677</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45677</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45677</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45677</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45677</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45677</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45677</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45677</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45677</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45677</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45677</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45677</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45677</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45677</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45677</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45677</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45677</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45677</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45677</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45677</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45677</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45677</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45677</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45677</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45677</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45677</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45677</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45677</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45677</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45677</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45677</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45677</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45677</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45677</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45677</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45677</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45677</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45677</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45677</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45677</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45677</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45677</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45677</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45677</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45677</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45677</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45677</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45677</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45677</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45677</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45677</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45677</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45677</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45677</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45677</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45677</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45677</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45677</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45677</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45677</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45677</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45677</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45677</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45677</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45677</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45677</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45677</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45677</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45677</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45677</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45677</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45677</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45677</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45677</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45677</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45677</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45677</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45677</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45677</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45677</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45677</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45677</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45677</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45677</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45677</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45677</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45677</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45677</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45677</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45677</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45677</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45677</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45677</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45677</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45677</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45677</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45677</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45677</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45677</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45677</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45677</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45677</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45677</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45677</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45677</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45677</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45677</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45677</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45677</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45677</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45677</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45677</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45677</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45677</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45677</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45677</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45677</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45677</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45677</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45677</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45677</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45677</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45677</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45677</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45677</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45677</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45677</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45677</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45677</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45677</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45677</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45677</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45677</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45677</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45677</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45677</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45677</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45677</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45677</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45677</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45677</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45677</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45677</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45677</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45677</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45677</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45677</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45677</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45677</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45677</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45677</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45677</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45677</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45677</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45677</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45677</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45677</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45677</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45677</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45677</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45677</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45677</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45677</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45677</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45677</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45677</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45677</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45677</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45677</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45677</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45677</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45677</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45677</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45677</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45677</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45677</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45677</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45677</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45677</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45677</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45677</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45677</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45677</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45677</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45677</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45677</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45677</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45677</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45677</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45677</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45677</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45677</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45677</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45677</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45677</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45677</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45677</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45677</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45677</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45677</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45677</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45677</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45677</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45677</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45677</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45677</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45677</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45677</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45677</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45677</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45677</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45677</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45677</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45677</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45677</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45677</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45677</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45677</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45677</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45677</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45677</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45677</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45677</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45677</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45677</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45677</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45677</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45677</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45677</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45677</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45677</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45677</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45677</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45677</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45677</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45677</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45677</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45677</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45677</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45677</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45677</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45677</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45677</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45677</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45677</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45677</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45677</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45677</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45677</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45677</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45677</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45677</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45677</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45677</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45677</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45677</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45677</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45677</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45677</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45677</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45677</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45677</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45677</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45677</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45677</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45677</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45677</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45677</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45677</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45677</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45677</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45677</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45677</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45677</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45677</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45677</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45677</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45677</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45677</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45677</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45677</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45677</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45677</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45677</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45677</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45677</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45677</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45677</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45677</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45677</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45677</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45677</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45677</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45677</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45677</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45677</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45677</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45677</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45677</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45677</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45677</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45677</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45677</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45677</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45677</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45677</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45677</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45677</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45677</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45677</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45677</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45677</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45677</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45677</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45677</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45677</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45677</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45677</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45677</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45677</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45677</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45677</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45677</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45677</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45677</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45677</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45677</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45677</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45677</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45677</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45677</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45677</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45677</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45677</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45677</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45677</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45677</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45677</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45677</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45677</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45677</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45677</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45677</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45677</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45677</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45677</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45677</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45677</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45677</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45677</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45677</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45677</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45677</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45677</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45677</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45677</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45677</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45677</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45677</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45677</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45677</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45677</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45677</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45677</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45677</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45677</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45677</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45677</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45677</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45677</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45677</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45677</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45677</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45677</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45677</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45677</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45677</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45677</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45677</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45677</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45677</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45677</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45677</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45677</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45677</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45677</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45677</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45677</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45677</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45677</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45677</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45677</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45677</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45677</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45677</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45677</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45677</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45677</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45677</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45677</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45677</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45677</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45677</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45677</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45677</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45677</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45677</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45677</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45677</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45677</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45677</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45677</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45677</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45677</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45677</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45677</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45677</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45677</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45677</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45677</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45677</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45677</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45677</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45677</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45677</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45677</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45677</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45677</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45677</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45677</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45677</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45677</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45677</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45677</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45677</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45677</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45677</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45677</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45677</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45677</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45677</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45677</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45677</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45677</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45677</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45677</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45677</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45677</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45677</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45677</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45677</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45677</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45677</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45677</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45677</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45677</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45677</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45677</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45677</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45677</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45677</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45677</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45677</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45677</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45677</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45677</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45677</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45677</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45677</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45677</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45677</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45677</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45677</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45677</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45677</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45677</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45677</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45677</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45677</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45677</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45677</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45677</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45677</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45677</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45677</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45677</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45677</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45677</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45677</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45677</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45677</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45677</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45677</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45677</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45677</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45677</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45677</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45677</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45677</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45677</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45677</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45677</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45677</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45677</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45677</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45677</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45677</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45677</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45677</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45677</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45677</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45677</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45677</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45677</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45677</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45677</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45677</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45677</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45677</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45677</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45677</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45677</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45677</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45677</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45677</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45677</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45677</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45677</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45677</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45677</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45677</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45677</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45677</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45677</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45677</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45677</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45677</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45677</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45677</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45677</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45677</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45677</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45677</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45677</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45677</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45677</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45677</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45677</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45677</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45677</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45677</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45677</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45677</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45677</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45677</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45677</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45677</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45677</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45677</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45677</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45677</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45677</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45677</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45677</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45677</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45677</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45677</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45677</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45677</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45677</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45677</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45677</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45677</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45677</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45677</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45677</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45677</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45677</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45677</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45677</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45677</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45677</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45677</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45677</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45677</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45677</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45677</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45677</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45677</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45677</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45677</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45677</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45677</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45677</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45677</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45677</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45677</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45677</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45677</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45677</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45677</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45677</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45677</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45677</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45677</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45677</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45677</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45677</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45677</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45677</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45677</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45677</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45677</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45677</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45677</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45677</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45677</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45677</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45677</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45677</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45677</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45677</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45677</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45677</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45677</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45677</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45677</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45677</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45677</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45677</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45677</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45677</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45677</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45677</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45677</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45677</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45677</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45677</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45677</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45677</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45677</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45677</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45677</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45677</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45677</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45677</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45677</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45677</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45677</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45677</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45677</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45677</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45677</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45677</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45677</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45677</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45677</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45677</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45677</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45677</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45677</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45677</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45677</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45677</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45677</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45677</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45677</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45677</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45677</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45677</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45677</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45677</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45677</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45677</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45677</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45677</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45677</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45677</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45677</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45677</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45677</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45677</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45677</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45677</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45677</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45677</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45677</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45677</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45677</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45677</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45677</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45677</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45677</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45677</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45677</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45677</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45677</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45677</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45677</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45677</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45677</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45677</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45677</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45677</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45677</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45677</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45677</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45677</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45677</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45677</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45677</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45677</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45677</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45677</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45677</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45677</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45677</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45677</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45677</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45677</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45677</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45677</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45677</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45677</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45677</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45677</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45677</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45677</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45677</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45677</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45677</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45677</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45677</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45677</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45677</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45677</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45677</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45677</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45677</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45677</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45677</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45677</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45677</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45677</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45677</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45677</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45677</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45677</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45677</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45677</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45677</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45677</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45677</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45677</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45677</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45677</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45677</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45677</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45677</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45677</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45677</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45677</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45677</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45677</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45677</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45677</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45677</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45677</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45677</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45677</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45677</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45677</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45677</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45677</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45677</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45677</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45677</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45677</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45677</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45677</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45677</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45677</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45677</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45677</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45677</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45677</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45677</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45677</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45677</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45677</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45677</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45677</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45677</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45677</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45677</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45677</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45677</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45677</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45677</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45677</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45677</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45677</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45677</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45677</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45677</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45677</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45677</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45677</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45677</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45677</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45677</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45677</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45677</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45677</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45677</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45677</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45677</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45677</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45677</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45677</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45677</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45677</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45677</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45677</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45677</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45677</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45677</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45677</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45677</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45677</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45677</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45677</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45677</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45677</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45677</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45677</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45677</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45677</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45677</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45677</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45677</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45677</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45677</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45677</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45677</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45677</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45677</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45677</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45677</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45677</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45677</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45677</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45677</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45677</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45677</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45677</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45677</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45677</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45677</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45677</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45677</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45677</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45677</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45677</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45677</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45677</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45677</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45677</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45677</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45677</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45677</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45677</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45677</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45677</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45677</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45677</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45677</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45677</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45677</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45677</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45677</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45677</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45677</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45677</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45677</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45677</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45677</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45677</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45677</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45677</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45677</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45677</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45677</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45677</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45677</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45677</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45677</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45677</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45677</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45677</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45677</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45677</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45677</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45677</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45677</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45677</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45677</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45677</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45677</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45677</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45677</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45677</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45677</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45677</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45677</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45677</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45677</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45677</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45677</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45677</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45677</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45677</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45677</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45677</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45677</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45677</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45677</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45677</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45677</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45677</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45677</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45677</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45677</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45677</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45677</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45677</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45677</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45677</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45677</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45677</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45677</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45677</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45677</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45677</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45677</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45677</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45677</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45677</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45677</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45677</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45677</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45677</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45677</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45677</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45677</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45677</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45677</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45677</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45677</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45677</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45677</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45677</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45677</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45677</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45677</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45677</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45677</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45677</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45677</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45677</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45677</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45677</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45677</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45677</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45677</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45677</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45677</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45677</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45677</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45677</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45677</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45677</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45677</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45677</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45677</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45677</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45677</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45677</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45677</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45677</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45677</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45677</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45677</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45677</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45677</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45677</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45677</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45677</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45677</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45677</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45677</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45677</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45677</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45677</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45677</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45677</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45677</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45677</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45677</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45677</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45677</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45677</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45677</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45677</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45677</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45677</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45677</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45677</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45677</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45677</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45677</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45677</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45677</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45677</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45677</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45677</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45677</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45677</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45677</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45677</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45677</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45677</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45677</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45677</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45677</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45677</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45677</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45677</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45677</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45677</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45677</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45677</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45677</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45677</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45677</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45677</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45677</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45677</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45677</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45677</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45677</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45677</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45677</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45677</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45677</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45677</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45677</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45677</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45677</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45677</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45677</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45677</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45677</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45677</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45677</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45677</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45677</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45677</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45677</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45677</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45677</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45677</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45677</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45677</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45677</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45677</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45677</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45677</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45677</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45677</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45677</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45677</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45677</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45677</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45677</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45677</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45677</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45677</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45677</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45677</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45677</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45677</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45677</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45677</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45677</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45677</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45677</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45677</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45677</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45677</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45677</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45677</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45677</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45677</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45677</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45677</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45677</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45677</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45677</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45677</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45677</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45677</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45677</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45677</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45677</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45677</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45677</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45677</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45677</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45677</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45677</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45677</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45677</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45677</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45677</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45677</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45677</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45677</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45677</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45677</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45677</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45677</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45677</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45677</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45677</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45677</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45677</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45677</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45677</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45677</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45677</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45677</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45677</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45677</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45677</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45677</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45677</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45677</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45677</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45677</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45677</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45677</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45677</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45677</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45677</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45677</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45677</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45677</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45677</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45677</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45677</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45677</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45677</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45677</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45677</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45677</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45677</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45677</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45677</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45677</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45677</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45677</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45677</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45677</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45677</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45677</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45677</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45677</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45677</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45677</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45677</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45677</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45677</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45677</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45677</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45677</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45677</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45677</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45677</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45677</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45677</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45677</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45677</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45677</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45677</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45677</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45677</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45677</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45677</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45677</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45677</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45677</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45677</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45677</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45677</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45677</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45677</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45677</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45677</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45677</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45677</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45677</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45677</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45677</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45677</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45677</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45677</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45677</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45677</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45677</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45677</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45677</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45677</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45677</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45677</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45677</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45677</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45677</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45677</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45677</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45677</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45677</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45677</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45677</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45677</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45677</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45677</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45677</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45677</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45677</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45677</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45677</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45677</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45677</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45677</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45677</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45677</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45677</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45677</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45677</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45677</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45677</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45677</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45677</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45677</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45677</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45677</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45677</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45677</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45677</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45677</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45677</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45677</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45677</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45677</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45677</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45677</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45677</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45677</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45677</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35525-2022</t>
        </is>
      </c>
      <c r="B5168" s="1" t="n">
        <v>44799</v>
      </c>
      <c r="C5168" s="1" t="n">
        <v>45677</v>
      </c>
      <c r="D5168" t="inlineStr">
        <is>
          <t>GÄVLEBORGS LÄN</t>
        </is>
      </c>
      <c r="E5168" t="inlineStr">
        <is>
          <t>SANDVIKEN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35536-2022</t>
        </is>
      </c>
      <c r="B5169" s="1" t="n">
        <v>44799</v>
      </c>
      <c r="C5169" s="1" t="n">
        <v>45677</v>
      </c>
      <c r="D5169" t="inlineStr">
        <is>
          <t>GÄVLEBORGS LÄN</t>
        </is>
      </c>
      <c r="E5169" t="inlineStr">
        <is>
          <t>NORDANSTIG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35665-2022</t>
        </is>
      </c>
      <c r="B5170" s="1" t="n">
        <v>44799</v>
      </c>
      <c r="C5170" s="1" t="n">
        <v>45677</v>
      </c>
      <c r="D5170" t="inlineStr">
        <is>
          <t>GÄVLEBORGS LÄN</t>
        </is>
      </c>
      <c r="E5170" t="inlineStr">
        <is>
          <t>SÖDERHAMN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35523-2022</t>
        </is>
      </c>
      <c r="B5171" s="1" t="n">
        <v>44799</v>
      </c>
      <c r="C5171" s="1" t="n">
        <v>45677</v>
      </c>
      <c r="D5171" t="inlineStr">
        <is>
          <t>GÄVLEBORGS LÄN</t>
        </is>
      </c>
      <c r="E5171" t="inlineStr">
        <is>
          <t>SANDVIKEN</t>
        </is>
      </c>
      <c r="G5171" t="n">
        <v>2.1</v>
      </c>
      <c r="H5171" t="n">
        <v>0</v>
      </c>
      <c r="I5171" t="n">
        <v>0</v>
      </c>
      <c r="J5171" t="n">
        <v>0</v>
      </c>
      <c r="K5171" t="n">
        <v>0</v>
      </c>
      <c r="L5171" t="n">
        <v>0</v>
      </c>
      <c r="M5171" t="n">
        <v>0</v>
      </c>
      <c r="N5171" t="n">
        <v>0</v>
      </c>
      <c r="O5171" t="n">
        <v>0</v>
      </c>
      <c r="P5171" t="n">
        <v>0</v>
      </c>
      <c r="Q5171" t="n">
        <v>0</v>
      </c>
      <c r="R5171" s="2" t="inlineStr"/>
      <c r="U5171">
        <f>HYPERLINK("https://klasma.github.io/Logging_2181/knärot/A 35523-2022 karta knärot.png", "A 35523-2022")</f>
        <v/>
      </c>
      <c r="V5171">
        <f>HYPERLINK("https://klasma.github.io/Logging_2181/klagomål/A 35523-2022 FSC-klagomål.docx", "A 35523-2022")</f>
        <v/>
      </c>
      <c r="W5171">
        <f>HYPERLINK("https://klasma.github.io/Logging_2181/klagomålsmail/A 35523-2022 FSC-klagomål mail.docx", "A 35523-2022")</f>
        <v/>
      </c>
      <c r="X5171">
        <f>HYPERLINK("https://klasma.github.io/Logging_2181/tillsyn/A 35523-2022 tillsynsbegäran.docx", "A 35523-2022")</f>
        <v/>
      </c>
      <c r="Y5171">
        <f>HYPERLINK("https://klasma.github.io/Logging_2181/tillsynsmail/A 35523-2022 tillsynsbegäran mail.docx", "A 35523-2022")</f>
        <v/>
      </c>
    </row>
    <row r="5172" ht="15" customHeight="1">
      <c r="A5172" t="inlineStr">
        <is>
          <t>A 35584-2022</t>
        </is>
      </c>
      <c r="B5172" s="1" t="n">
        <v>44799</v>
      </c>
      <c r="C5172" s="1" t="n">
        <v>45677</v>
      </c>
      <c r="D5172" t="inlineStr">
        <is>
          <t>GÄVLEBORGS LÄN</t>
        </is>
      </c>
      <c r="E5172" t="inlineStr">
        <is>
          <t>LJUSDAL</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35583-2022</t>
        </is>
      </c>
      <c r="B5173" s="1" t="n">
        <v>44799</v>
      </c>
      <c r="C5173" s="1" t="n">
        <v>45677</v>
      </c>
      <c r="D5173" t="inlineStr">
        <is>
          <t>GÄVLEBORGS LÄN</t>
        </is>
      </c>
      <c r="E5173" t="inlineStr">
        <is>
          <t>LJUSDAL</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35591-2022</t>
        </is>
      </c>
      <c r="B5174" s="1" t="n">
        <v>44799</v>
      </c>
      <c r="C5174" s="1" t="n">
        <v>45677</v>
      </c>
      <c r="D5174" t="inlineStr">
        <is>
          <t>GÄVLEBORGS LÄN</t>
        </is>
      </c>
      <c r="E5174" t="inlineStr">
        <is>
          <t>LJUSDAL</t>
        </is>
      </c>
      <c r="F5174" t="inlineStr">
        <is>
          <t>Sveaskog</t>
        </is>
      </c>
      <c r="G5174" t="n">
        <v>12.1</v>
      </c>
      <c r="H5174" t="n">
        <v>0</v>
      </c>
      <c r="I5174" t="n">
        <v>0</v>
      </c>
      <c r="J5174" t="n">
        <v>0</v>
      </c>
      <c r="K5174" t="n">
        <v>0</v>
      </c>
      <c r="L5174" t="n">
        <v>0</v>
      </c>
      <c r="M5174" t="n">
        <v>0</v>
      </c>
      <c r="N5174" t="n">
        <v>0</v>
      </c>
      <c r="O5174" t="n">
        <v>0</v>
      </c>
      <c r="P5174" t="n">
        <v>0</v>
      </c>
      <c r="Q5174" t="n">
        <v>0</v>
      </c>
      <c r="R5174" s="2" t="inlineStr"/>
    </row>
    <row r="5175" ht="15" customHeight="1">
      <c r="A5175" t="inlineStr">
        <is>
          <t>A 35737-2022</t>
        </is>
      </c>
      <c r="B5175" s="1" t="n">
        <v>44800</v>
      </c>
      <c r="C5175" s="1" t="n">
        <v>45677</v>
      </c>
      <c r="D5175" t="inlineStr">
        <is>
          <t>GÄVLEBORGS LÄN</t>
        </is>
      </c>
      <c r="E5175" t="inlineStr">
        <is>
          <t>OVANÅKER</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35734-2022</t>
        </is>
      </c>
      <c r="B5176" s="1" t="n">
        <v>44800</v>
      </c>
      <c r="C5176" s="1" t="n">
        <v>45677</v>
      </c>
      <c r="D5176" t="inlineStr">
        <is>
          <t>GÄVLEBORGS LÄN</t>
        </is>
      </c>
      <c r="E5176" t="inlineStr">
        <is>
          <t>LJUSDAL</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35738-2022</t>
        </is>
      </c>
      <c r="B5177" s="1" t="n">
        <v>44800</v>
      </c>
      <c r="C5177" s="1" t="n">
        <v>45677</v>
      </c>
      <c r="D5177" t="inlineStr">
        <is>
          <t>GÄVLEBORGS LÄN</t>
        </is>
      </c>
      <c r="E5177" t="inlineStr">
        <is>
          <t>OVANÅKER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35735-2022</t>
        </is>
      </c>
      <c r="B5178" s="1" t="n">
        <v>44799</v>
      </c>
      <c r="C5178" s="1" t="n">
        <v>45677</v>
      </c>
      <c r="D5178" t="inlineStr">
        <is>
          <t>GÄVLEBORGS LÄN</t>
        </is>
      </c>
      <c r="E5178" t="inlineStr">
        <is>
          <t>BOLLNÄS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35739-2022</t>
        </is>
      </c>
      <c r="B5179" s="1" t="n">
        <v>44799</v>
      </c>
      <c r="C5179" s="1" t="n">
        <v>45677</v>
      </c>
      <c r="D5179" t="inlineStr">
        <is>
          <t>GÄVLEBORGS LÄN</t>
        </is>
      </c>
      <c r="E5179" t="inlineStr">
        <is>
          <t>OVANÅKER</t>
        </is>
      </c>
      <c r="G5179" t="n">
        <v>4.6</v>
      </c>
      <c r="H5179" t="n">
        <v>0</v>
      </c>
      <c r="I5179" t="n">
        <v>0</v>
      </c>
      <c r="J5179" t="n">
        <v>0</v>
      </c>
      <c r="K5179" t="n">
        <v>0</v>
      </c>
      <c r="L5179" t="n">
        <v>0</v>
      </c>
      <c r="M5179" t="n">
        <v>0</v>
      </c>
      <c r="N5179" t="n">
        <v>0</v>
      </c>
      <c r="O5179" t="n">
        <v>0</v>
      </c>
      <c r="P5179" t="n">
        <v>0</v>
      </c>
      <c r="Q5179" t="n">
        <v>0</v>
      </c>
      <c r="R5179" s="2" t="inlineStr"/>
      <c r="U5179">
        <f>HYPERLINK("https://klasma.github.io/Logging_2121/knärot/A 35739-2022 karta knärot.png", "A 35739-2022")</f>
        <v/>
      </c>
      <c r="V5179">
        <f>HYPERLINK("https://klasma.github.io/Logging_2121/klagomål/A 35739-2022 FSC-klagomål.docx", "A 35739-2022")</f>
        <v/>
      </c>
      <c r="W5179">
        <f>HYPERLINK("https://klasma.github.io/Logging_2121/klagomålsmail/A 35739-2022 FSC-klagomål mail.docx", "A 35739-2022")</f>
        <v/>
      </c>
      <c r="X5179">
        <f>HYPERLINK("https://klasma.github.io/Logging_2121/tillsyn/A 35739-2022 tillsynsbegäran.docx", "A 35739-2022")</f>
        <v/>
      </c>
      <c r="Y5179">
        <f>HYPERLINK("https://klasma.github.io/Logging_2121/tillsynsmail/A 35739-2022 tillsynsbegäran mail.docx", "A 35739-2022")</f>
        <v/>
      </c>
    </row>
    <row r="5180" ht="15" customHeight="1">
      <c r="A5180" t="inlineStr">
        <is>
          <t>A 35736-2022</t>
        </is>
      </c>
      <c r="B5180" s="1" t="n">
        <v>44799</v>
      </c>
      <c r="C5180" s="1" t="n">
        <v>45677</v>
      </c>
      <c r="D5180" t="inlineStr">
        <is>
          <t>GÄVLEBORGS LÄN</t>
        </is>
      </c>
      <c r="E5180" t="inlineStr">
        <is>
          <t>BOLLNÄS</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35761-2022</t>
        </is>
      </c>
      <c r="B5181" s="1" t="n">
        <v>44800</v>
      </c>
      <c r="C5181" s="1" t="n">
        <v>45677</v>
      </c>
      <c r="D5181" t="inlineStr">
        <is>
          <t>GÄVLEBORGS LÄN</t>
        </is>
      </c>
      <c r="E5181" t="inlineStr">
        <is>
          <t>GÄVLE</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35846-2022</t>
        </is>
      </c>
      <c r="B5182" s="1" t="n">
        <v>44802</v>
      </c>
      <c r="C5182" s="1" t="n">
        <v>45677</v>
      </c>
      <c r="D5182" t="inlineStr">
        <is>
          <t>GÄVLEBORGS LÄN</t>
        </is>
      </c>
      <c r="E5182" t="inlineStr">
        <is>
          <t>OCKELBO</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35855-2022</t>
        </is>
      </c>
      <c r="B5183" s="1" t="n">
        <v>44802</v>
      </c>
      <c r="C5183" s="1" t="n">
        <v>45677</v>
      </c>
      <c r="D5183" t="inlineStr">
        <is>
          <t>GÄVLEBORGS LÄN</t>
        </is>
      </c>
      <c r="E5183" t="inlineStr">
        <is>
          <t>LJUSDAL</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35937-2022</t>
        </is>
      </c>
      <c r="B5184" s="1" t="n">
        <v>44802</v>
      </c>
      <c r="C5184" s="1" t="n">
        <v>45677</v>
      </c>
      <c r="D5184" t="inlineStr">
        <is>
          <t>GÄVLEBORGS LÄN</t>
        </is>
      </c>
      <c r="E5184" t="inlineStr">
        <is>
          <t>HUDIKSVALL</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35823-2022</t>
        </is>
      </c>
      <c r="B5185" s="1" t="n">
        <v>44802</v>
      </c>
      <c r="C5185" s="1" t="n">
        <v>45677</v>
      </c>
      <c r="D5185" t="inlineStr">
        <is>
          <t>GÄVLEBORGS LÄN</t>
        </is>
      </c>
      <c r="E5185" t="inlineStr">
        <is>
          <t>OVANÅKER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35890-2022</t>
        </is>
      </c>
      <c r="B5186" s="1" t="n">
        <v>44802</v>
      </c>
      <c r="C5186" s="1" t="n">
        <v>45677</v>
      </c>
      <c r="D5186" t="inlineStr">
        <is>
          <t>GÄVLEBORGS LÄN</t>
        </is>
      </c>
      <c r="E5186" t="inlineStr">
        <is>
          <t>LJUSDAL</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35991-2022</t>
        </is>
      </c>
      <c r="B5187" s="1" t="n">
        <v>44802</v>
      </c>
      <c r="C5187" s="1" t="n">
        <v>45677</v>
      </c>
      <c r="D5187" t="inlineStr">
        <is>
          <t>GÄVLEBORGS LÄN</t>
        </is>
      </c>
      <c r="E5187" t="inlineStr">
        <is>
          <t>GÄVLE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35941-2022</t>
        </is>
      </c>
      <c r="B5188" s="1" t="n">
        <v>44802</v>
      </c>
      <c r="C5188" s="1" t="n">
        <v>45677</v>
      </c>
      <c r="D5188" t="inlineStr">
        <is>
          <t>GÄVLEBORGS LÄN</t>
        </is>
      </c>
      <c r="E5188" t="inlineStr">
        <is>
          <t>BOLLNÄS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36160-2022</t>
        </is>
      </c>
      <c r="B5189" s="1" t="n">
        <v>44803</v>
      </c>
      <c r="C5189" s="1" t="n">
        <v>45677</v>
      </c>
      <c r="D5189" t="inlineStr">
        <is>
          <t>GÄVLEBORGS LÄN</t>
        </is>
      </c>
      <c r="E5189" t="inlineStr">
        <is>
          <t>HUDIKSVALL</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36196-2022</t>
        </is>
      </c>
      <c r="B5190" s="1" t="n">
        <v>44803</v>
      </c>
      <c r="C5190" s="1" t="n">
        <v>45677</v>
      </c>
      <c r="D5190" t="inlineStr">
        <is>
          <t>GÄVLEBORGS LÄN</t>
        </is>
      </c>
      <c r="E5190" t="inlineStr">
        <is>
          <t>LJUSDAL</t>
        </is>
      </c>
      <c r="G5190" t="n">
        <v>37.7</v>
      </c>
      <c r="H5190" t="n">
        <v>0</v>
      </c>
      <c r="I5190" t="n">
        <v>0</v>
      </c>
      <c r="J5190" t="n">
        <v>0</v>
      </c>
      <c r="K5190" t="n">
        <v>0</v>
      </c>
      <c r="L5190" t="n">
        <v>0</v>
      </c>
      <c r="M5190" t="n">
        <v>0</v>
      </c>
      <c r="N5190" t="n">
        <v>0</v>
      </c>
      <c r="O5190" t="n">
        <v>0</v>
      </c>
      <c r="P5190" t="n">
        <v>0</v>
      </c>
      <c r="Q5190" t="n">
        <v>0</v>
      </c>
      <c r="R5190" s="2" t="inlineStr"/>
    </row>
    <row r="5191" ht="15" customHeight="1">
      <c r="A5191" t="inlineStr">
        <is>
          <t>A 36229-2022</t>
        </is>
      </c>
      <c r="B5191" s="1" t="n">
        <v>44803</v>
      </c>
      <c r="C5191" s="1" t="n">
        <v>45677</v>
      </c>
      <c r="D5191" t="inlineStr">
        <is>
          <t>GÄVLEBORGS LÄN</t>
        </is>
      </c>
      <c r="E5191" t="inlineStr">
        <is>
          <t>LJUSDAL</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36236-2022</t>
        </is>
      </c>
      <c r="B5192" s="1" t="n">
        <v>44803</v>
      </c>
      <c r="C5192" s="1" t="n">
        <v>45677</v>
      </c>
      <c r="D5192" t="inlineStr">
        <is>
          <t>GÄVLEBORGS LÄN</t>
        </is>
      </c>
      <c r="E5192" t="inlineStr">
        <is>
          <t>HUDIKSVALL</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36233-2022</t>
        </is>
      </c>
      <c r="B5193" s="1" t="n">
        <v>44803</v>
      </c>
      <c r="C5193" s="1" t="n">
        <v>45677</v>
      </c>
      <c r="D5193" t="inlineStr">
        <is>
          <t>GÄVLEBORGS LÄN</t>
        </is>
      </c>
      <c r="E5193" t="inlineStr">
        <is>
          <t>LJUSDAL</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36466-2022</t>
        </is>
      </c>
      <c r="B5194" s="1" t="n">
        <v>44804</v>
      </c>
      <c r="C5194" s="1" t="n">
        <v>45677</v>
      </c>
      <c r="D5194" t="inlineStr">
        <is>
          <t>GÄVLEBORGS LÄN</t>
        </is>
      </c>
      <c r="E5194" t="inlineStr">
        <is>
          <t>LJUSDAL</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36478-2022</t>
        </is>
      </c>
      <c r="B5195" s="1" t="n">
        <v>44804</v>
      </c>
      <c r="C5195" s="1" t="n">
        <v>45677</v>
      </c>
      <c r="D5195" t="inlineStr">
        <is>
          <t>GÄVLEBORGS LÄN</t>
        </is>
      </c>
      <c r="E5195" t="inlineStr">
        <is>
          <t>NORDANSTIG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36576-2022</t>
        </is>
      </c>
      <c r="B5196" s="1" t="n">
        <v>44804</v>
      </c>
      <c r="C5196" s="1" t="n">
        <v>45677</v>
      </c>
      <c r="D5196" t="inlineStr">
        <is>
          <t>GÄVLEBORGS LÄN</t>
        </is>
      </c>
      <c r="E5196" t="inlineStr">
        <is>
          <t>OVANÅKER</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36638-2022</t>
        </is>
      </c>
      <c r="B5197" s="1" t="n">
        <v>44804</v>
      </c>
      <c r="C5197" s="1" t="n">
        <v>45677</v>
      </c>
      <c r="D5197" t="inlineStr">
        <is>
          <t>GÄVLEBORGS LÄN</t>
        </is>
      </c>
      <c r="E5197" t="inlineStr">
        <is>
          <t>GÄVLE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36470-2022</t>
        </is>
      </c>
      <c r="B5198" s="1" t="n">
        <v>44804</v>
      </c>
      <c r="C5198" s="1" t="n">
        <v>45677</v>
      </c>
      <c r="D5198" t="inlineStr">
        <is>
          <t>GÄVLEBORGS LÄN</t>
        </is>
      </c>
      <c r="E5198" t="inlineStr">
        <is>
          <t>LJUSDAL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36475-2022</t>
        </is>
      </c>
      <c r="B5199" s="1" t="n">
        <v>44804</v>
      </c>
      <c r="C5199" s="1" t="n">
        <v>45677</v>
      </c>
      <c r="D5199" t="inlineStr">
        <is>
          <t>GÄVLEBORGS LÄN</t>
        </is>
      </c>
      <c r="E5199" t="inlineStr">
        <is>
          <t>LJUSDAL</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36518-2022</t>
        </is>
      </c>
      <c r="B5200" s="1" t="n">
        <v>44804</v>
      </c>
      <c r="C5200" s="1" t="n">
        <v>45677</v>
      </c>
      <c r="D5200" t="inlineStr">
        <is>
          <t>GÄVLEBORGS LÄN</t>
        </is>
      </c>
      <c r="E5200" t="inlineStr">
        <is>
          <t>LJUSDAL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36433-2022</t>
        </is>
      </c>
      <c r="B5201" s="1" t="n">
        <v>44804</v>
      </c>
      <c r="C5201" s="1" t="n">
        <v>45677</v>
      </c>
      <c r="D5201" t="inlineStr">
        <is>
          <t>GÄVLEBORGS LÄN</t>
        </is>
      </c>
      <c r="E5201" t="inlineStr">
        <is>
          <t>GÄVLE</t>
        </is>
      </c>
      <c r="F5201" t="inlineStr">
        <is>
          <t>Bergvik skog öst AB</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36456-2022</t>
        </is>
      </c>
      <c r="B5202" s="1" t="n">
        <v>44804</v>
      </c>
      <c r="C5202" s="1" t="n">
        <v>45677</v>
      </c>
      <c r="D5202" t="inlineStr">
        <is>
          <t>GÄVLEBORGS LÄN</t>
        </is>
      </c>
      <c r="E5202" t="inlineStr">
        <is>
          <t>LJUSDAL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36516-2022</t>
        </is>
      </c>
      <c r="B5203" s="1" t="n">
        <v>44804</v>
      </c>
      <c r="C5203" s="1" t="n">
        <v>45677</v>
      </c>
      <c r="D5203" t="inlineStr">
        <is>
          <t>GÄVLEBORGS LÄN</t>
        </is>
      </c>
      <c r="E5203" t="inlineStr">
        <is>
          <t>HUDIKSVALL</t>
        </is>
      </c>
      <c r="F5203" t="inlineStr">
        <is>
          <t>Holmen skog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36563-2022</t>
        </is>
      </c>
      <c r="B5204" s="1" t="n">
        <v>44804</v>
      </c>
      <c r="C5204" s="1" t="n">
        <v>45677</v>
      </c>
      <c r="D5204" t="inlineStr">
        <is>
          <t>GÄVLEBORGS LÄN</t>
        </is>
      </c>
      <c r="E5204" t="inlineStr">
        <is>
          <t>LJUSDAL</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36521-2022</t>
        </is>
      </c>
      <c r="B5205" s="1" t="n">
        <v>44804</v>
      </c>
      <c r="C5205" s="1" t="n">
        <v>45677</v>
      </c>
      <c r="D5205" t="inlineStr">
        <is>
          <t>GÄVLEBORGS LÄN</t>
        </is>
      </c>
      <c r="E5205" t="inlineStr">
        <is>
          <t>OCKELBO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36646-2022</t>
        </is>
      </c>
      <c r="B5206" s="1" t="n">
        <v>44804</v>
      </c>
      <c r="C5206" s="1" t="n">
        <v>45677</v>
      </c>
      <c r="D5206" t="inlineStr">
        <is>
          <t>GÄVLEBORGS LÄN</t>
        </is>
      </c>
      <c r="E5206" t="inlineStr">
        <is>
          <t>SANDVIKEN</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36655-2022</t>
        </is>
      </c>
      <c r="B5207" s="1" t="n">
        <v>44804</v>
      </c>
      <c r="C5207" s="1" t="n">
        <v>45677</v>
      </c>
      <c r="D5207" t="inlineStr">
        <is>
          <t>GÄVLEBORGS LÄN</t>
        </is>
      </c>
      <c r="E5207" t="inlineStr">
        <is>
          <t>NORDANSTIG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36768-2022</t>
        </is>
      </c>
      <c r="B5208" s="1" t="n">
        <v>44805</v>
      </c>
      <c r="C5208" s="1" t="n">
        <v>45677</v>
      </c>
      <c r="D5208" t="inlineStr">
        <is>
          <t>GÄVLEBORGS LÄN</t>
        </is>
      </c>
      <c r="E5208" t="inlineStr">
        <is>
          <t>GÄVLE</t>
        </is>
      </c>
      <c r="F5208" t="inlineStr">
        <is>
          <t>Kyrkan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36779-2022</t>
        </is>
      </c>
      <c r="B5209" s="1" t="n">
        <v>44805</v>
      </c>
      <c r="C5209" s="1" t="n">
        <v>45677</v>
      </c>
      <c r="D5209" t="inlineStr">
        <is>
          <t>GÄVLEBORGS LÄN</t>
        </is>
      </c>
      <c r="E5209" t="inlineStr">
        <is>
          <t>OCKELBO</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36718-2022</t>
        </is>
      </c>
      <c r="B5210" s="1" t="n">
        <v>44805</v>
      </c>
      <c r="C5210" s="1" t="n">
        <v>45677</v>
      </c>
      <c r="D5210" t="inlineStr">
        <is>
          <t>GÄVLEBORGS LÄN</t>
        </is>
      </c>
      <c r="E5210" t="inlineStr">
        <is>
          <t>OVANÅKER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36851-2022</t>
        </is>
      </c>
      <c r="B5211" s="1" t="n">
        <v>44805</v>
      </c>
      <c r="C5211" s="1" t="n">
        <v>45677</v>
      </c>
      <c r="D5211" t="inlineStr">
        <is>
          <t>GÄVLEBORGS LÄN</t>
        </is>
      </c>
      <c r="E5211" t="inlineStr">
        <is>
          <t>OCKELBO</t>
        </is>
      </c>
      <c r="F5211" t="inlineStr">
        <is>
          <t>Bergvik skog väst AB</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36833-2022</t>
        </is>
      </c>
      <c r="B5212" s="1" t="n">
        <v>44805</v>
      </c>
      <c r="C5212" s="1" t="n">
        <v>45677</v>
      </c>
      <c r="D5212" t="inlineStr">
        <is>
          <t>GÄVLEBORGS LÄN</t>
        </is>
      </c>
      <c r="E5212" t="inlineStr">
        <is>
          <t>SANDVIKEN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36895-2022</t>
        </is>
      </c>
      <c r="B5213" s="1" t="n">
        <v>44805</v>
      </c>
      <c r="C5213" s="1" t="n">
        <v>45677</v>
      </c>
      <c r="D5213" t="inlineStr">
        <is>
          <t>GÄVLEBORGS LÄN</t>
        </is>
      </c>
      <c r="E5213" t="inlineStr">
        <is>
          <t>GÄVLE</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36882-2022</t>
        </is>
      </c>
      <c r="B5214" s="1" t="n">
        <v>44805</v>
      </c>
      <c r="C5214" s="1" t="n">
        <v>45677</v>
      </c>
      <c r="D5214" t="inlineStr">
        <is>
          <t>GÄVLEBORGS LÄN</t>
        </is>
      </c>
      <c r="E5214" t="inlineStr">
        <is>
          <t>HOFORS</t>
        </is>
      </c>
      <c r="F5214" t="inlineStr">
        <is>
          <t>Sveaskog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36912-2022</t>
        </is>
      </c>
      <c r="B5215" s="1" t="n">
        <v>44805</v>
      </c>
      <c r="C5215" s="1" t="n">
        <v>45677</v>
      </c>
      <c r="D5215" t="inlineStr">
        <is>
          <t>GÄVLEBORGS LÄN</t>
        </is>
      </c>
      <c r="E5215" t="inlineStr">
        <is>
          <t>HUDIKSVALL</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36920-2022</t>
        </is>
      </c>
      <c r="B5216" s="1" t="n">
        <v>44805</v>
      </c>
      <c r="C5216" s="1" t="n">
        <v>45677</v>
      </c>
      <c r="D5216" t="inlineStr">
        <is>
          <t>GÄVLEBORGS LÄN</t>
        </is>
      </c>
      <c r="E5216" t="inlineStr">
        <is>
          <t>SÖDERHAMN</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36877-2022</t>
        </is>
      </c>
      <c r="B5217" s="1" t="n">
        <v>44805</v>
      </c>
      <c r="C5217" s="1" t="n">
        <v>45677</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36979-2022</t>
        </is>
      </c>
      <c r="B5218" s="1" t="n">
        <v>44806</v>
      </c>
      <c r="C5218" s="1" t="n">
        <v>45677</v>
      </c>
      <c r="D5218" t="inlineStr">
        <is>
          <t>GÄVLEBORGS LÄN</t>
        </is>
      </c>
      <c r="E5218" t="inlineStr">
        <is>
          <t>HUDIKSVALL</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37005-2022</t>
        </is>
      </c>
      <c r="B5219" s="1" t="n">
        <v>44806</v>
      </c>
      <c r="C5219" s="1" t="n">
        <v>45677</v>
      </c>
      <c r="D5219" t="inlineStr">
        <is>
          <t>GÄVLEBORGS LÄN</t>
        </is>
      </c>
      <c r="E5219" t="inlineStr">
        <is>
          <t>NORDANSTIG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37020-2022</t>
        </is>
      </c>
      <c r="B5220" s="1" t="n">
        <v>44806</v>
      </c>
      <c r="C5220" s="1" t="n">
        <v>45677</v>
      </c>
      <c r="D5220" t="inlineStr">
        <is>
          <t>GÄVLEBORGS LÄN</t>
        </is>
      </c>
      <c r="E5220" t="inlineStr">
        <is>
          <t>NORDANSTIG</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36974-2022</t>
        </is>
      </c>
      <c r="B5221" s="1" t="n">
        <v>44806</v>
      </c>
      <c r="C5221" s="1" t="n">
        <v>45677</v>
      </c>
      <c r="D5221" t="inlineStr">
        <is>
          <t>GÄVLEBORGS LÄN</t>
        </is>
      </c>
      <c r="E5221" t="inlineStr">
        <is>
          <t>NORDANSTIG</t>
        </is>
      </c>
      <c r="F5221" t="inlineStr">
        <is>
          <t>Holmen skog AB</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36981-2022</t>
        </is>
      </c>
      <c r="B5222" s="1" t="n">
        <v>44806</v>
      </c>
      <c r="C5222" s="1" t="n">
        <v>45677</v>
      </c>
      <c r="D5222" t="inlineStr">
        <is>
          <t>GÄVLEBORGS LÄN</t>
        </is>
      </c>
      <c r="E5222" t="inlineStr">
        <is>
          <t>BOLLNÄS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37134-2022</t>
        </is>
      </c>
      <c r="B5223" s="1" t="n">
        <v>44806</v>
      </c>
      <c r="C5223" s="1" t="n">
        <v>45677</v>
      </c>
      <c r="D5223" t="inlineStr">
        <is>
          <t>GÄVLEBORGS LÄN</t>
        </is>
      </c>
      <c r="E5223" t="inlineStr">
        <is>
          <t>NORDANSTIG</t>
        </is>
      </c>
      <c r="F5223" t="inlineStr">
        <is>
          <t>Holmen skog AB</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37060-2022</t>
        </is>
      </c>
      <c r="B5224" s="1" t="n">
        <v>44806</v>
      </c>
      <c r="C5224" s="1" t="n">
        <v>45677</v>
      </c>
      <c r="D5224" t="inlineStr">
        <is>
          <t>GÄVLEBORGS LÄN</t>
        </is>
      </c>
      <c r="E5224" t="inlineStr">
        <is>
          <t>BOLLNÄS</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37071-2022</t>
        </is>
      </c>
      <c r="B5225" s="1" t="n">
        <v>44806</v>
      </c>
      <c r="C5225" s="1" t="n">
        <v>45677</v>
      </c>
      <c r="D5225" t="inlineStr">
        <is>
          <t>GÄVLEBORGS LÄN</t>
        </is>
      </c>
      <c r="E5225" t="inlineStr">
        <is>
          <t>BOLLNÄS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37317-2022</t>
        </is>
      </c>
      <c r="B5226" s="1" t="n">
        <v>44806</v>
      </c>
      <c r="C5226" s="1" t="n">
        <v>45677</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37303-2022</t>
        </is>
      </c>
      <c r="B5227" s="1" t="n">
        <v>44809</v>
      </c>
      <c r="C5227" s="1" t="n">
        <v>45677</v>
      </c>
      <c r="D5227" t="inlineStr">
        <is>
          <t>GÄVLEBORGS LÄN</t>
        </is>
      </c>
      <c r="E5227" t="inlineStr">
        <is>
          <t>LJUSDAL</t>
        </is>
      </c>
      <c r="G5227" t="n">
        <v>8.6</v>
      </c>
      <c r="H5227" t="n">
        <v>0</v>
      </c>
      <c r="I5227" t="n">
        <v>0</v>
      </c>
      <c r="J5227" t="n">
        <v>0</v>
      </c>
      <c r="K5227" t="n">
        <v>0</v>
      </c>
      <c r="L5227" t="n">
        <v>0</v>
      </c>
      <c r="M5227" t="n">
        <v>0</v>
      </c>
      <c r="N5227" t="n">
        <v>0</v>
      </c>
      <c r="O5227" t="n">
        <v>0</v>
      </c>
      <c r="P5227" t="n">
        <v>0</v>
      </c>
      <c r="Q5227" t="n">
        <v>0</v>
      </c>
      <c r="R5227" s="2" t="inlineStr"/>
    </row>
    <row r="5228" ht="15" customHeight="1">
      <c r="A5228" t="inlineStr">
        <is>
          <t>A 37295-2022</t>
        </is>
      </c>
      <c r="B5228" s="1" t="n">
        <v>44808</v>
      </c>
      <c r="C5228" s="1" t="n">
        <v>45677</v>
      </c>
      <c r="D5228" t="inlineStr">
        <is>
          <t>GÄVLEBORGS LÄN</t>
        </is>
      </c>
      <c r="E5228" t="inlineStr">
        <is>
          <t>NORDANSTIG</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37343-2022</t>
        </is>
      </c>
      <c r="B5229" s="1" t="n">
        <v>44809</v>
      </c>
      <c r="C5229" s="1" t="n">
        <v>45677</v>
      </c>
      <c r="D5229" t="inlineStr">
        <is>
          <t>GÄVLEBORGS LÄN</t>
        </is>
      </c>
      <c r="E5229" t="inlineStr">
        <is>
          <t>LJUSDAL</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37345-2022</t>
        </is>
      </c>
      <c r="B5230" s="1" t="n">
        <v>44809</v>
      </c>
      <c r="C5230" s="1" t="n">
        <v>45677</v>
      </c>
      <c r="D5230" t="inlineStr">
        <is>
          <t>GÄVLEBORGS LÄN</t>
        </is>
      </c>
      <c r="E5230" t="inlineStr">
        <is>
          <t>LJUSDAL</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37402-2022</t>
        </is>
      </c>
      <c r="B5231" s="1" t="n">
        <v>44809</v>
      </c>
      <c r="C5231" s="1" t="n">
        <v>45677</v>
      </c>
      <c r="D5231" t="inlineStr">
        <is>
          <t>GÄVLEBORGS LÄN</t>
        </is>
      </c>
      <c r="E5231" t="inlineStr">
        <is>
          <t>HUDIKSVALL</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37638-2022</t>
        </is>
      </c>
      <c r="B5232" s="1" t="n">
        <v>44810</v>
      </c>
      <c r="C5232" s="1" t="n">
        <v>45677</v>
      </c>
      <c r="D5232" t="inlineStr">
        <is>
          <t>GÄVLEBORGS LÄN</t>
        </is>
      </c>
      <c r="E5232" t="inlineStr">
        <is>
          <t>HUDIKSVALL</t>
        </is>
      </c>
      <c r="F5232" t="inlineStr">
        <is>
          <t>Holmen skog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37680-2022</t>
        </is>
      </c>
      <c r="B5233" s="1" t="n">
        <v>44810</v>
      </c>
      <c r="C5233" s="1" t="n">
        <v>45677</v>
      </c>
      <c r="D5233" t="inlineStr">
        <is>
          <t>GÄVLEBORGS LÄN</t>
        </is>
      </c>
      <c r="E5233" t="inlineStr">
        <is>
          <t>HOFORS</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37743-2022</t>
        </is>
      </c>
      <c r="B5234" s="1" t="n">
        <v>44810</v>
      </c>
      <c r="C5234" s="1" t="n">
        <v>45677</v>
      </c>
      <c r="D5234" t="inlineStr">
        <is>
          <t>GÄVLEBORGS LÄN</t>
        </is>
      </c>
      <c r="E5234" t="inlineStr">
        <is>
          <t>HOFORS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37640-2022</t>
        </is>
      </c>
      <c r="B5235" s="1" t="n">
        <v>44810</v>
      </c>
      <c r="C5235" s="1" t="n">
        <v>45677</v>
      </c>
      <c r="D5235" t="inlineStr">
        <is>
          <t>GÄVLEBORGS LÄN</t>
        </is>
      </c>
      <c r="E5235" t="inlineStr">
        <is>
          <t>SÖDERHAMN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37681-2022</t>
        </is>
      </c>
      <c r="B5236" s="1" t="n">
        <v>44810</v>
      </c>
      <c r="C5236" s="1" t="n">
        <v>45677</v>
      </c>
      <c r="D5236" t="inlineStr">
        <is>
          <t>GÄVLEBORGS LÄN</t>
        </is>
      </c>
      <c r="E5236" t="inlineStr">
        <is>
          <t>HUDIKSVALL</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37632-2022</t>
        </is>
      </c>
      <c r="B5237" s="1" t="n">
        <v>44810</v>
      </c>
      <c r="C5237" s="1" t="n">
        <v>45677</v>
      </c>
      <c r="D5237" t="inlineStr">
        <is>
          <t>GÄVLEBORGS LÄN</t>
        </is>
      </c>
      <c r="E5237" t="inlineStr">
        <is>
          <t>BOLLNÄS</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37697-2022</t>
        </is>
      </c>
      <c r="B5238" s="1" t="n">
        <v>44810</v>
      </c>
      <c r="C5238" s="1" t="n">
        <v>45677</v>
      </c>
      <c r="D5238" t="inlineStr">
        <is>
          <t>GÄVLEBORGS LÄN</t>
        </is>
      </c>
      <c r="E5238" t="inlineStr">
        <is>
          <t>SANDVIKEN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37767-2022</t>
        </is>
      </c>
      <c r="B5239" s="1" t="n">
        <v>44810</v>
      </c>
      <c r="C5239" s="1" t="n">
        <v>45677</v>
      </c>
      <c r="D5239" t="inlineStr">
        <is>
          <t>GÄVLEBORGS LÄN</t>
        </is>
      </c>
      <c r="E5239" t="inlineStr">
        <is>
          <t>HOFORS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37775-2022</t>
        </is>
      </c>
      <c r="B5240" s="1" t="n">
        <v>44810</v>
      </c>
      <c r="C5240" s="1" t="n">
        <v>45677</v>
      </c>
      <c r="D5240" t="inlineStr">
        <is>
          <t>GÄVLEBORGS LÄN</t>
        </is>
      </c>
      <c r="E5240" t="inlineStr">
        <is>
          <t>GÄVLE</t>
        </is>
      </c>
      <c r="F5240" t="inlineStr">
        <is>
          <t>Bergvik skog väst AB</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37795-2022</t>
        </is>
      </c>
      <c r="B5241" s="1" t="n">
        <v>44810</v>
      </c>
      <c r="C5241" s="1" t="n">
        <v>45677</v>
      </c>
      <c r="D5241" t="inlineStr">
        <is>
          <t>GÄVLEBORGS LÄN</t>
        </is>
      </c>
      <c r="E5241" t="inlineStr">
        <is>
          <t>GÄVLE</t>
        </is>
      </c>
      <c r="F5241" t="inlineStr">
        <is>
          <t>Bergvik skog väst AB</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37801-2022</t>
        </is>
      </c>
      <c r="B5242" s="1" t="n">
        <v>44810</v>
      </c>
      <c r="C5242" s="1" t="n">
        <v>45677</v>
      </c>
      <c r="D5242" t="inlineStr">
        <is>
          <t>GÄVLEBORGS LÄN</t>
        </is>
      </c>
      <c r="E5242" t="inlineStr">
        <is>
          <t>GÄVLE</t>
        </is>
      </c>
      <c r="F5242" t="inlineStr">
        <is>
          <t>Bergvik skog väst AB</t>
        </is>
      </c>
      <c r="G5242" t="n">
        <v>25.5</v>
      </c>
      <c r="H5242" t="n">
        <v>0</v>
      </c>
      <c r="I5242" t="n">
        <v>0</v>
      </c>
      <c r="J5242" t="n">
        <v>0</v>
      </c>
      <c r="K5242" t="n">
        <v>0</v>
      </c>
      <c r="L5242" t="n">
        <v>0</v>
      </c>
      <c r="M5242" t="n">
        <v>0</v>
      </c>
      <c r="N5242" t="n">
        <v>0</v>
      </c>
      <c r="O5242" t="n">
        <v>0</v>
      </c>
      <c r="P5242" t="n">
        <v>0</v>
      </c>
      <c r="Q5242" t="n">
        <v>0</v>
      </c>
      <c r="R5242" s="2" t="inlineStr"/>
    </row>
    <row r="5243" ht="15" customHeight="1">
      <c r="A5243" t="inlineStr">
        <is>
          <t>A 37792-2022</t>
        </is>
      </c>
      <c r="B5243" s="1" t="n">
        <v>44810</v>
      </c>
      <c r="C5243" s="1" t="n">
        <v>45677</v>
      </c>
      <c r="D5243" t="inlineStr">
        <is>
          <t>GÄVLEBORGS LÄN</t>
        </is>
      </c>
      <c r="E5243" t="inlineStr">
        <is>
          <t>LJUSDAL</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37744-2022</t>
        </is>
      </c>
      <c r="B5244" s="1" t="n">
        <v>44810</v>
      </c>
      <c r="C5244" s="1" t="n">
        <v>45677</v>
      </c>
      <c r="D5244" t="inlineStr">
        <is>
          <t>GÄVLEBORGS LÄN</t>
        </is>
      </c>
      <c r="E5244" t="inlineStr">
        <is>
          <t>HOFORS</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37925-2022</t>
        </is>
      </c>
      <c r="B5245" s="1" t="n">
        <v>44811</v>
      </c>
      <c r="C5245" s="1" t="n">
        <v>45677</v>
      </c>
      <c r="D5245" t="inlineStr">
        <is>
          <t>GÄVLEBORGS LÄN</t>
        </is>
      </c>
      <c r="E5245" t="inlineStr">
        <is>
          <t>OVANÅKER</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37931-2022</t>
        </is>
      </c>
      <c r="B5246" s="1" t="n">
        <v>44811</v>
      </c>
      <c r="C5246" s="1" t="n">
        <v>45677</v>
      </c>
      <c r="D5246" t="inlineStr">
        <is>
          <t>GÄVLEBORGS LÄN</t>
        </is>
      </c>
      <c r="E5246" t="inlineStr">
        <is>
          <t>HUDIKSVALL</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37965-2022</t>
        </is>
      </c>
      <c r="B5247" s="1" t="n">
        <v>44811</v>
      </c>
      <c r="C5247" s="1" t="n">
        <v>45677</v>
      </c>
      <c r="D5247" t="inlineStr">
        <is>
          <t>GÄVLEBORGS LÄN</t>
        </is>
      </c>
      <c r="E5247" t="inlineStr">
        <is>
          <t>NORDANSTIG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37972-2022</t>
        </is>
      </c>
      <c r="B5248" s="1" t="n">
        <v>44811</v>
      </c>
      <c r="C5248" s="1" t="n">
        <v>45677</v>
      </c>
      <c r="D5248" t="inlineStr">
        <is>
          <t>GÄVLEBORGS LÄN</t>
        </is>
      </c>
      <c r="E5248" t="inlineStr">
        <is>
          <t>NORDANSTIG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37986-2022</t>
        </is>
      </c>
      <c r="B5249" s="1" t="n">
        <v>44811</v>
      </c>
      <c r="C5249" s="1" t="n">
        <v>45677</v>
      </c>
      <c r="D5249" t="inlineStr">
        <is>
          <t>GÄVLEBORGS LÄN</t>
        </is>
      </c>
      <c r="E5249" t="inlineStr">
        <is>
          <t>NORDANSTIG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37995-2022</t>
        </is>
      </c>
      <c r="B5250" s="1" t="n">
        <v>44811</v>
      </c>
      <c r="C5250" s="1" t="n">
        <v>45677</v>
      </c>
      <c r="D5250" t="inlineStr">
        <is>
          <t>GÄVLEBORGS LÄN</t>
        </is>
      </c>
      <c r="E5250" t="inlineStr">
        <is>
          <t>LJUSDAL</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38185-2022</t>
        </is>
      </c>
      <c r="B5251" s="1" t="n">
        <v>44812</v>
      </c>
      <c r="C5251" s="1" t="n">
        <v>45677</v>
      </c>
      <c r="D5251" t="inlineStr">
        <is>
          <t>GÄVLEBORGS LÄN</t>
        </is>
      </c>
      <c r="E5251" t="inlineStr">
        <is>
          <t>HUDIKSVALL</t>
        </is>
      </c>
      <c r="F5251" t="inlineStr">
        <is>
          <t>Holmen skog AB</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38175-2022</t>
        </is>
      </c>
      <c r="B5252" s="1" t="n">
        <v>44812</v>
      </c>
      <c r="C5252" s="1" t="n">
        <v>45677</v>
      </c>
      <c r="D5252" t="inlineStr">
        <is>
          <t>GÄVLEBORGS LÄN</t>
        </is>
      </c>
      <c r="E5252" t="inlineStr">
        <is>
          <t>SANDVIKEN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38251-2022</t>
        </is>
      </c>
      <c r="B5253" s="1" t="n">
        <v>44812</v>
      </c>
      <c r="C5253" s="1" t="n">
        <v>45677</v>
      </c>
      <c r="D5253" t="inlineStr">
        <is>
          <t>GÄVLEBORGS LÄN</t>
        </is>
      </c>
      <c r="E5253" t="inlineStr">
        <is>
          <t>HOFORS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38296-2022</t>
        </is>
      </c>
      <c r="B5254" s="1" t="n">
        <v>44812</v>
      </c>
      <c r="C5254" s="1" t="n">
        <v>45677</v>
      </c>
      <c r="D5254" t="inlineStr">
        <is>
          <t>GÄVLEBORGS LÄN</t>
        </is>
      </c>
      <c r="E5254" t="inlineStr">
        <is>
          <t>HUDIKSVALL</t>
        </is>
      </c>
      <c r="F5254" t="inlineStr">
        <is>
          <t>Holmen skog AB</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38315-2022</t>
        </is>
      </c>
      <c r="B5255" s="1" t="n">
        <v>44812</v>
      </c>
      <c r="C5255" s="1" t="n">
        <v>45677</v>
      </c>
      <c r="D5255" t="inlineStr">
        <is>
          <t>GÄVLEBORGS LÄN</t>
        </is>
      </c>
      <c r="E5255" t="inlineStr">
        <is>
          <t>OCKELBO</t>
        </is>
      </c>
      <c r="F5255" t="inlineStr">
        <is>
          <t>Bergvik skog väst AB</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38355-2022</t>
        </is>
      </c>
      <c r="B5256" s="1" t="n">
        <v>44812</v>
      </c>
      <c r="C5256" s="1" t="n">
        <v>45677</v>
      </c>
      <c r="D5256" t="inlineStr">
        <is>
          <t>GÄVLEBORGS LÄN</t>
        </is>
      </c>
      <c r="E5256" t="inlineStr">
        <is>
          <t>SÖDERHAMN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38332-2022</t>
        </is>
      </c>
      <c r="B5257" s="1" t="n">
        <v>44812</v>
      </c>
      <c r="C5257" s="1" t="n">
        <v>45677</v>
      </c>
      <c r="D5257" t="inlineStr">
        <is>
          <t>GÄVLEBORGS LÄN</t>
        </is>
      </c>
      <c r="E5257" t="inlineStr">
        <is>
          <t>LJUSDAL</t>
        </is>
      </c>
      <c r="F5257" t="inlineStr">
        <is>
          <t>Allmännings- och besparingsskogar</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38345-2022</t>
        </is>
      </c>
      <c r="B5258" s="1" t="n">
        <v>44812</v>
      </c>
      <c r="C5258" s="1" t="n">
        <v>45677</v>
      </c>
      <c r="D5258" t="inlineStr">
        <is>
          <t>GÄVLEBORGS LÄN</t>
        </is>
      </c>
      <c r="E5258" t="inlineStr">
        <is>
          <t>NORDANSTIG</t>
        </is>
      </c>
      <c r="F5258" t="inlineStr">
        <is>
          <t>Holmen skog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38252-2022</t>
        </is>
      </c>
      <c r="B5259" s="1" t="n">
        <v>44812</v>
      </c>
      <c r="C5259" s="1" t="n">
        <v>45677</v>
      </c>
      <c r="D5259" t="inlineStr">
        <is>
          <t>GÄVLEBORGS LÄN</t>
        </is>
      </c>
      <c r="E5259" t="inlineStr">
        <is>
          <t>NORDANSTIG</t>
        </is>
      </c>
      <c r="F5259" t="inlineStr">
        <is>
          <t>Holmen skog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38324-2022</t>
        </is>
      </c>
      <c r="B5260" s="1" t="n">
        <v>44812</v>
      </c>
      <c r="C5260" s="1" t="n">
        <v>45677</v>
      </c>
      <c r="D5260" t="inlineStr">
        <is>
          <t>GÄVLEBORGS LÄN</t>
        </is>
      </c>
      <c r="E5260" t="inlineStr">
        <is>
          <t>OVANÅKER</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38328-2022</t>
        </is>
      </c>
      <c r="B5261" s="1" t="n">
        <v>44812</v>
      </c>
      <c r="C5261" s="1" t="n">
        <v>45677</v>
      </c>
      <c r="D5261" t="inlineStr">
        <is>
          <t>GÄVLEBORGS LÄN</t>
        </is>
      </c>
      <c r="E5261" t="inlineStr">
        <is>
          <t>OCKELBO</t>
        </is>
      </c>
      <c r="F5261" t="inlineStr">
        <is>
          <t>Bergvik skog väst AB</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38341-2022</t>
        </is>
      </c>
      <c r="B5262" s="1" t="n">
        <v>44812</v>
      </c>
      <c r="C5262" s="1" t="n">
        <v>45677</v>
      </c>
      <c r="D5262" t="inlineStr">
        <is>
          <t>GÄVLEBORGS LÄN</t>
        </is>
      </c>
      <c r="E5262" t="inlineStr">
        <is>
          <t>HUDIKSVALL</t>
        </is>
      </c>
      <c r="F5262" t="inlineStr">
        <is>
          <t>Holmen skog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38348-2022</t>
        </is>
      </c>
      <c r="B5263" s="1" t="n">
        <v>44812</v>
      </c>
      <c r="C5263" s="1" t="n">
        <v>45677</v>
      </c>
      <c r="D5263" t="inlineStr">
        <is>
          <t>GÄVLEBORGS LÄN</t>
        </is>
      </c>
      <c r="E5263" t="inlineStr">
        <is>
          <t>NORDANSTIG</t>
        </is>
      </c>
      <c r="F5263" t="inlineStr">
        <is>
          <t>Holmen skog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38480-2022</t>
        </is>
      </c>
      <c r="B5264" s="1" t="n">
        <v>44813</v>
      </c>
      <c r="C5264" s="1" t="n">
        <v>45677</v>
      </c>
      <c r="D5264" t="inlineStr">
        <is>
          <t>GÄVLEBORGS LÄN</t>
        </is>
      </c>
      <c r="E5264" t="inlineStr">
        <is>
          <t>HUDIKSVALL</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38566-2022</t>
        </is>
      </c>
      <c r="B5265" s="1" t="n">
        <v>44813</v>
      </c>
      <c r="C5265" s="1" t="n">
        <v>45677</v>
      </c>
      <c r="D5265" t="inlineStr">
        <is>
          <t>GÄVLEBORGS LÄN</t>
        </is>
      </c>
      <c r="E5265" t="inlineStr">
        <is>
          <t>GÄVLE</t>
        </is>
      </c>
      <c r="F5265" t="inlineStr">
        <is>
          <t>Bergvik skog öst AB</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38479-2022</t>
        </is>
      </c>
      <c r="B5266" s="1" t="n">
        <v>44813</v>
      </c>
      <c r="C5266" s="1" t="n">
        <v>45677</v>
      </c>
      <c r="D5266" t="inlineStr">
        <is>
          <t>GÄVLEBORGS LÄN</t>
        </is>
      </c>
      <c r="E5266" t="inlineStr">
        <is>
          <t>LJUSDAL</t>
        </is>
      </c>
      <c r="F5266" t="inlineStr">
        <is>
          <t>Bergvik skog väst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38540-2022</t>
        </is>
      </c>
      <c r="B5267" s="1" t="n">
        <v>44813</v>
      </c>
      <c r="C5267" s="1" t="n">
        <v>45677</v>
      </c>
      <c r="D5267" t="inlineStr">
        <is>
          <t>GÄVLEBORGS LÄN</t>
        </is>
      </c>
      <c r="E5267" t="inlineStr">
        <is>
          <t>LJUSDAL</t>
        </is>
      </c>
      <c r="F5267" t="inlineStr">
        <is>
          <t>Allmännings- och besparingsskogar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38447-2022</t>
        </is>
      </c>
      <c r="B5268" s="1" t="n">
        <v>44813</v>
      </c>
      <c r="C5268" s="1" t="n">
        <v>45677</v>
      </c>
      <c r="D5268" t="inlineStr">
        <is>
          <t>GÄVLEBORGS LÄN</t>
        </is>
      </c>
      <c r="E5268" t="inlineStr">
        <is>
          <t>GÄVLE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38499-2022</t>
        </is>
      </c>
      <c r="B5269" s="1" t="n">
        <v>44813</v>
      </c>
      <c r="C5269" s="1" t="n">
        <v>45677</v>
      </c>
      <c r="D5269" t="inlineStr">
        <is>
          <t>GÄVLEBORGS LÄN</t>
        </is>
      </c>
      <c r="E5269" t="inlineStr">
        <is>
          <t>LJUSDAL</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38548-2022</t>
        </is>
      </c>
      <c r="B5270" s="1" t="n">
        <v>44813</v>
      </c>
      <c r="C5270" s="1" t="n">
        <v>45677</v>
      </c>
      <c r="D5270" t="inlineStr">
        <is>
          <t>GÄVLEBORGS LÄN</t>
        </is>
      </c>
      <c r="E5270" t="inlineStr">
        <is>
          <t>SÖDERHAMN</t>
        </is>
      </c>
      <c r="F5270" t="inlineStr">
        <is>
          <t>Kyrkan</t>
        </is>
      </c>
      <c r="G5270" t="n">
        <v>24.4</v>
      </c>
      <c r="H5270" t="n">
        <v>0</v>
      </c>
      <c r="I5270" t="n">
        <v>0</v>
      </c>
      <c r="J5270" t="n">
        <v>0</v>
      </c>
      <c r="K5270" t="n">
        <v>0</v>
      </c>
      <c r="L5270" t="n">
        <v>0</v>
      </c>
      <c r="M5270" t="n">
        <v>0</v>
      </c>
      <c r="N5270" t="n">
        <v>0</v>
      </c>
      <c r="O5270" t="n">
        <v>0</v>
      </c>
      <c r="P5270" t="n">
        <v>0</v>
      </c>
      <c r="Q5270" t="n">
        <v>0</v>
      </c>
      <c r="R5270" s="2" t="inlineStr"/>
    </row>
    <row r="5271" ht="15" customHeight="1">
      <c r="A5271" t="inlineStr">
        <is>
          <t>A 38575-2022</t>
        </is>
      </c>
      <c r="B5271" s="1" t="n">
        <v>44813</v>
      </c>
      <c r="C5271" s="1" t="n">
        <v>45677</v>
      </c>
      <c r="D5271" t="inlineStr">
        <is>
          <t>GÄVLEBORGS LÄN</t>
        </is>
      </c>
      <c r="E5271" t="inlineStr">
        <is>
          <t>LJUSDAL</t>
        </is>
      </c>
      <c r="F5271" t="inlineStr">
        <is>
          <t>Allmännings- och besparingsskogar</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38594-2022</t>
        </is>
      </c>
      <c r="B5272" s="1" t="n">
        <v>44813</v>
      </c>
      <c r="C5272" s="1" t="n">
        <v>45677</v>
      </c>
      <c r="D5272" t="inlineStr">
        <is>
          <t>GÄVLEBORGS LÄN</t>
        </is>
      </c>
      <c r="E5272" t="inlineStr">
        <is>
          <t>LJUSDAL</t>
        </is>
      </c>
      <c r="F5272" t="inlineStr">
        <is>
          <t>Bergvik skog väst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38598-2022</t>
        </is>
      </c>
      <c r="B5273" s="1" t="n">
        <v>44813</v>
      </c>
      <c r="C5273" s="1" t="n">
        <v>45677</v>
      </c>
      <c r="D5273" t="inlineStr">
        <is>
          <t>GÄVLEBORGS LÄN</t>
        </is>
      </c>
      <c r="E5273" t="inlineStr">
        <is>
          <t>LJUSDAL</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38603-2022</t>
        </is>
      </c>
      <c r="B5274" s="1" t="n">
        <v>44813</v>
      </c>
      <c r="C5274" s="1" t="n">
        <v>45677</v>
      </c>
      <c r="D5274" t="inlineStr">
        <is>
          <t>GÄVLEBORGS LÄN</t>
        </is>
      </c>
      <c r="E5274" t="inlineStr">
        <is>
          <t>NORDANSTIG</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38609-2022</t>
        </is>
      </c>
      <c r="B5275" s="1" t="n">
        <v>44813</v>
      </c>
      <c r="C5275" s="1" t="n">
        <v>45677</v>
      </c>
      <c r="D5275" t="inlineStr">
        <is>
          <t>GÄVLEBORGS LÄN</t>
        </is>
      </c>
      <c r="E5275" t="inlineStr">
        <is>
          <t>SANDVIKEN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38596-2022</t>
        </is>
      </c>
      <c r="B5276" s="1" t="n">
        <v>44813</v>
      </c>
      <c r="C5276" s="1" t="n">
        <v>45677</v>
      </c>
      <c r="D5276" t="inlineStr">
        <is>
          <t>GÄVLEBORGS LÄN</t>
        </is>
      </c>
      <c r="E5276" t="inlineStr">
        <is>
          <t>LJUSDAL</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38601-2022</t>
        </is>
      </c>
      <c r="B5277" s="1" t="n">
        <v>44813</v>
      </c>
      <c r="C5277" s="1" t="n">
        <v>45677</v>
      </c>
      <c r="D5277" t="inlineStr">
        <is>
          <t>GÄVLEBORGS LÄN</t>
        </is>
      </c>
      <c r="E5277" t="inlineStr">
        <is>
          <t>NORDANSTIG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38806-2022</t>
        </is>
      </c>
      <c r="B5278" s="1" t="n">
        <v>44816</v>
      </c>
      <c r="C5278" s="1" t="n">
        <v>45677</v>
      </c>
      <c r="D5278" t="inlineStr">
        <is>
          <t>GÄVLEBORGS LÄN</t>
        </is>
      </c>
      <c r="E5278" t="inlineStr">
        <is>
          <t>NORDANSTIG</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38815-2022</t>
        </is>
      </c>
      <c r="B5279" s="1" t="n">
        <v>44816</v>
      </c>
      <c r="C5279" s="1" t="n">
        <v>45677</v>
      </c>
      <c r="D5279" t="inlineStr">
        <is>
          <t>GÄVLEBORGS LÄN</t>
        </is>
      </c>
      <c r="E5279" t="inlineStr">
        <is>
          <t>HOFORS</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38867-2022</t>
        </is>
      </c>
      <c r="B5280" s="1" t="n">
        <v>44816</v>
      </c>
      <c r="C5280" s="1" t="n">
        <v>45677</v>
      </c>
      <c r="D5280" t="inlineStr">
        <is>
          <t>GÄVLEBORGS LÄN</t>
        </is>
      </c>
      <c r="E5280" t="inlineStr">
        <is>
          <t>BOLLNÄS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38883-2022</t>
        </is>
      </c>
      <c r="B5281" s="1" t="n">
        <v>44816</v>
      </c>
      <c r="C5281" s="1" t="n">
        <v>45677</v>
      </c>
      <c r="D5281" t="inlineStr">
        <is>
          <t>GÄVLEBORGS LÄN</t>
        </is>
      </c>
      <c r="E5281" t="inlineStr">
        <is>
          <t>BOLLNÄS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38895-2022</t>
        </is>
      </c>
      <c r="B5282" s="1" t="n">
        <v>44816</v>
      </c>
      <c r="C5282" s="1" t="n">
        <v>45677</v>
      </c>
      <c r="D5282" t="inlineStr">
        <is>
          <t>GÄVLEBORGS LÄN</t>
        </is>
      </c>
      <c r="E5282" t="inlineStr">
        <is>
          <t>NORDANSTIG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38910-2022</t>
        </is>
      </c>
      <c r="B5283" s="1" t="n">
        <v>44816</v>
      </c>
      <c r="C5283" s="1" t="n">
        <v>45677</v>
      </c>
      <c r="D5283" t="inlineStr">
        <is>
          <t>GÄVLEBORGS LÄN</t>
        </is>
      </c>
      <c r="E5283" t="inlineStr">
        <is>
          <t>OCKELBO</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38800-2022</t>
        </is>
      </c>
      <c r="B5284" s="1" t="n">
        <v>44816</v>
      </c>
      <c r="C5284" s="1" t="n">
        <v>45677</v>
      </c>
      <c r="D5284" t="inlineStr">
        <is>
          <t>GÄVLEBORGS LÄN</t>
        </is>
      </c>
      <c r="E5284" t="inlineStr">
        <is>
          <t>NORDANSTIG</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38744-2022</t>
        </is>
      </c>
      <c r="B5285" s="1" t="n">
        <v>44816</v>
      </c>
      <c r="C5285" s="1" t="n">
        <v>45677</v>
      </c>
      <c r="D5285" t="inlineStr">
        <is>
          <t>GÄVLEBORGS LÄN</t>
        </is>
      </c>
      <c r="E5285" t="inlineStr">
        <is>
          <t>HUDIKSVALL</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38859-2022</t>
        </is>
      </c>
      <c r="B5286" s="1" t="n">
        <v>44816</v>
      </c>
      <c r="C5286" s="1" t="n">
        <v>45677</v>
      </c>
      <c r="D5286" t="inlineStr">
        <is>
          <t>GÄVLEBORGS LÄN</t>
        </is>
      </c>
      <c r="E5286" t="inlineStr">
        <is>
          <t>NORDANSTIG</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38824-2022</t>
        </is>
      </c>
      <c r="B5287" s="1" t="n">
        <v>44816</v>
      </c>
      <c r="C5287" s="1" t="n">
        <v>45677</v>
      </c>
      <c r="D5287" t="inlineStr">
        <is>
          <t>GÄVLEBORGS LÄN</t>
        </is>
      </c>
      <c r="E5287" t="inlineStr">
        <is>
          <t>LJUSDAL</t>
        </is>
      </c>
      <c r="F5287" t="inlineStr">
        <is>
          <t>Holmen skog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38868-2022</t>
        </is>
      </c>
      <c r="B5288" s="1" t="n">
        <v>44816</v>
      </c>
      <c r="C5288" s="1" t="n">
        <v>45677</v>
      </c>
      <c r="D5288" t="inlineStr">
        <is>
          <t>GÄVLEBORGS LÄN</t>
        </is>
      </c>
      <c r="E5288" t="inlineStr">
        <is>
          <t>NORDANSTIG</t>
        </is>
      </c>
      <c r="F5288" t="inlineStr">
        <is>
          <t>Holmen skog AB</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38878-2022</t>
        </is>
      </c>
      <c r="B5289" s="1" t="n">
        <v>44816</v>
      </c>
      <c r="C5289" s="1" t="n">
        <v>45677</v>
      </c>
      <c r="D5289" t="inlineStr">
        <is>
          <t>GÄVLEBORGS LÄN</t>
        </is>
      </c>
      <c r="E5289" t="inlineStr">
        <is>
          <t>OCKELBO</t>
        </is>
      </c>
      <c r="F5289" t="inlineStr">
        <is>
          <t>Bergvik skog väst AB</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38893-2022</t>
        </is>
      </c>
      <c r="B5290" s="1" t="n">
        <v>44816</v>
      </c>
      <c r="C5290" s="1" t="n">
        <v>45677</v>
      </c>
      <c r="D5290" t="inlineStr">
        <is>
          <t>GÄVLEBORGS LÄN</t>
        </is>
      </c>
      <c r="E5290" t="inlineStr">
        <is>
          <t>OCKELBO</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38972-2022</t>
        </is>
      </c>
      <c r="B5291" s="1" t="n">
        <v>44816</v>
      </c>
      <c r="C5291" s="1" t="n">
        <v>45677</v>
      </c>
      <c r="D5291" t="inlineStr">
        <is>
          <t>GÄVLEBORGS LÄN</t>
        </is>
      </c>
      <c r="E5291" t="inlineStr">
        <is>
          <t>OCKELBO</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39037-2022</t>
        </is>
      </c>
      <c r="B5292" s="1" t="n">
        <v>44817</v>
      </c>
      <c r="C5292" s="1" t="n">
        <v>45677</v>
      </c>
      <c r="D5292" t="inlineStr">
        <is>
          <t>GÄVLEBORGS LÄN</t>
        </is>
      </c>
      <c r="E5292" t="inlineStr">
        <is>
          <t>SÖDERHAMN</t>
        </is>
      </c>
      <c r="F5292" t="inlineStr">
        <is>
          <t>Bergvik skog väst AB</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39114-2022</t>
        </is>
      </c>
      <c r="B5293" s="1" t="n">
        <v>44817</v>
      </c>
      <c r="C5293" s="1" t="n">
        <v>45677</v>
      </c>
      <c r="D5293" t="inlineStr">
        <is>
          <t>GÄVLEBORGS LÄN</t>
        </is>
      </c>
      <c r="E5293" t="inlineStr">
        <is>
          <t>HUDIKSVALL</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39126-2022</t>
        </is>
      </c>
      <c r="B5294" s="1" t="n">
        <v>44817</v>
      </c>
      <c r="C5294" s="1" t="n">
        <v>45677</v>
      </c>
      <c r="D5294" t="inlineStr">
        <is>
          <t>GÄVLEBORGS LÄN</t>
        </is>
      </c>
      <c r="E5294" t="inlineStr">
        <is>
          <t>LJUSDAL</t>
        </is>
      </c>
      <c r="F5294" t="inlineStr">
        <is>
          <t>Holmen skog AB</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39208-2022</t>
        </is>
      </c>
      <c r="B5295" s="1" t="n">
        <v>44817</v>
      </c>
      <c r="C5295" s="1" t="n">
        <v>45677</v>
      </c>
      <c r="D5295" t="inlineStr">
        <is>
          <t>GÄVLEBORGS LÄN</t>
        </is>
      </c>
      <c r="E5295" t="inlineStr">
        <is>
          <t>NORDANSTIG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39241-2022</t>
        </is>
      </c>
      <c r="B5296" s="1" t="n">
        <v>44817</v>
      </c>
      <c r="C5296" s="1" t="n">
        <v>45677</v>
      </c>
      <c r="D5296" t="inlineStr">
        <is>
          <t>GÄVLEBORGS LÄN</t>
        </is>
      </c>
      <c r="E5296" t="inlineStr">
        <is>
          <t>SANDVIKEN</t>
        </is>
      </c>
      <c r="F5296" t="inlineStr">
        <is>
          <t>Bergvik skog öst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39301-2022</t>
        </is>
      </c>
      <c r="B5297" s="1" t="n">
        <v>44817</v>
      </c>
      <c r="C5297" s="1" t="n">
        <v>45677</v>
      </c>
      <c r="D5297" t="inlineStr">
        <is>
          <t>GÄVLEBORGS LÄN</t>
        </is>
      </c>
      <c r="E5297" t="inlineStr">
        <is>
          <t>LJUSDAL</t>
        </is>
      </c>
      <c r="F5297" t="inlineStr">
        <is>
          <t>Holmen skog AB</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39041-2022</t>
        </is>
      </c>
      <c r="B5298" s="1" t="n">
        <v>44817</v>
      </c>
      <c r="C5298" s="1" t="n">
        <v>45677</v>
      </c>
      <c r="D5298" t="inlineStr">
        <is>
          <t>GÄVLEBORGS LÄN</t>
        </is>
      </c>
      <c r="E5298" t="inlineStr">
        <is>
          <t>HUDIKSVALL</t>
        </is>
      </c>
      <c r="F5298" t="inlineStr">
        <is>
          <t>Holmen skog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39062-2022</t>
        </is>
      </c>
      <c r="B5299" s="1" t="n">
        <v>44817</v>
      </c>
      <c r="C5299" s="1" t="n">
        <v>45677</v>
      </c>
      <c r="D5299" t="inlineStr">
        <is>
          <t>GÄVLEBORGS LÄN</t>
        </is>
      </c>
      <c r="E5299" t="inlineStr">
        <is>
          <t>LJUSDAL</t>
        </is>
      </c>
      <c r="F5299" t="inlineStr">
        <is>
          <t>Bergvik skog väst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39170-2022</t>
        </is>
      </c>
      <c r="B5300" s="1" t="n">
        <v>44817</v>
      </c>
      <c r="C5300" s="1" t="n">
        <v>45677</v>
      </c>
      <c r="D5300" t="inlineStr">
        <is>
          <t>GÄVLEBORGS LÄN</t>
        </is>
      </c>
      <c r="E5300" t="inlineStr">
        <is>
          <t>SANDVIKEN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39325-2022</t>
        </is>
      </c>
      <c r="B5301" s="1" t="n">
        <v>44817</v>
      </c>
      <c r="C5301" s="1" t="n">
        <v>45677</v>
      </c>
      <c r="D5301" t="inlineStr">
        <is>
          <t>GÄVLEBORGS LÄN</t>
        </is>
      </c>
      <c r="E5301" t="inlineStr">
        <is>
          <t>OCKELBO</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39064-2022</t>
        </is>
      </c>
      <c r="B5302" s="1" t="n">
        <v>44817</v>
      </c>
      <c r="C5302" s="1" t="n">
        <v>45677</v>
      </c>
      <c r="D5302" t="inlineStr">
        <is>
          <t>GÄVLEBORGS LÄN</t>
        </is>
      </c>
      <c r="E5302" t="inlineStr">
        <is>
          <t>LJUSDAL</t>
        </is>
      </c>
      <c r="F5302" t="inlineStr">
        <is>
          <t>Bergvik skog väst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39093-2022</t>
        </is>
      </c>
      <c r="B5303" s="1" t="n">
        <v>44817</v>
      </c>
      <c r="C5303" s="1" t="n">
        <v>45677</v>
      </c>
      <c r="D5303" t="inlineStr">
        <is>
          <t>GÄVLEBORGS LÄN</t>
        </is>
      </c>
      <c r="E5303" t="inlineStr">
        <is>
          <t>SÖDERHAMN</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39107-2022</t>
        </is>
      </c>
      <c r="B5304" s="1" t="n">
        <v>44817</v>
      </c>
      <c r="C5304" s="1" t="n">
        <v>45677</v>
      </c>
      <c r="D5304" t="inlineStr">
        <is>
          <t>GÄVLEBORGS LÄN</t>
        </is>
      </c>
      <c r="E5304" t="inlineStr">
        <is>
          <t>GÄVLE</t>
        </is>
      </c>
      <c r="F5304" t="inlineStr">
        <is>
          <t>Bergvik skog väst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39258-2022</t>
        </is>
      </c>
      <c r="B5305" s="1" t="n">
        <v>44817</v>
      </c>
      <c r="C5305" s="1" t="n">
        <v>45677</v>
      </c>
      <c r="D5305" t="inlineStr">
        <is>
          <t>GÄVLEBORGS LÄN</t>
        </is>
      </c>
      <c r="E5305" t="inlineStr">
        <is>
          <t>HUDIKSVALL</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39267-2022</t>
        </is>
      </c>
      <c r="B5306" s="1" t="n">
        <v>44817</v>
      </c>
      <c r="C5306" s="1" t="n">
        <v>45677</v>
      </c>
      <c r="D5306" t="inlineStr">
        <is>
          <t>GÄVLEBORGS LÄN</t>
        </is>
      </c>
      <c r="E5306" t="inlineStr">
        <is>
          <t>HUDIKSVALL</t>
        </is>
      </c>
      <c r="F5306" t="inlineStr">
        <is>
          <t>Holmen skog AB</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39141-2022</t>
        </is>
      </c>
      <c r="B5307" s="1" t="n">
        <v>44817</v>
      </c>
      <c r="C5307" s="1" t="n">
        <v>45677</v>
      </c>
      <c r="D5307" t="inlineStr">
        <is>
          <t>GÄVLEBORGS LÄN</t>
        </is>
      </c>
      <c r="E5307" t="inlineStr">
        <is>
          <t>LJUSDAL</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39228-2022</t>
        </is>
      </c>
      <c r="B5308" s="1" t="n">
        <v>44817</v>
      </c>
      <c r="C5308" s="1" t="n">
        <v>45677</v>
      </c>
      <c r="D5308" t="inlineStr">
        <is>
          <t>GÄVLEBORGS LÄN</t>
        </is>
      </c>
      <c r="E5308" t="inlineStr">
        <is>
          <t>LJUSDAL</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39443-2022</t>
        </is>
      </c>
      <c r="B5309" s="1" t="n">
        <v>44818</v>
      </c>
      <c r="C5309" s="1" t="n">
        <v>45677</v>
      </c>
      <c r="D5309" t="inlineStr">
        <is>
          <t>GÄVLEBORGS LÄN</t>
        </is>
      </c>
      <c r="E5309" t="inlineStr">
        <is>
          <t>HUDIKSVALL</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39509-2022</t>
        </is>
      </c>
      <c r="B5310" s="1" t="n">
        <v>44818</v>
      </c>
      <c r="C5310" s="1" t="n">
        <v>45677</v>
      </c>
      <c r="D5310" t="inlineStr">
        <is>
          <t>GÄVLEBORGS LÄN</t>
        </is>
      </c>
      <c r="E5310" t="inlineStr">
        <is>
          <t>GÄVLE</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39517-2022</t>
        </is>
      </c>
      <c r="B5311" s="1" t="n">
        <v>44818</v>
      </c>
      <c r="C5311" s="1" t="n">
        <v>45677</v>
      </c>
      <c r="D5311" t="inlineStr">
        <is>
          <t>GÄVLEBORGS LÄN</t>
        </is>
      </c>
      <c r="E5311" t="inlineStr">
        <is>
          <t>NORDANSTIG</t>
        </is>
      </c>
      <c r="F5311" t="inlineStr">
        <is>
          <t>Holmen skog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39528-2022</t>
        </is>
      </c>
      <c r="B5312" s="1" t="n">
        <v>44818</v>
      </c>
      <c r="C5312" s="1" t="n">
        <v>45677</v>
      </c>
      <c r="D5312" t="inlineStr">
        <is>
          <t>GÄVLEBORGS LÄN</t>
        </is>
      </c>
      <c r="E5312" t="inlineStr">
        <is>
          <t>BOLLNÄS</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39557-2022</t>
        </is>
      </c>
      <c r="B5313" s="1" t="n">
        <v>44818</v>
      </c>
      <c r="C5313" s="1" t="n">
        <v>45677</v>
      </c>
      <c r="D5313" t="inlineStr">
        <is>
          <t>GÄVLEBORGS LÄN</t>
        </is>
      </c>
      <c r="E5313" t="inlineStr">
        <is>
          <t>HUDIKSVALL</t>
        </is>
      </c>
      <c r="F5313" t="inlineStr">
        <is>
          <t>Holmen skog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39450-2022</t>
        </is>
      </c>
      <c r="B5314" s="1" t="n">
        <v>44818</v>
      </c>
      <c r="C5314" s="1" t="n">
        <v>45677</v>
      </c>
      <c r="D5314" t="inlineStr">
        <is>
          <t>GÄVLEBORGS LÄN</t>
        </is>
      </c>
      <c r="E5314" t="inlineStr">
        <is>
          <t>OVANÅKER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39566-2022</t>
        </is>
      </c>
      <c r="B5315" s="1" t="n">
        <v>44818</v>
      </c>
      <c r="C5315" s="1" t="n">
        <v>45677</v>
      </c>
      <c r="D5315" t="inlineStr">
        <is>
          <t>GÄVLEBORGS LÄN</t>
        </is>
      </c>
      <c r="E5315" t="inlineStr">
        <is>
          <t>SANDVIKEN</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39424-2022</t>
        </is>
      </c>
      <c r="B5316" s="1" t="n">
        <v>44818</v>
      </c>
      <c r="C5316" s="1" t="n">
        <v>45677</v>
      </c>
      <c r="D5316" t="inlineStr">
        <is>
          <t>GÄVLEBORGS LÄN</t>
        </is>
      </c>
      <c r="E5316" t="inlineStr">
        <is>
          <t>LJUSDAL</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39510-2022</t>
        </is>
      </c>
      <c r="B5317" s="1" t="n">
        <v>44818</v>
      </c>
      <c r="C5317" s="1" t="n">
        <v>45677</v>
      </c>
      <c r="D5317" t="inlineStr">
        <is>
          <t>GÄVLEBORGS LÄN</t>
        </is>
      </c>
      <c r="E5317" t="inlineStr">
        <is>
          <t>HUDIKSVALL</t>
        </is>
      </c>
      <c r="F5317" t="inlineStr">
        <is>
          <t>Holmen skog AB</t>
        </is>
      </c>
      <c r="G5317" t="n">
        <v>23.9</v>
      </c>
      <c r="H5317" t="n">
        <v>0</v>
      </c>
      <c r="I5317" t="n">
        <v>0</v>
      </c>
      <c r="J5317" t="n">
        <v>0</v>
      </c>
      <c r="K5317" t="n">
        <v>0</v>
      </c>
      <c r="L5317" t="n">
        <v>0</v>
      </c>
      <c r="M5317" t="n">
        <v>0</v>
      </c>
      <c r="N5317" t="n">
        <v>0</v>
      </c>
      <c r="O5317" t="n">
        <v>0</v>
      </c>
      <c r="P5317" t="n">
        <v>0</v>
      </c>
      <c r="Q5317" t="n">
        <v>0</v>
      </c>
      <c r="R5317" s="2" t="inlineStr"/>
    </row>
    <row r="5318" ht="15" customHeight="1">
      <c r="A5318" t="inlineStr">
        <is>
          <t>A 39532-2022</t>
        </is>
      </c>
      <c r="B5318" s="1" t="n">
        <v>44818</v>
      </c>
      <c r="C5318" s="1" t="n">
        <v>45677</v>
      </c>
      <c r="D5318" t="inlineStr">
        <is>
          <t>GÄVLEBORGS LÄN</t>
        </is>
      </c>
      <c r="E5318" t="inlineStr">
        <is>
          <t>OVANÅKER</t>
        </is>
      </c>
      <c r="F5318" t="inlineStr">
        <is>
          <t>Bergvik skog väst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39669-2022</t>
        </is>
      </c>
      <c r="B5319" s="1" t="n">
        <v>44818</v>
      </c>
      <c r="C5319" s="1" t="n">
        <v>45677</v>
      </c>
      <c r="D5319" t="inlineStr">
        <is>
          <t>GÄVLEBORGS LÄN</t>
        </is>
      </c>
      <c r="E5319" t="inlineStr">
        <is>
          <t>HUDIKSVALL</t>
        </is>
      </c>
      <c r="F5319" t="inlineStr">
        <is>
          <t>Holmen skog AB</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39644-2022</t>
        </is>
      </c>
      <c r="B5320" s="1" t="n">
        <v>44818</v>
      </c>
      <c r="C5320" s="1" t="n">
        <v>45677</v>
      </c>
      <c r="D5320" t="inlineStr">
        <is>
          <t>GÄVLEBORGS LÄN</t>
        </is>
      </c>
      <c r="E5320" t="inlineStr">
        <is>
          <t>LJUSDAL</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39777-2022</t>
        </is>
      </c>
      <c r="B5321" s="1" t="n">
        <v>44819</v>
      </c>
      <c r="C5321" s="1" t="n">
        <v>45677</v>
      </c>
      <c r="D5321" t="inlineStr">
        <is>
          <t>GÄVLEBORGS LÄN</t>
        </is>
      </c>
      <c r="E5321" t="inlineStr">
        <is>
          <t>OVANÅKER</t>
        </is>
      </c>
      <c r="F5321" t="inlineStr">
        <is>
          <t>Bergvik skog väst AB</t>
        </is>
      </c>
      <c r="G5321" t="n">
        <v>15.8</v>
      </c>
      <c r="H5321" t="n">
        <v>0</v>
      </c>
      <c r="I5321" t="n">
        <v>0</v>
      </c>
      <c r="J5321" t="n">
        <v>0</v>
      </c>
      <c r="K5321" t="n">
        <v>0</v>
      </c>
      <c r="L5321" t="n">
        <v>0</v>
      </c>
      <c r="M5321" t="n">
        <v>0</v>
      </c>
      <c r="N5321" t="n">
        <v>0</v>
      </c>
      <c r="O5321" t="n">
        <v>0</v>
      </c>
      <c r="P5321" t="n">
        <v>0</v>
      </c>
      <c r="Q5321" t="n">
        <v>0</v>
      </c>
      <c r="R5321" s="2" t="inlineStr"/>
    </row>
    <row r="5322" ht="15" customHeight="1">
      <c r="A5322" t="inlineStr">
        <is>
          <t>A 39832-2022</t>
        </is>
      </c>
      <c r="B5322" s="1" t="n">
        <v>44819</v>
      </c>
      <c r="C5322" s="1" t="n">
        <v>45677</v>
      </c>
      <c r="D5322" t="inlineStr">
        <is>
          <t>GÄVLEBORGS LÄN</t>
        </is>
      </c>
      <c r="E5322" t="inlineStr">
        <is>
          <t>LJUSDAL</t>
        </is>
      </c>
      <c r="F5322" t="inlineStr">
        <is>
          <t>Holmen skog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39723-2022</t>
        </is>
      </c>
      <c r="B5323" s="1" t="n">
        <v>44819</v>
      </c>
      <c r="C5323" s="1" t="n">
        <v>45677</v>
      </c>
      <c r="D5323" t="inlineStr">
        <is>
          <t>GÄVLEBORGS LÄN</t>
        </is>
      </c>
      <c r="E5323" t="inlineStr">
        <is>
          <t>BOLLNÄS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39848-2022</t>
        </is>
      </c>
      <c r="B5324" s="1" t="n">
        <v>44819</v>
      </c>
      <c r="C5324" s="1" t="n">
        <v>45677</v>
      </c>
      <c r="D5324" t="inlineStr">
        <is>
          <t>GÄVLEBORGS LÄN</t>
        </is>
      </c>
      <c r="E5324" t="inlineStr">
        <is>
          <t>LJUSDAL</t>
        </is>
      </c>
      <c r="F5324" t="inlineStr">
        <is>
          <t>Allmännings- och besparingsskogar</t>
        </is>
      </c>
      <c r="G5324" t="n">
        <v>33.9</v>
      </c>
      <c r="H5324" t="n">
        <v>0</v>
      </c>
      <c r="I5324" t="n">
        <v>0</v>
      </c>
      <c r="J5324" t="n">
        <v>0</v>
      </c>
      <c r="K5324" t="n">
        <v>0</v>
      </c>
      <c r="L5324" t="n">
        <v>0</v>
      </c>
      <c r="M5324" t="n">
        <v>0</v>
      </c>
      <c r="N5324" t="n">
        <v>0</v>
      </c>
      <c r="O5324" t="n">
        <v>0</v>
      </c>
      <c r="P5324" t="n">
        <v>0</v>
      </c>
      <c r="Q5324" t="n">
        <v>0</v>
      </c>
      <c r="R5324" s="2" t="inlineStr"/>
    </row>
    <row r="5325" ht="15" customHeight="1">
      <c r="A5325" t="inlineStr">
        <is>
          <t>A 40131-2022</t>
        </is>
      </c>
      <c r="B5325" s="1" t="n">
        <v>44820</v>
      </c>
      <c r="C5325" s="1" t="n">
        <v>45677</v>
      </c>
      <c r="D5325" t="inlineStr">
        <is>
          <t>GÄVLEBORGS LÄN</t>
        </is>
      </c>
      <c r="E5325" t="inlineStr">
        <is>
          <t>OCKELBO</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40053-2022</t>
        </is>
      </c>
      <c r="B5326" s="1" t="n">
        <v>44820</v>
      </c>
      <c r="C5326" s="1" t="n">
        <v>45677</v>
      </c>
      <c r="D5326" t="inlineStr">
        <is>
          <t>GÄVLEBORGS LÄN</t>
        </is>
      </c>
      <c r="E5326" t="inlineStr">
        <is>
          <t>OCKELBO</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40134-2022</t>
        </is>
      </c>
      <c r="B5327" s="1" t="n">
        <v>44820</v>
      </c>
      <c r="C5327" s="1" t="n">
        <v>45677</v>
      </c>
      <c r="D5327" t="inlineStr">
        <is>
          <t>GÄVLEBORGS LÄN</t>
        </is>
      </c>
      <c r="E5327" t="inlineStr">
        <is>
          <t>OCKELBO</t>
        </is>
      </c>
      <c r="F5327" t="inlineStr">
        <is>
          <t>Bergvik skog väst AB</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40138-2022</t>
        </is>
      </c>
      <c r="B5328" s="1" t="n">
        <v>44820</v>
      </c>
      <c r="C5328" s="1" t="n">
        <v>45677</v>
      </c>
      <c r="D5328" t="inlineStr">
        <is>
          <t>GÄVLEBORGS LÄN</t>
        </is>
      </c>
      <c r="E5328" t="inlineStr">
        <is>
          <t>OCKELBO</t>
        </is>
      </c>
      <c r="F5328" t="inlineStr">
        <is>
          <t>Bergvik skog väst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40143-2022</t>
        </is>
      </c>
      <c r="B5329" s="1" t="n">
        <v>44820</v>
      </c>
      <c r="C5329" s="1" t="n">
        <v>45677</v>
      </c>
      <c r="D5329" t="inlineStr">
        <is>
          <t>GÄVLEBORGS LÄN</t>
        </is>
      </c>
      <c r="E5329" t="inlineStr">
        <is>
          <t>OCKELBO</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40140-2022</t>
        </is>
      </c>
      <c r="B5330" s="1" t="n">
        <v>44820</v>
      </c>
      <c r="C5330" s="1" t="n">
        <v>45677</v>
      </c>
      <c r="D5330" t="inlineStr">
        <is>
          <t>GÄVLEBORGS LÄN</t>
        </is>
      </c>
      <c r="E5330" t="inlineStr">
        <is>
          <t>OCKELBO</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40060-2022</t>
        </is>
      </c>
      <c r="B5331" s="1" t="n">
        <v>44820</v>
      </c>
      <c r="C5331" s="1" t="n">
        <v>45677</v>
      </c>
      <c r="D5331" t="inlineStr">
        <is>
          <t>GÄVLEBORGS LÄN</t>
        </is>
      </c>
      <c r="E5331" t="inlineStr">
        <is>
          <t>OCKELBO</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40130-2022</t>
        </is>
      </c>
      <c r="B5332" s="1" t="n">
        <v>44820</v>
      </c>
      <c r="C5332" s="1" t="n">
        <v>45677</v>
      </c>
      <c r="D5332" t="inlineStr">
        <is>
          <t>GÄVLEBORGS LÄN</t>
        </is>
      </c>
      <c r="E5332" t="inlineStr">
        <is>
          <t>OCKELBO</t>
        </is>
      </c>
      <c r="F5332" t="inlineStr">
        <is>
          <t>Bergvik skog väst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40148-2022</t>
        </is>
      </c>
      <c r="B5333" s="1" t="n">
        <v>44820</v>
      </c>
      <c r="C5333" s="1" t="n">
        <v>45677</v>
      </c>
      <c r="D5333" t="inlineStr">
        <is>
          <t>GÄVLEBORGS LÄN</t>
        </is>
      </c>
      <c r="E5333" t="inlineStr">
        <is>
          <t>SÖDERHAMN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40110-2022</t>
        </is>
      </c>
      <c r="B5334" s="1" t="n">
        <v>44820</v>
      </c>
      <c r="C5334" s="1" t="n">
        <v>45677</v>
      </c>
      <c r="D5334" t="inlineStr">
        <is>
          <t>GÄVLEBORGS LÄN</t>
        </is>
      </c>
      <c r="E5334" t="inlineStr">
        <is>
          <t>NORDANSTIG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40127-2022</t>
        </is>
      </c>
      <c r="B5335" s="1" t="n">
        <v>44820</v>
      </c>
      <c r="C5335" s="1" t="n">
        <v>45677</v>
      </c>
      <c r="D5335" t="inlineStr">
        <is>
          <t>GÄVLEBORGS LÄN</t>
        </is>
      </c>
      <c r="E5335" t="inlineStr">
        <is>
          <t>GÄVLE</t>
        </is>
      </c>
      <c r="F5335" t="inlineStr">
        <is>
          <t>Övriga statliga verk och myndigheter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40162-2022</t>
        </is>
      </c>
      <c r="B5336" s="1" t="n">
        <v>44820</v>
      </c>
      <c r="C5336" s="1" t="n">
        <v>45677</v>
      </c>
      <c r="D5336" t="inlineStr">
        <is>
          <t>GÄVLEBORGS LÄN</t>
        </is>
      </c>
      <c r="E5336" t="inlineStr">
        <is>
          <t>BOLLNÄS</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40937-2022</t>
        </is>
      </c>
      <c r="B5337" s="1" t="n">
        <v>44820</v>
      </c>
      <c r="C5337" s="1" t="n">
        <v>45677</v>
      </c>
      <c r="D5337" t="inlineStr">
        <is>
          <t>GÄVLEBORGS LÄN</t>
        </is>
      </c>
      <c r="E5337" t="inlineStr">
        <is>
          <t>HUDIKSVALL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40343-2022</t>
        </is>
      </c>
      <c r="B5338" s="1" t="n">
        <v>44823</v>
      </c>
      <c r="C5338" s="1" t="n">
        <v>45677</v>
      </c>
      <c r="D5338" t="inlineStr">
        <is>
          <t>GÄVLEBORGS LÄN</t>
        </is>
      </c>
      <c r="E5338" t="inlineStr">
        <is>
          <t>NORDANSTIG</t>
        </is>
      </c>
      <c r="F5338" t="inlineStr">
        <is>
          <t>Holmen skog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40403-2022</t>
        </is>
      </c>
      <c r="B5339" s="1" t="n">
        <v>44823</v>
      </c>
      <c r="C5339" s="1" t="n">
        <v>45677</v>
      </c>
      <c r="D5339" t="inlineStr">
        <is>
          <t>GÄVLEBORGS LÄN</t>
        </is>
      </c>
      <c r="E5339" t="inlineStr">
        <is>
          <t>OVANÅKER</t>
        </is>
      </c>
      <c r="F5339" t="inlineStr">
        <is>
          <t>Bergvik skog väst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40376-2022</t>
        </is>
      </c>
      <c r="B5340" s="1" t="n">
        <v>44823</v>
      </c>
      <c r="C5340" s="1" t="n">
        <v>45677</v>
      </c>
      <c r="D5340" t="inlineStr">
        <is>
          <t>GÄVLEBORGS LÄN</t>
        </is>
      </c>
      <c r="E5340" t="inlineStr">
        <is>
          <t>BOLLNÄS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40400-2022</t>
        </is>
      </c>
      <c r="B5341" s="1" t="n">
        <v>44823</v>
      </c>
      <c r="C5341" s="1" t="n">
        <v>45677</v>
      </c>
      <c r="D5341" t="inlineStr">
        <is>
          <t>GÄVLEBORGS LÄN</t>
        </is>
      </c>
      <c r="E5341" t="inlineStr">
        <is>
          <t>OVANÅKER</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40438-2022</t>
        </is>
      </c>
      <c r="B5342" s="1" t="n">
        <v>44823</v>
      </c>
      <c r="C5342" s="1" t="n">
        <v>45677</v>
      </c>
      <c r="D5342" t="inlineStr">
        <is>
          <t>GÄVLEBORGS LÄN</t>
        </is>
      </c>
      <c r="E5342" t="inlineStr">
        <is>
          <t>NORDANSTIG</t>
        </is>
      </c>
      <c r="F5342" t="inlineStr">
        <is>
          <t>Holmen skog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40462-2022</t>
        </is>
      </c>
      <c r="B5343" s="1" t="n">
        <v>44823</v>
      </c>
      <c r="C5343" s="1" t="n">
        <v>45677</v>
      </c>
      <c r="D5343" t="inlineStr">
        <is>
          <t>GÄVLEBORGS LÄN</t>
        </is>
      </c>
      <c r="E5343" t="inlineStr">
        <is>
          <t>SÖDERHAMN</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40494-2022</t>
        </is>
      </c>
      <c r="B5344" s="1" t="n">
        <v>44823</v>
      </c>
      <c r="C5344" s="1" t="n">
        <v>45677</v>
      </c>
      <c r="D5344" t="inlineStr">
        <is>
          <t>GÄVLEBORGS LÄN</t>
        </is>
      </c>
      <c r="E5344" t="inlineStr">
        <is>
          <t>GÄVLE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40559-2022</t>
        </is>
      </c>
      <c r="B5345" s="1" t="n">
        <v>44823</v>
      </c>
      <c r="C5345" s="1" t="n">
        <v>45677</v>
      </c>
      <c r="D5345" t="inlineStr">
        <is>
          <t>GÄVLEBORGS LÄN</t>
        </is>
      </c>
      <c r="E5345" t="inlineStr">
        <is>
          <t>NORDANSTIG</t>
        </is>
      </c>
      <c r="F5345" t="inlineStr">
        <is>
          <t>Holmen skog AB</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40593-2022</t>
        </is>
      </c>
      <c r="B5346" s="1" t="n">
        <v>44823</v>
      </c>
      <c r="C5346" s="1" t="n">
        <v>45677</v>
      </c>
      <c r="D5346" t="inlineStr">
        <is>
          <t>GÄVLEBORGS LÄN</t>
        </is>
      </c>
      <c r="E5346" t="inlineStr">
        <is>
          <t>HUDIKSVALL</t>
        </is>
      </c>
      <c r="F5346" t="inlineStr">
        <is>
          <t>Holmen skog AB</t>
        </is>
      </c>
      <c r="G5346" t="n">
        <v>15.3</v>
      </c>
      <c r="H5346" t="n">
        <v>0</v>
      </c>
      <c r="I5346" t="n">
        <v>0</v>
      </c>
      <c r="J5346" t="n">
        <v>0</v>
      </c>
      <c r="K5346" t="n">
        <v>0</v>
      </c>
      <c r="L5346" t="n">
        <v>0</v>
      </c>
      <c r="M5346" t="n">
        <v>0</v>
      </c>
      <c r="N5346" t="n">
        <v>0</v>
      </c>
      <c r="O5346" t="n">
        <v>0</v>
      </c>
      <c r="P5346" t="n">
        <v>0</v>
      </c>
      <c r="Q5346" t="n">
        <v>0</v>
      </c>
      <c r="R5346" s="2" t="inlineStr"/>
    </row>
    <row r="5347" ht="15" customHeight="1">
      <c r="A5347" t="inlineStr">
        <is>
          <t>A 40342-2022</t>
        </is>
      </c>
      <c r="B5347" s="1" t="n">
        <v>44823</v>
      </c>
      <c r="C5347" s="1" t="n">
        <v>45677</v>
      </c>
      <c r="D5347" t="inlineStr">
        <is>
          <t>GÄVLEBORGS LÄN</t>
        </is>
      </c>
      <c r="E5347" t="inlineStr">
        <is>
          <t>NORDANSTIG</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40388-2022</t>
        </is>
      </c>
      <c r="B5348" s="1" t="n">
        <v>44823</v>
      </c>
      <c r="C5348" s="1" t="n">
        <v>45677</v>
      </c>
      <c r="D5348" t="inlineStr">
        <is>
          <t>GÄVLEBORGS LÄN</t>
        </is>
      </c>
      <c r="E5348" t="inlineStr">
        <is>
          <t>NORDANSTIG</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40498-2022</t>
        </is>
      </c>
      <c r="B5349" s="1" t="n">
        <v>44823</v>
      </c>
      <c r="C5349" s="1" t="n">
        <v>45677</v>
      </c>
      <c r="D5349" t="inlineStr">
        <is>
          <t>GÄVLEBORGS LÄN</t>
        </is>
      </c>
      <c r="E5349" t="inlineStr">
        <is>
          <t>GÄVLE</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40515-2022</t>
        </is>
      </c>
      <c r="B5350" s="1" t="n">
        <v>44823</v>
      </c>
      <c r="C5350" s="1" t="n">
        <v>45677</v>
      </c>
      <c r="D5350" t="inlineStr">
        <is>
          <t>GÄVLEBORGS LÄN</t>
        </is>
      </c>
      <c r="E5350" t="inlineStr">
        <is>
          <t>HOFORS</t>
        </is>
      </c>
      <c r="F5350" t="inlineStr">
        <is>
          <t>Sveaskog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40575-2022</t>
        </is>
      </c>
      <c r="B5351" s="1" t="n">
        <v>44823</v>
      </c>
      <c r="C5351" s="1" t="n">
        <v>45677</v>
      </c>
      <c r="D5351" t="inlineStr">
        <is>
          <t>GÄVLEBORGS LÄN</t>
        </is>
      </c>
      <c r="E5351" t="inlineStr">
        <is>
          <t>SÖDERHAMN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40468-2022</t>
        </is>
      </c>
      <c r="B5352" s="1" t="n">
        <v>44823</v>
      </c>
      <c r="C5352" s="1" t="n">
        <v>45677</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40507-2022</t>
        </is>
      </c>
      <c r="B5353" s="1" t="n">
        <v>44823</v>
      </c>
      <c r="C5353" s="1" t="n">
        <v>45677</v>
      </c>
      <c r="D5353" t="inlineStr">
        <is>
          <t>GÄVLEBORGS LÄN</t>
        </is>
      </c>
      <c r="E5353" t="inlineStr">
        <is>
          <t>OVANÅKER</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40517-2022</t>
        </is>
      </c>
      <c r="B5354" s="1" t="n">
        <v>44823</v>
      </c>
      <c r="C5354" s="1" t="n">
        <v>45677</v>
      </c>
      <c r="D5354" t="inlineStr">
        <is>
          <t>GÄVLEBORGS LÄN</t>
        </is>
      </c>
      <c r="E5354" t="inlineStr">
        <is>
          <t>HOFORS</t>
        </is>
      </c>
      <c r="F5354" t="inlineStr">
        <is>
          <t>Sveaskog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40577-2022</t>
        </is>
      </c>
      <c r="B5355" s="1" t="n">
        <v>44823</v>
      </c>
      <c r="C5355" s="1" t="n">
        <v>45677</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40554-2022</t>
        </is>
      </c>
      <c r="B5356" s="1" t="n">
        <v>44823</v>
      </c>
      <c r="C5356" s="1" t="n">
        <v>45677</v>
      </c>
      <c r="D5356" t="inlineStr">
        <is>
          <t>GÄVLEBORGS LÄN</t>
        </is>
      </c>
      <c r="E5356" t="inlineStr">
        <is>
          <t>LJUSDAL</t>
        </is>
      </c>
      <c r="F5356" t="inlineStr">
        <is>
          <t>Bergvik skog väst AB</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40766-2022</t>
        </is>
      </c>
      <c r="B5357" s="1" t="n">
        <v>44824</v>
      </c>
      <c r="C5357" s="1" t="n">
        <v>45677</v>
      </c>
      <c r="D5357" t="inlineStr">
        <is>
          <t>GÄVLEBORGS LÄN</t>
        </is>
      </c>
      <c r="E5357" t="inlineStr">
        <is>
          <t>LJUSDAL</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40729-2022</t>
        </is>
      </c>
      <c r="B5358" s="1" t="n">
        <v>44824</v>
      </c>
      <c r="C5358" s="1" t="n">
        <v>45677</v>
      </c>
      <c r="D5358" t="inlineStr">
        <is>
          <t>GÄVLEBORGS LÄN</t>
        </is>
      </c>
      <c r="E5358" t="inlineStr">
        <is>
          <t>LJUSDAL</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40743-2022</t>
        </is>
      </c>
      <c r="B5359" s="1" t="n">
        <v>44824</v>
      </c>
      <c r="C5359" s="1" t="n">
        <v>45677</v>
      </c>
      <c r="D5359" t="inlineStr">
        <is>
          <t>GÄVLEBORGS LÄN</t>
        </is>
      </c>
      <c r="E5359" t="inlineStr">
        <is>
          <t>OVANÅKER</t>
        </is>
      </c>
      <c r="F5359" t="inlineStr">
        <is>
          <t>Bergvik skog väst AB</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40798-2022</t>
        </is>
      </c>
      <c r="B5360" s="1" t="n">
        <v>44824</v>
      </c>
      <c r="C5360" s="1" t="n">
        <v>45677</v>
      </c>
      <c r="D5360" t="inlineStr">
        <is>
          <t>GÄVLEBORGS LÄN</t>
        </is>
      </c>
      <c r="E5360" t="inlineStr">
        <is>
          <t>NORDANSTIG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40811-2022</t>
        </is>
      </c>
      <c r="B5361" s="1" t="n">
        <v>44824</v>
      </c>
      <c r="C5361" s="1" t="n">
        <v>45677</v>
      </c>
      <c r="D5361" t="inlineStr">
        <is>
          <t>GÄVLEBORGS LÄN</t>
        </is>
      </c>
      <c r="E5361" t="inlineStr">
        <is>
          <t>SÖDERHAMN</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41041-2022</t>
        </is>
      </c>
      <c r="B5362" s="1" t="n">
        <v>44824</v>
      </c>
      <c r="C5362" s="1" t="n">
        <v>45677</v>
      </c>
      <c r="D5362" t="inlineStr">
        <is>
          <t>GÄVLEBORGS LÄN</t>
        </is>
      </c>
      <c r="E5362" t="inlineStr">
        <is>
          <t>GÄVLE</t>
        </is>
      </c>
      <c r="F5362" t="inlineStr">
        <is>
          <t>Bergvik skog väst AB</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40787-2022</t>
        </is>
      </c>
      <c r="B5363" s="1" t="n">
        <v>44824</v>
      </c>
      <c r="C5363" s="1" t="n">
        <v>45677</v>
      </c>
      <c r="D5363" t="inlineStr">
        <is>
          <t>GÄVLEBORGS LÄN</t>
        </is>
      </c>
      <c r="E5363" t="inlineStr">
        <is>
          <t>LJUSDAL</t>
        </is>
      </c>
      <c r="F5363" t="inlineStr">
        <is>
          <t>Holmen skog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41037-2022</t>
        </is>
      </c>
      <c r="B5364" s="1" t="n">
        <v>44824</v>
      </c>
      <c r="C5364" s="1" t="n">
        <v>45677</v>
      </c>
      <c r="D5364" t="inlineStr">
        <is>
          <t>GÄVLEBORGS LÄN</t>
        </is>
      </c>
      <c r="E5364" t="inlineStr">
        <is>
          <t>SÖDERHAMN</t>
        </is>
      </c>
      <c r="F5364" t="inlineStr">
        <is>
          <t>Kommuner</t>
        </is>
      </c>
      <c r="G5364" t="n">
        <v>21.6</v>
      </c>
      <c r="H5364" t="n">
        <v>0</v>
      </c>
      <c r="I5364" t="n">
        <v>0</v>
      </c>
      <c r="J5364" t="n">
        <v>0</v>
      </c>
      <c r="K5364" t="n">
        <v>0</v>
      </c>
      <c r="L5364" t="n">
        <v>0</v>
      </c>
      <c r="M5364" t="n">
        <v>0</v>
      </c>
      <c r="N5364" t="n">
        <v>0</v>
      </c>
      <c r="O5364" t="n">
        <v>0</v>
      </c>
      <c r="P5364" t="n">
        <v>0</v>
      </c>
      <c r="Q5364" t="n">
        <v>0</v>
      </c>
      <c r="R5364" s="2" t="inlineStr"/>
    </row>
    <row r="5365" ht="15" customHeight="1">
      <c r="A5365" t="inlineStr">
        <is>
          <t>A 40868-2022</t>
        </is>
      </c>
      <c r="B5365" s="1" t="n">
        <v>44825</v>
      </c>
      <c r="C5365" s="1" t="n">
        <v>45677</v>
      </c>
      <c r="D5365" t="inlineStr">
        <is>
          <t>GÄVLEBORGS LÄN</t>
        </is>
      </c>
      <c r="E5365" t="inlineStr">
        <is>
          <t>NORDANSTIG</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40876-2022</t>
        </is>
      </c>
      <c r="B5366" s="1" t="n">
        <v>44825</v>
      </c>
      <c r="C5366" s="1" t="n">
        <v>45677</v>
      </c>
      <c r="D5366" t="inlineStr">
        <is>
          <t>GÄVLEBORGS LÄN</t>
        </is>
      </c>
      <c r="E5366" t="inlineStr">
        <is>
          <t>HUDIKSVALL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40913-2022</t>
        </is>
      </c>
      <c r="B5367" s="1" t="n">
        <v>44825</v>
      </c>
      <c r="C5367" s="1" t="n">
        <v>45677</v>
      </c>
      <c r="D5367" t="inlineStr">
        <is>
          <t>GÄVLEBORGS LÄN</t>
        </is>
      </c>
      <c r="E5367" t="inlineStr">
        <is>
          <t>NORDANSTIG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40909-2022</t>
        </is>
      </c>
      <c r="B5368" s="1" t="n">
        <v>44825</v>
      </c>
      <c r="C5368" s="1" t="n">
        <v>45677</v>
      </c>
      <c r="D5368" t="inlineStr">
        <is>
          <t>GÄVLEBORGS LÄN</t>
        </is>
      </c>
      <c r="E5368" t="inlineStr">
        <is>
          <t>HUDIKSVALL</t>
        </is>
      </c>
      <c r="F5368" t="inlineStr">
        <is>
          <t>Holmen skog AB</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40861-2022</t>
        </is>
      </c>
      <c r="B5369" s="1" t="n">
        <v>44825</v>
      </c>
      <c r="C5369" s="1" t="n">
        <v>45677</v>
      </c>
      <c r="D5369" t="inlineStr">
        <is>
          <t>GÄVLEBORGS LÄN</t>
        </is>
      </c>
      <c r="E5369" t="inlineStr">
        <is>
          <t>HUDIKSVALL</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41115-2022</t>
        </is>
      </c>
      <c r="B5370" s="1" t="n">
        <v>44825</v>
      </c>
      <c r="C5370" s="1" t="n">
        <v>45677</v>
      </c>
      <c r="D5370" t="inlineStr">
        <is>
          <t>GÄVLEBORGS LÄN</t>
        </is>
      </c>
      <c r="E5370" t="inlineStr">
        <is>
          <t>HUDIKSVALL</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41161-2022</t>
        </is>
      </c>
      <c r="B5371" s="1" t="n">
        <v>44825</v>
      </c>
      <c r="C5371" s="1" t="n">
        <v>45677</v>
      </c>
      <c r="D5371" t="inlineStr">
        <is>
          <t>GÄVLEBORGS LÄN</t>
        </is>
      </c>
      <c r="E5371" t="inlineStr">
        <is>
          <t>NORDANSTIG</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41231-2022</t>
        </is>
      </c>
      <c r="B5372" s="1" t="n">
        <v>44825</v>
      </c>
      <c r="C5372" s="1" t="n">
        <v>45677</v>
      </c>
      <c r="D5372" t="inlineStr">
        <is>
          <t>GÄVLEBORGS LÄN</t>
        </is>
      </c>
      <c r="E5372" t="inlineStr">
        <is>
          <t>HUDIKSVALL</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41221-2022</t>
        </is>
      </c>
      <c r="B5373" s="1" t="n">
        <v>44826</v>
      </c>
      <c r="C5373" s="1" t="n">
        <v>45677</v>
      </c>
      <c r="D5373" t="inlineStr">
        <is>
          <t>GÄVLEBORGS LÄN</t>
        </is>
      </c>
      <c r="E5373" t="inlineStr">
        <is>
          <t>SÖDERHAMN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41246-2022</t>
        </is>
      </c>
      <c r="B5374" s="1" t="n">
        <v>44826</v>
      </c>
      <c r="C5374" s="1" t="n">
        <v>45677</v>
      </c>
      <c r="D5374" t="inlineStr">
        <is>
          <t>GÄVLEBORGS LÄN</t>
        </is>
      </c>
      <c r="E5374" t="inlineStr">
        <is>
          <t>SÖDERHAMN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41285-2022</t>
        </is>
      </c>
      <c r="B5375" s="1" t="n">
        <v>44826</v>
      </c>
      <c r="C5375" s="1" t="n">
        <v>45677</v>
      </c>
      <c r="D5375" t="inlineStr">
        <is>
          <t>GÄVLEBORGS LÄN</t>
        </is>
      </c>
      <c r="E5375" t="inlineStr">
        <is>
          <t>LJUSDAL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41345-2022</t>
        </is>
      </c>
      <c r="B5376" s="1" t="n">
        <v>44826</v>
      </c>
      <c r="C5376" s="1" t="n">
        <v>45677</v>
      </c>
      <c r="D5376" t="inlineStr">
        <is>
          <t>GÄVLEBORGS LÄN</t>
        </is>
      </c>
      <c r="E5376" t="inlineStr">
        <is>
          <t>NORDANSTIG</t>
        </is>
      </c>
      <c r="F5376" t="inlineStr">
        <is>
          <t>Holmen skog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41454-2022</t>
        </is>
      </c>
      <c r="B5377" s="1" t="n">
        <v>44826</v>
      </c>
      <c r="C5377" s="1" t="n">
        <v>45677</v>
      </c>
      <c r="D5377" t="inlineStr">
        <is>
          <t>GÄVLEBORGS LÄN</t>
        </is>
      </c>
      <c r="E5377" t="inlineStr">
        <is>
          <t>BOLLNÄS</t>
        </is>
      </c>
      <c r="F5377" t="inlineStr">
        <is>
          <t>Bergvik skog väst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41356-2022</t>
        </is>
      </c>
      <c r="B5378" s="1" t="n">
        <v>44826</v>
      </c>
      <c r="C5378" s="1" t="n">
        <v>45677</v>
      </c>
      <c r="D5378" t="inlineStr">
        <is>
          <t>GÄVLEBORGS LÄN</t>
        </is>
      </c>
      <c r="E5378" t="inlineStr">
        <is>
          <t>NORDANSTIG</t>
        </is>
      </c>
      <c r="F5378" t="inlineStr">
        <is>
          <t>Holmen skog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41453-2022</t>
        </is>
      </c>
      <c r="B5379" s="1" t="n">
        <v>44826</v>
      </c>
      <c r="C5379" s="1" t="n">
        <v>45677</v>
      </c>
      <c r="D5379" t="inlineStr">
        <is>
          <t>GÄVLEBORGS LÄN</t>
        </is>
      </c>
      <c r="E5379" t="inlineStr">
        <is>
          <t>BOLLNÄS</t>
        </is>
      </c>
      <c r="F5379" t="inlineStr">
        <is>
          <t>Bergvik skog väst AB</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41461-2022</t>
        </is>
      </c>
      <c r="B5380" s="1" t="n">
        <v>44827</v>
      </c>
      <c r="C5380" s="1" t="n">
        <v>45677</v>
      </c>
      <c r="D5380" t="inlineStr">
        <is>
          <t>GÄVLEBORGS LÄN</t>
        </is>
      </c>
      <c r="E5380" t="inlineStr">
        <is>
          <t>LJUSDAL</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41658-2022</t>
        </is>
      </c>
      <c r="B5381" s="1" t="n">
        <v>44827</v>
      </c>
      <c r="C5381" s="1" t="n">
        <v>45677</v>
      </c>
      <c r="D5381" t="inlineStr">
        <is>
          <t>GÄVLEBORGS LÄN</t>
        </is>
      </c>
      <c r="E5381" t="inlineStr">
        <is>
          <t>OVANÅKER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41698-2022</t>
        </is>
      </c>
      <c r="B5382" s="1" t="n">
        <v>44827</v>
      </c>
      <c r="C5382" s="1" t="n">
        <v>45677</v>
      </c>
      <c r="D5382" t="inlineStr">
        <is>
          <t>GÄVLEBORGS LÄN</t>
        </is>
      </c>
      <c r="E5382" t="inlineStr">
        <is>
          <t>LJUSDAL</t>
        </is>
      </c>
      <c r="F5382" t="inlineStr">
        <is>
          <t>Bergvik skog väst AB</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41718-2022</t>
        </is>
      </c>
      <c r="B5383" s="1" t="n">
        <v>44827</v>
      </c>
      <c r="C5383" s="1" t="n">
        <v>45677</v>
      </c>
      <c r="D5383" t="inlineStr">
        <is>
          <t>GÄVLEBORGS LÄN</t>
        </is>
      </c>
      <c r="E5383" t="inlineStr">
        <is>
          <t>LJUSDAL</t>
        </is>
      </c>
      <c r="F5383" t="inlineStr">
        <is>
          <t>Bergvik skog väst AB</t>
        </is>
      </c>
      <c r="G5383" t="n">
        <v>17.3</v>
      </c>
      <c r="H5383" t="n">
        <v>0</v>
      </c>
      <c r="I5383" t="n">
        <v>0</v>
      </c>
      <c r="J5383" t="n">
        <v>0</v>
      </c>
      <c r="K5383" t="n">
        <v>0</v>
      </c>
      <c r="L5383" t="n">
        <v>0</v>
      </c>
      <c r="M5383" t="n">
        <v>0</v>
      </c>
      <c r="N5383" t="n">
        <v>0</v>
      </c>
      <c r="O5383" t="n">
        <v>0</v>
      </c>
      <c r="P5383" t="n">
        <v>0</v>
      </c>
      <c r="Q5383" t="n">
        <v>0</v>
      </c>
      <c r="R5383" s="2" t="inlineStr"/>
    </row>
    <row r="5384" ht="15" customHeight="1">
      <c r="A5384" t="inlineStr">
        <is>
          <t>A 41559-2022</t>
        </is>
      </c>
      <c r="B5384" s="1" t="n">
        <v>44827</v>
      </c>
      <c r="C5384" s="1" t="n">
        <v>45677</v>
      </c>
      <c r="D5384" t="inlineStr">
        <is>
          <t>GÄVLEBORGS LÄN</t>
        </is>
      </c>
      <c r="E5384" t="inlineStr">
        <is>
          <t>GÄVLE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41831-2022</t>
        </is>
      </c>
      <c r="B5385" s="1" t="n">
        <v>44827</v>
      </c>
      <c r="C5385" s="1" t="n">
        <v>45677</v>
      </c>
      <c r="D5385" t="inlineStr">
        <is>
          <t>GÄVLEBORGS LÄN</t>
        </is>
      </c>
      <c r="E5385" t="inlineStr">
        <is>
          <t>BOLLNÄS</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41525-2022</t>
        </is>
      </c>
      <c r="B5386" s="1" t="n">
        <v>44827</v>
      </c>
      <c r="C5386" s="1" t="n">
        <v>45677</v>
      </c>
      <c r="D5386" t="inlineStr">
        <is>
          <t>GÄVLEBORGS LÄN</t>
        </is>
      </c>
      <c r="E5386" t="inlineStr">
        <is>
          <t>LJUSDAL</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41848-2022</t>
        </is>
      </c>
      <c r="B5387" s="1" t="n">
        <v>44828</v>
      </c>
      <c r="C5387" s="1" t="n">
        <v>45677</v>
      </c>
      <c r="D5387" t="inlineStr">
        <is>
          <t>GÄVLEBORGS LÄN</t>
        </is>
      </c>
      <c r="E5387" t="inlineStr">
        <is>
          <t>LJUSDAL</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41861-2022</t>
        </is>
      </c>
      <c r="B5388" s="1" t="n">
        <v>44829</v>
      </c>
      <c r="C5388" s="1" t="n">
        <v>45677</v>
      </c>
      <c r="D5388" t="inlineStr">
        <is>
          <t>GÄVLEBORGS LÄN</t>
        </is>
      </c>
      <c r="E5388" t="inlineStr">
        <is>
          <t>SANDVIKEN</t>
        </is>
      </c>
      <c r="F5388" t="inlineStr">
        <is>
          <t>Sveaskog</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41862-2022</t>
        </is>
      </c>
      <c r="B5389" s="1" t="n">
        <v>44829</v>
      </c>
      <c r="C5389" s="1" t="n">
        <v>45677</v>
      </c>
      <c r="D5389" t="inlineStr">
        <is>
          <t>GÄVLEBORGS LÄN</t>
        </is>
      </c>
      <c r="E5389" t="inlineStr">
        <is>
          <t>SANDVIKEN</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41863-2022</t>
        </is>
      </c>
      <c r="B5390" s="1" t="n">
        <v>44829</v>
      </c>
      <c r="C5390" s="1" t="n">
        <v>45677</v>
      </c>
      <c r="D5390" t="inlineStr">
        <is>
          <t>GÄVLEBORGS LÄN</t>
        </is>
      </c>
      <c r="E5390" t="inlineStr">
        <is>
          <t>SANDVIKEN</t>
        </is>
      </c>
      <c r="F5390" t="inlineStr">
        <is>
          <t>Sveaskog</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41962-2022</t>
        </is>
      </c>
      <c r="B5391" s="1" t="n">
        <v>44830</v>
      </c>
      <c r="C5391" s="1" t="n">
        <v>45677</v>
      </c>
      <c r="D5391" t="inlineStr">
        <is>
          <t>GÄVLEBORGS LÄN</t>
        </is>
      </c>
      <c r="E5391" t="inlineStr">
        <is>
          <t>BOLLNÄS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42118-2022</t>
        </is>
      </c>
      <c r="B5392" s="1" t="n">
        <v>44830</v>
      </c>
      <c r="C5392" s="1" t="n">
        <v>45677</v>
      </c>
      <c r="D5392" t="inlineStr">
        <is>
          <t>GÄVLEBORGS LÄN</t>
        </is>
      </c>
      <c r="E5392" t="inlineStr">
        <is>
          <t>NORDANSTIG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41960-2022</t>
        </is>
      </c>
      <c r="B5393" s="1" t="n">
        <v>44830</v>
      </c>
      <c r="C5393" s="1" t="n">
        <v>45677</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42129-2022</t>
        </is>
      </c>
      <c r="B5394" s="1" t="n">
        <v>44830</v>
      </c>
      <c r="C5394" s="1" t="n">
        <v>45677</v>
      </c>
      <c r="D5394" t="inlineStr">
        <is>
          <t>GÄVLEBORGS LÄN</t>
        </is>
      </c>
      <c r="E5394" t="inlineStr">
        <is>
          <t>NORDANSTIG</t>
        </is>
      </c>
      <c r="F5394" t="inlineStr">
        <is>
          <t>Holmen skog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42154-2022</t>
        </is>
      </c>
      <c r="B5395" s="1" t="n">
        <v>44830</v>
      </c>
      <c r="C5395" s="1" t="n">
        <v>45677</v>
      </c>
      <c r="D5395" t="inlineStr">
        <is>
          <t>GÄVLEBORGS LÄN</t>
        </is>
      </c>
      <c r="E5395" t="inlineStr">
        <is>
          <t>NORDANSTIG</t>
        </is>
      </c>
      <c r="F5395" t="inlineStr">
        <is>
          <t>Holmen skog AB</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42211-2022</t>
        </is>
      </c>
      <c r="B5396" s="1" t="n">
        <v>44830</v>
      </c>
      <c r="C5396" s="1" t="n">
        <v>45677</v>
      </c>
      <c r="D5396" t="inlineStr">
        <is>
          <t>GÄVLEBORGS LÄN</t>
        </is>
      </c>
      <c r="E5396" t="inlineStr">
        <is>
          <t>OVANÅKER</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42192-2022</t>
        </is>
      </c>
      <c r="B5397" s="1" t="n">
        <v>44830</v>
      </c>
      <c r="C5397" s="1" t="n">
        <v>45677</v>
      </c>
      <c r="D5397" t="inlineStr">
        <is>
          <t>GÄVLEBORGS LÄN</t>
        </is>
      </c>
      <c r="E5397" t="inlineStr">
        <is>
          <t>GÄVLE</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42330-2022</t>
        </is>
      </c>
      <c r="B5398" s="1" t="n">
        <v>44831</v>
      </c>
      <c r="C5398" s="1" t="n">
        <v>45677</v>
      </c>
      <c r="D5398" t="inlineStr">
        <is>
          <t>GÄVLEBORGS LÄN</t>
        </is>
      </c>
      <c r="E5398" t="inlineStr">
        <is>
          <t>LJUSDAL</t>
        </is>
      </c>
      <c r="F5398" t="inlineStr">
        <is>
          <t>Bergvik skog väst AB</t>
        </is>
      </c>
      <c r="G5398" t="n">
        <v>2.8</v>
      </c>
      <c r="H5398" t="n">
        <v>0</v>
      </c>
      <c r="I5398" t="n">
        <v>0</v>
      </c>
      <c r="J5398" t="n">
        <v>0</v>
      </c>
      <c r="K5398" t="n">
        <v>0</v>
      </c>
      <c r="L5398" t="n">
        <v>0</v>
      </c>
      <c r="M5398" t="n">
        <v>0</v>
      </c>
      <c r="N5398" t="n">
        <v>0</v>
      </c>
      <c r="O5398" t="n">
        <v>0</v>
      </c>
      <c r="P5398" t="n">
        <v>0</v>
      </c>
      <c r="Q5398" t="n">
        <v>0</v>
      </c>
      <c r="R5398" s="2" t="inlineStr"/>
      <c r="U5398">
        <f>HYPERLINK("https://klasma.github.io/Logging_2161/knärot/A 42330-2022 karta knärot.png", "A 42330-2022")</f>
        <v/>
      </c>
      <c r="V5398">
        <f>HYPERLINK("https://klasma.github.io/Logging_2161/klagomål/A 42330-2022 FSC-klagomål.docx", "A 42330-2022")</f>
        <v/>
      </c>
      <c r="W5398">
        <f>HYPERLINK("https://klasma.github.io/Logging_2161/klagomålsmail/A 42330-2022 FSC-klagomål mail.docx", "A 42330-2022")</f>
        <v/>
      </c>
      <c r="X5398">
        <f>HYPERLINK("https://klasma.github.io/Logging_2161/tillsyn/A 42330-2022 tillsynsbegäran.docx", "A 42330-2022")</f>
        <v/>
      </c>
      <c r="Y5398">
        <f>HYPERLINK("https://klasma.github.io/Logging_2161/tillsynsmail/A 42330-2022 tillsynsbegäran mail.docx", "A 42330-2022")</f>
        <v/>
      </c>
    </row>
    <row r="5399" ht="15" customHeight="1">
      <c r="A5399" t="inlineStr">
        <is>
          <t>A 42353-2022</t>
        </is>
      </c>
      <c r="B5399" s="1" t="n">
        <v>44831</v>
      </c>
      <c r="C5399" s="1" t="n">
        <v>45677</v>
      </c>
      <c r="D5399" t="inlineStr">
        <is>
          <t>GÄVLEBORGS LÄN</t>
        </is>
      </c>
      <c r="E5399" t="inlineStr">
        <is>
          <t>HUDIKSVALL</t>
        </is>
      </c>
      <c r="F5399" t="inlineStr">
        <is>
          <t>Holmen skog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42404-2022</t>
        </is>
      </c>
      <c r="B5400" s="1" t="n">
        <v>44831</v>
      </c>
      <c r="C5400" s="1" t="n">
        <v>45677</v>
      </c>
      <c r="D5400" t="inlineStr">
        <is>
          <t>GÄVLEBORGS LÄN</t>
        </is>
      </c>
      <c r="E5400" t="inlineStr">
        <is>
          <t>NORDANSTIG</t>
        </is>
      </c>
      <c r="F5400" t="inlineStr">
        <is>
          <t>Holmen skog AB</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42469-2022</t>
        </is>
      </c>
      <c r="B5401" s="1" t="n">
        <v>44831</v>
      </c>
      <c r="C5401" s="1" t="n">
        <v>45677</v>
      </c>
      <c r="D5401" t="inlineStr">
        <is>
          <t>GÄVLEBORGS LÄN</t>
        </is>
      </c>
      <c r="E5401" t="inlineStr">
        <is>
          <t>NORDANSTIG</t>
        </is>
      </c>
      <c r="F5401" t="inlineStr">
        <is>
          <t>Holmen skog AB</t>
        </is>
      </c>
      <c r="G5401" t="n">
        <v>13.2</v>
      </c>
      <c r="H5401" t="n">
        <v>0</v>
      </c>
      <c r="I5401" t="n">
        <v>0</v>
      </c>
      <c r="J5401" t="n">
        <v>0</v>
      </c>
      <c r="K5401" t="n">
        <v>0</v>
      </c>
      <c r="L5401" t="n">
        <v>0</v>
      </c>
      <c r="M5401" t="n">
        <v>0</v>
      </c>
      <c r="N5401" t="n">
        <v>0</v>
      </c>
      <c r="O5401" t="n">
        <v>0</v>
      </c>
      <c r="P5401" t="n">
        <v>0</v>
      </c>
      <c r="Q5401" t="n">
        <v>0</v>
      </c>
      <c r="R5401" s="2" t="inlineStr"/>
    </row>
    <row r="5402" ht="15" customHeight="1">
      <c r="A5402" t="inlineStr">
        <is>
          <t>A 42507-2022</t>
        </is>
      </c>
      <c r="B5402" s="1" t="n">
        <v>44831</v>
      </c>
      <c r="C5402" s="1" t="n">
        <v>45677</v>
      </c>
      <c r="D5402" t="inlineStr">
        <is>
          <t>GÄVLEBORGS LÄN</t>
        </is>
      </c>
      <c r="E5402" t="inlineStr">
        <is>
          <t>HUDIKSVALL</t>
        </is>
      </c>
      <c r="F5402" t="inlineStr">
        <is>
          <t>Holmen skog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42326-2022</t>
        </is>
      </c>
      <c r="B5403" s="1" t="n">
        <v>44831</v>
      </c>
      <c r="C5403" s="1" t="n">
        <v>45677</v>
      </c>
      <c r="D5403" t="inlineStr">
        <is>
          <t>GÄVLEBORGS LÄN</t>
        </is>
      </c>
      <c r="E5403" t="inlineStr">
        <is>
          <t>LJUSDAL</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42347-2022</t>
        </is>
      </c>
      <c r="B5404" s="1" t="n">
        <v>44831</v>
      </c>
      <c r="C5404" s="1" t="n">
        <v>45677</v>
      </c>
      <c r="D5404" t="inlineStr">
        <is>
          <t>GÄVLEBORGS LÄN</t>
        </is>
      </c>
      <c r="E5404" t="inlineStr">
        <is>
          <t>LJUSDAL</t>
        </is>
      </c>
      <c r="F5404" t="inlineStr">
        <is>
          <t>Bergvik skog väst AB</t>
        </is>
      </c>
      <c r="G5404" t="n">
        <v>14.1</v>
      </c>
      <c r="H5404" t="n">
        <v>0</v>
      </c>
      <c r="I5404" t="n">
        <v>0</v>
      </c>
      <c r="J5404" t="n">
        <v>0</v>
      </c>
      <c r="K5404" t="n">
        <v>0</v>
      </c>
      <c r="L5404" t="n">
        <v>0</v>
      </c>
      <c r="M5404" t="n">
        <v>0</v>
      </c>
      <c r="N5404" t="n">
        <v>0</v>
      </c>
      <c r="O5404" t="n">
        <v>0</v>
      </c>
      <c r="P5404" t="n">
        <v>0</v>
      </c>
      <c r="Q5404" t="n">
        <v>0</v>
      </c>
      <c r="R5404" s="2" t="inlineStr"/>
      <c r="U5404">
        <f>HYPERLINK("https://klasma.github.io/Logging_2161/knärot/A 42347-2022 karta knärot.png", "A 42347-2022")</f>
        <v/>
      </c>
      <c r="V5404">
        <f>HYPERLINK("https://klasma.github.io/Logging_2161/klagomål/A 42347-2022 FSC-klagomål.docx", "A 42347-2022")</f>
        <v/>
      </c>
      <c r="W5404">
        <f>HYPERLINK("https://klasma.github.io/Logging_2161/klagomålsmail/A 42347-2022 FSC-klagomål mail.docx", "A 42347-2022")</f>
        <v/>
      </c>
      <c r="X5404">
        <f>HYPERLINK("https://klasma.github.io/Logging_2161/tillsyn/A 42347-2022 tillsynsbegäran.docx", "A 42347-2022")</f>
        <v/>
      </c>
      <c r="Y5404">
        <f>HYPERLINK("https://klasma.github.io/Logging_2161/tillsynsmail/A 42347-2022 tillsynsbegäran mail.docx", "A 42347-2022")</f>
        <v/>
      </c>
    </row>
    <row r="5405" ht="15" customHeight="1">
      <c r="A5405" t="inlineStr">
        <is>
          <t>A 42392-2022</t>
        </is>
      </c>
      <c r="B5405" s="1" t="n">
        <v>44831</v>
      </c>
      <c r="C5405" s="1" t="n">
        <v>45677</v>
      </c>
      <c r="D5405" t="inlineStr">
        <is>
          <t>GÄVLEBORGS LÄN</t>
        </is>
      </c>
      <c r="E5405" t="inlineStr">
        <is>
          <t>BOLLNÄS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42350-2022</t>
        </is>
      </c>
      <c r="B5406" s="1" t="n">
        <v>44831</v>
      </c>
      <c r="C5406" s="1" t="n">
        <v>45677</v>
      </c>
      <c r="D5406" t="inlineStr">
        <is>
          <t>GÄVLEBORGS LÄN</t>
        </is>
      </c>
      <c r="E5406" t="inlineStr">
        <is>
          <t>BOLLNÄS</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42325-2022</t>
        </is>
      </c>
      <c r="B5407" s="1" t="n">
        <v>44831</v>
      </c>
      <c r="C5407" s="1" t="n">
        <v>45677</v>
      </c>
      <c r="D5407" t="inlineStr">
        <is>
          <t>GÄVLEBORGS LÄN</t>
        </is>
      </c>
      <c r="E5407" t="inlineStr">
        <is>
          <t>BOLLNÄS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42406-2022</t>
        </is>
      </c>
      <c r="B5408" s="1" t="n">
        <v>44831</v>
      </c>
      <c r="C5408" s="1" t="n">
        <v>45677</v>
      </c>
      <c r="D5408" t="inlineStr">
        <is>
          <t>GÄVLEBORGS LÄN</t>
        </is>
      </c>
      <c r="E5408" t="inlineStr">
        <is>
          <t>BOLLNÄS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42629-2022</t>
        </is>
      </c>
      <c r="B5409" s="1" t="n">
        <v>44832</v>
      </c>
      <c r="C5409" s="1" t="n">
        <v>45677</v>
      </c>
      <c r="D5409" t="inlineStr">
        <is>
          <t>GÄVLEBORGS LÄN</t>
        </is>
      </c>
      <c r="E5409" t="inlineStr">
        <is>
          <t>NORDANSTIG</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42513-2022</t>
        </is>
      </c>
      <c r="B5410" s="1" t="n">
        <v>44831</v>
      </c>
      <c r="C5410" s="1" t="n">
        <v>45677</v>
      </c>
      <c r="D5410" t="inlineStr">
        <is>
          <t>GÄVLEBORGS LÄN</t>
        </is>
      </c>
      <c r="E5410" t="inlineStr">
        <is>
          <t>BOLLNÄS</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42519-2022</t>
        </is>
      </c>
      <c r="B5411" s="1" t="n">
        <v>44831</v>
      </c>
      <c r="C5411" s="1" t="n">
        <v>45677</v>
      </c>
      <c r="D5411" t="inlineStr">
        <is>
          <t>GÄVLEBORGS LÄN</t>
        </is>
      </c>
      <c r="E5411" t="inlineStr">
        <is>
          <t>BOLLNÄS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42630-2022</t>
        </is>
      </c>
      <c r="B5412" s="1" t="n">
        <v>44832</v>
      </c>
      <c r="C5412" s="1" t="n">
        <v>45677</v>
      </c>
      <c r="D5412" t="inlineStr">
        <is>
          <t>GÄVLEBORGS LÄN</t>
        </is>
      </c>
      <c r="E5412" t="inlineStr">
        <is>
          <t>NORDANSTIG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42683-2022</t>
        </is>
      </c>
      <c r="B5413" s="1" t="n">
        <v>44832</v>
      </c>
      <c r="C5413" s="1" t="n">
        <v>45677</v>
      </c>
      <c r="D5413" t="inlineStr">
        <is>
          <t>GÄVLEBORGS LÄN</t>
        </is>
      </c>
      <c r="E5413" t="inlineStr">
        <is>
          <t>HUDIKSVALL</t>
        </is>
      </c>
      <c r="F5413" t="inlineStr">
        <is>
          <t>Holmen skog AB</t>
        </is>
      </c>
      <c r="G5413" t="n">
        <v>23.4</v>
      </c>
      <c r="H5413" t="n">
        <v>0</v>
      </c>
      <c r="I5413" t="n">
        <v>0</v>
      </c>
      <c r="J5413" t="n">
        <v>0</v>
      </c>
      <c r="K5413" t="n">
        <v>0</v>
      </c>
      <c r="L5413" t="n">
        <v>0</v>
      </c>
      <c r="M5413" t="n">
        <v>0</v>
      </c>
      <c r="N5413" t="n">
        <v>0</v>
      </c>
      <c r="O5413" t="n">
        <v>0</v>
      </c>
      <c r="P5413" t="n">
        <v>0</v>
      </c>
      <c r="Q5413" t="n">
        <v>0</v>
      </c>
      <c r="R5413" s="2" t="inlineStr"/>
    </row>
    <row r="5414" ht="15" customHeight="1">
      <c r="A5414" t="inlineStr">
        <is>
          <t>A 42826-2022</t>
        </is>
      </c>
      <c r="B5414" s="1" t="n">
        <v>44832</v>
      </c>
      <c r="C5414" s="1" t="n">
        <v>45677</v>
      </c>
      <c r="D5414" t="inlineStr">
        <is>
          <t>GÄVLEBORGS LÄN</t>
        </is>
      </c>
      <c r="E5414" t="inlineStr">
        <is>
          <t>LJUSDAL</t>
        </is>
      </c>
      <c r="F5414" t="inlineStr">
        <is>
          <t>Bergvik skog väst AB</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42685-2022</t>
        </is>
      </c>
      <c r="B5415" s="1" t="n">
        <v>44832</v>
      </c>
      <c r="C5415" s="1" t="n">
        <v>45677</v>
      </c>
      <c r="D5415" t="inlineStr">
        <is>
          <t>GÄVLEBORGS LÄN</t>
        </is>
      </c>
      <c r="E5415" t="inlineStr">
        <is>
          <t>OVANÅKER</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42780-2022</t>
        </is>
      </c>
      <c r="B5416" s="1" t="n">
        <v>44832</v>
      </c>
      <c r="C5416" s="1" t="n">
        <v>45677</v>
      </c>
      <c r="D5416" t="inlineStr">
        <is>
          <t>GÄVLEBORGS LÄN</t>
        </is>
      </c>
      <c r="E5416" t="inlineStr">
        <is>
          <t>NORDANSTIG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42839-2022</t>
        </is>
      </c>
      <c r="B5417" s="1" t="n">
        <v>44832</v>
      </c>
      <c r="C5417" s="1" t="n">
        <v>45677</v>
      </c>
      <c r="D5417" t="inlineStr">
        <is>
          <t>GÄVLEBORGS LÄN</t>
        </is>
      </c>
      <c r="E5417" t="inlineStr">
        <is>
          <t>LJUSDAL</t>
        </is>
      </c>
      <c r="F5417" t="inlineStr">
        <is>
          <t>Bergvik skog väst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42915-2022</t>
        </is>
      </c>
      <c r="B5418" s="1" t="n">
        <v>44833</v>
      </c>
      <c r="C5418" s="1" t="n">
        <v>45677</v>
      </c>
      <c r="D5418" t="inlineStr">
        <is>
          <t>GÄVLEBORGS LÄN</t>
        </is>
      </c>
      <c r="E5418" t="inlineStr">
        <is>
          <t>LJUSDAL</t>
        </is>
      </c>
      <c r="F5418" t="inlineStr">
        <is>
          <t>Bergvik skog väst AB</t>
        </is>
      </c>
      <c r="G5418" t="n">
        <v>11.8</v>
      </c>
      <c r="H5418" t="n">
        <v>0</v>
      </c>
      <c r="I5418" t="n">
        <v>0</v>
      </c>
      <c r="J5418" t="n">
        <v>0</v>
      </c>
      <c r="K5418" t="n">
        <v>0</v>
      </c>
      <c r="L5418" t="n">
        <v>0</v>
      </c>
      <c r="M5418" t="n">
        <v>0</v>
      </c>
      <c r="N5418" t="n">
        <v>0</v>
      </c>
      <c r="O5418" t="n">
        <v>0</v>
      </c>
      <c r="P5418" t="n">
        <v>0</v>
      </c>
      <c r="Q5418" t="n">
        <v>0</v>
      </c>
      <c r="R5418" s="2" t="inlineStr"/>
    </row>
    <row r="5419" ht="15" customHeight="1">
      <c r="A5419" t="inlineStr">
        <is>
          <t>A 42961-2022</t>
        </is>
      </c>
      <c r="B5419" s="1" t="n">
        <v>44833</v>
      </c>
      <c r="C5419" s="1" t="n">
        <v>45677</v>
      </c>
      <c r="D5419" t="inlineStr">
        <is>
          <t>GÄVLEBORGS LÄN</t>
        </is>
      </c>
      <c r="E5419" t="inlineStr">
        <is>
          <t>LJUSDAL</t>
        </is>
      </c>
      <c r="F5419" t="inlineStr">
        <is>
          <t>Bergvik skog väst AB</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42972-2022</t>
        </is>
      </c>
      <c r="B5420" s="1" t="n">
        <v>44833</v>
      </c>
      <c r="C5420" s="1" t="n">
        <v>45677</v>
      </c>
      <c r="D5420" t="inlineStr">
        <is>
          <t>GÄVLEBORGS LÄN</t>
        </is>
      </c>
      <c r="E5420" t="inlineStr">
        <is>
          <t>LJUSDAL</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43016-2022</t>
        </is>
      </c>
      <c r="B5421" s="1" t="n">
        <v>44833</v>
      </c>
      <c r="C5421" s="1" t="n">
        <v>45677</v>
      </c>
      <c r="D5421" t="inlineStr">
        <is>
          <t>GÄVLEBORGS LÄN</t>
        </is>
      </c>
      <c r="E5421" t="inlineStr">
        <is>
          <t>LJUSDAL</t>
        </is>
      </c>
      <c r="F5421" t="inlineStr">
        <is>
          <t>Naturvårdsverket</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43024-2022</t>
        </is>
      </c>
      <c r="B5422" s="1" t="n">
        <v>44833</v>
      </c>
      <c r="C5422" s="1" t="n">
        <v>45677</v>
      </c>
      <c r="D5422" t="inlineStr">
        <is>
          <t>GÄVLEBORGS LÄN</t>
        </is>
      </c>
      <c r="E5422" t="inlineStr">
        <is>
          <t>LJUSDAL</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42947-2022</t>
        </is>
      </c>
      <c r="B5423" s="1" t="n">
        <v>44833</v>
      </c>
      <c r="C5423" s="1" t="n">
        <v>45677</v>
      </c>
      <c r="D5423" t="inlineStr">
        <is>
          <t>GÄVLEBORGS LÄN</t>
        </is>
      </c>
      <c r="E5423" t="inlineStr">
        <is>
          <t>NORDANSTIG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42956-2022</t>
        </is>
      </c>
      <c r="B5424" s="1" t="n">
        <v>44833</v>
      </c>
      <c r="C5424" s="1" t="n">
        <v>45677</v>
      </c>
      <c r="D5424" t="inlineStr">
        <is>
          <t>GÄVLEBORGS LÄN</t>
        </is>
      </c>
      <c r="E5424" t="inlineStr">
        <is>
          <t>LJUSDAL</t>
        </is>
      </c>
      <c r="F5424" t="inlineStr">
        <is>
          <t>Bergvik skog väst AB</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43010-2022</t>
        </is>
      </c>
      <c r="B5425" s="1" t="n">
        <v>44833</v>
      </c>
      <c r="C5425" s="1" t="n">
        <v>45677</v>
      </c>
      <c r="D5425" t="inlineStr">
        <is>
          <t>GÄVLEBORGS LÄN</t>
        </is>
      </c>
      <c r="E5425" t="inlineStr">
        <is>
          <t>HUDIKSVALL</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42918-2022</t>
        </is>
      </c>
      <c r="B5426" s="1" t="n">
        <v>44833</v>
      </c>
      <c r="C5426" s="1" t="n">
        <v>45677</v>
      </c>
      <c r="D5426" t="inlineStr">
        <is>
          <t>GÄVLEBORGS LÄN</t>
        </is>
      </c>
      <c r="E5426" t="inlineStr">
        <is>
          <t>LJUSDAL</t>
        </is>
      </c>
      <c r="F5426" t="inlineStr">
        <is>
          <t>Bergvik skog väst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42964-2022</t>
        </is>
      </c>
      <c r="B5427" s="1" t="n">
        <v>44833</v>
      </c>
      <c r="C5427" s="1" t="n">
        <v>45677</v>
      </c>
      <c r="D5427" t="inlineStr">
        <is>
          <t>GÄVLEBORGS LÄN</t>
        </is>
      </c>
      <c r="E5427" t="inlineStr">
        <is>
          <t>LJUSDAL</t>
        </is>
      </c>
      <c r="F5427" t="inlineStr">
        <is>
          <t>Bergvik skog väst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42959-2022</t>
        </is>
      </c>
      <c r="B5428" s="1" t="n">
        <v>44833</v>
      </c>
      <c r="C5428" s="1" t="n">
        <v>45677</v>
      </c>
      <c r="D5428" t="inlineStr">
        <is>
          <t>GÄVLEBORGS LÄN</t>
        </is>
      </c>
      <c r="E5428" t="inlineStr">
        <is>
          <t>LJUSDAL</t>
        </is>
      </c>
      <c r="F5428" t="inlineStr">
        <is>
          <t>Bergvik skog väst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42981-2022</t>
        </is>
      </c>
      <c r="B5429" s="1" t="n">
        <v>44833</v>
      </c>
      <c r="C5429" s="1" t="n">
        <v>45677</v>
      </c>
      <c r="D5429" t="inlineStr">
        <is>
          <t>GÄVLEBORGS LÄN</t>
        </is>
      </c>
      <c r="E5429" t="inlineStr">
        <is>
          <t>HUDIKSVALL</t>
        </is>
      </c>
      <c r="F5429" t="inlineStr">
        <is>
          <t>Holmen skog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43023-2022</t>
        </is>
      </c>
      <c r="B5430" s="1" t="n">
        <v>44833</v>
      </c>
      <c r="C5430" s="1" t="n">
        <v>45677</v>
      </c>
      <c r="D5430" t="inlineStr">
        <is>
          <t>GÄVLEBORGS LÄN</t>
        </is>
      </c>
      <c r="E5430" t="inlineStr">
        <is>
          <t>LJUSDAL</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43077-2022</t>
        </is>
      </c>
      <c r="B5431" s="1" t="n">
        <v>44833</v>
      </c>
      <c r="C5431" s="1" t="n">
        <v>45677</v>
      </c>
      <c r="D5431" t="inlineStr">
        <is>
          <t>GÄVLEBORGS LÄN</t>
        </is>
      </c>
      <c r="E5431" t="inlineStr">
        <is>
          <t>LJUSDAL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43060-2022</t>
        </is>
      </c>
      <c r="B5432" s="1" t="n">
        <v>44833</v>
      </c>
      <c r="C5432" s="1" t="n">
        <v>45677</v>
      </c>
      <c r="D5432" t="inlineStr">
        <is>
          <t>GÄVLEBORGS LÄN</t>
        </is>
      </c>
      <c r="E5432" t="inlineStr">
        <is>
          <t>LJUSDAL</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43090-2022</t>
        </is>
      </c>
      <c r="B5433" s="1" t="n">
        <v>44833</v>
      </c>
      <c r="C5433" s="1" t="n">
        <v>45677</v>
      </c>
      <c r="D5433" t="inlineStr">
        <is>
          <t>GÄVLEBORGS LÄN</t>
        </is>
      </c>
      <c r="E5433" t="inlineStr">
        <is>
          <t>LJUSDAL</t>
        </is>
      </c>
      <c r="F5433" t="inlineStr">
        <is>
          <t>Bergvik skog väst AB</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43423-2022</t>
        </is>
      </c>
      <c r="B5434" s="1" t="n">
        <v>44835</v>
      </c>
      <c r="C5434" s="1" t="n">
        <v>45677</v>
      </c>
      <c r="D5434" t="inlineStr">
        <is>
          <t>GÄVLEBORGS LÄN</t>
        </is>
      </c>
      <c r="E5434" t="inlineStr">
        <is>
          <t>LJUSDAL</t>
        </is>
      </c>
      <c r="F5434" t="inlineStr">
        <is>
          <t>SCA</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43425-2022</t>
        </is>
      </c>
      <c r="B5435" s="1" t="n">
        <v>44834</v>
      </c>
      <c r="C5435" s="1" t="n">
        <v>45677</v>
      </c>
      <c r="D5435" t="inlineStr">
        <is>
          <t>GÄVLEBORGS LÄN</t>
        </is>
      </c>
      <c r="E5435" t="inlineStr">
        <is>
          <t>LJUSDAL</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43505-2022</t>
        </is>
      </c>
      <c r="B5436" s="1" t="n">
        <v>44837</v>
      </c>
      <c r="C5436" s="1" t="n">
        <v>45677</v>
      </c>
      <c r="D5436" t="inlineStr">
        <is>
          <t>GÄVLEBORGS LÄN</t>
        </is>
      </c>
      <c r="E5436" t="inlineStr">
        <is>
          <t>LJUSDAL</t>
        </is>
      </c>
      <c r="F5436" t="inlineStr">
        <is>
          <t>Naturvårdsverket</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43490-2022</t>
        </is>
      </c>
      <c r="B5437" s="1" t="n">
        <v>44837</v>
      </c>
      <c r="C5437" s="1" t="n">
        <v>45677</v>
      </c>
      <c r="D5437" t="inlineStr">
        <is>
          <t>GÄVLEBORGS LÄN</t>
        </is>
      </c>
      <c r="E5437" t="inlineStr">
        <is>
          <t>SÖDERHAMN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43523-2022</t>
        </is>
      </c>
      <c r="B5438" s="1" t="n">
        <v>44837</v>
      </c>
      <c r="C5438" s="1" t="n">
        <v>45677</v>
      </c>
      <c r="D5438" t="inlineStr">
        <is>
          <t>GÄVLEBORGS LÄN</t>
        </is>
      </c>
      <c r="E5438" t="inlineStr">
        <is>
          <t>LJUSDAL</t>
        </is>
      </c>
      <c r="G5438" t="n">
        <v>22.4</v>
      </c>
      <c r="H5438" t="n">
        <v>0</v>
      </c>
      <c r="I5438" t="n">
        <v>0</v>
      </c>
      <c r="J5438" t="n">
        <v>0</v>
      </c>
      <c r="K5438" t="n">
        <v>0</v>
      </c>
      <c r="L5438" t="n">
        <v>0</v>
      </c>
      <c r="M5438" t="n">
        <v>0</v>
      </c>
      <c r="N5438" t="n">
        <v>0</v>
      </c>
      <c r="O5438" t="n">
        <v>0</v>
      </c>
      <c r="P5438" t="n">
        <v>0</v>
      </c>
      <c r="Q5438" t="n">
        <v>0</v>
      </c>
      <c r="R5438" s="2" t="inlineStr"/>
    </row>
    <row r="5439" ht="15" customHeight="1">
      <c r="A5439" t="inlineStr">
        <is>
          <t>A 43537-2022</t>
        </is>
      </c>
      <c r="B5439" s="1" t="n">
        <v>44837</v>
      </c>
      <c r="C5439" s="1" t="n">
        <v>45677</v>
      </c>
      <c r="D5439" t="inlineStr">
        <is>
          <t>GÄVLEBORGS LÄN</t>
        </is>
      </c>
      <c r="E5439" t="inlineStr">
        <is>
          <t>LJUSDAL</t>
        </is>
      </c>
      <c r="F5439" t="inlineStr">
        <is>
          <t>Naturvårdsverket</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43610-2022</t>
        </is>
      </c>
      <c r="B5440" s="1" t="n">
        <v>44837</v>
      </c>
      <c r="C5440" s="1" t="n">
        <v>45677</v>
      </c>
      <c r="D5440" t="inlineStr">
        <is>
          <t>GÄVLEBORGS LÄN</t>
        </is>
      </c>
      <c r="E5440" t="inlineStr">
        <is>
          <t>HOFORS</t>
        </is>
      </c>
      <c r="F5440" t="inlineStr">
        <is>
          <t>Sveaskog</t>
        </is>
      </c>
      <c r="G5440" t="n">
        <v>17.6</v>
      </c>
      <c r="H5440" t="n">
        <v>0</v>
      </c>
      <c r="I5440" t="n">
        <v>0</v>
      </c>
      <c r="J5440" t="n">
        <v>0</v>
      </c>
      <c r="K5440" t="n">
        <v>0</v>
      </c>
      <c r="L5440" t="n">
        <v>0</v>
      </c>
      <c r="M5440" t="n">
        <v>0</v>
      </c>
      <c r="N5440" t="n">
        <v>0</v>
      </c>
      <c r="O5440" t="n">
        <v>0</v>
      </c>
      <c r="P5440" t="n">
        <v>0</v>
      </c>
      <c r="Q5440" t="n">
        <v>0</v>
      </c>
      <c r="R5440" s="2" t="inlineStr"/>
    </row>
    <row r="5441" ht="15" customHeight="1">
      <c r="A5441" t="inlineStr">
        <is>
          <t>A 43659-2022</t>
        </is>
      </c>
      <c r="B5441" s="1" t="n">
        <v>44837</v>
      </c>
      <c r="C5441" s="1" t="n">
        <v>45677</v>
      </c>
      <c r="D5441" t="inlineStr">
        <is>
          <t>GÄVLEBORGS LÄN</t>
        </is>
      </c>
      <c r="E5441" t="inlineStr">
        <is>
          <t>OCKELBO</t>
        </is>
      </c>
      <c r="F5441" t="inlineStr">
        <is>
          <t>Bergvik skog väst AB</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43698-2022</t>
        </is>
      </c>
      <c r="B5442" s="1" t="n">
        <v>44837</v>
      </c>
      <c r="C5442" s="1" t="n">
        <v>45677</v>
      </c>
      <c r="D5442" t="inlineStr">
        <is>
          <t>GÄVLEBORGS LÄN</t>
        </is>
      </c>
      <c r="E5442" t="inlineStr">
        <is>
          <t>SÖDERHAMN</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43631-2022</t>
        </is>
      </c>
      <c r="B5443" s="1" t="n">
        <v>44837</v>
      </c>
      <c r="C5443" s="1" t="n">
        <v>45677</v>
      </c>
      <c r="D5443" t="inlineStr">
        <is>
          <t>GÄVLEBORGS LÄN</t>
        </is>
      </c>
      <c r="E5443" t="inlineStr">
        <is>
          <t>HOFORS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43603-2022</t>
        </is>
      </c>
      <c r="B5444" s="1" t="n">
        <v>44837</v>
      </c>
      <c r="C5444" s="1" t="n">
        <v>45677</v>
      </c>
      <c r="D5444" t="inlineStr">
        <is>
          <t>GÄVLEBORGS LÄN</t>
        </is>
      </c>
      <c r="E5444" t="inlineStr">
        <is>
          <t>HOFORS</t>
        </is>
      </c>
      <c r="F5444" t="inlineStr">
        <is>
          <t>Sveaskog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43670-2022</t>
        </is>
      </c>
      <c r="B5445" s="1" t="n">
        <v>44837</v>
      </c>
      <c r="C5445" s="1" t="n">
        <v>45677</v>
      </c>
      <c r="D5445" t="inlineStr">
        <is>
          <t>GÄVLEBORGS LÄN</t>
        </is>
      </c>
      <c r="E5445" t="inlineStr">
        <is>
          <t>SÖDERHAMN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43578-2022</t>
        </is>
      </c>
      <c r="B5446" s="1" t="n">
        <v>44837</v>
      </c>
      <c r="C5446" s="1" t="n">
        <v>45677</v>
      </c>
      <c r="D5446" t="inlineStr">
        <is>
          <t>GÄVLEBORGS LÄN</t>
        </is>
      </c>
      <c r="E5446" t="inlineStr">
        <is>
          <t>HUDIKSVALL</t>
        </is>
      </c>
      <c r="F5446" t="inlineStr">
        <is>
          <t>Holmen skog AB</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43723-2022</t>
        </is>
      </c>
      <c r="B5447" s="1" t="n">
        <v>44837</v>
      </c>
      <c r="C5447" s="1" t="n">
        <v>45677</v>
      </c>
      <c r="D5447" t="inlineStr">
        <is>
          <t>GÄVLEBORGS LÄN</t>
        </is>
      </c>
      <c r="E5447" t="inlineStr">
        <is>
          <t>SÖDERHAMN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43875-2022</t>
        </is>
      </c>
      <c r="B5448" s="1" t="n">
        <v>44837</v>
      </c>
      <c r="C5448" s="1" t="n">
        <v>45677</v>
      </c>
      <c r="D5448" t="inlineStr">
        <is>
          <t>GÄVLEBORGS LÄN</t>
        </is>
      </c>
      <c r="E5448" t="inlineStr">
        <is>
          <t>SÖDERHAMN</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43799-2022</t>
        </is>
      </c>
      <c r="B5449" s="1" t="n">
        <v>44838</v>
      </c>
      <c r="C5449" s="1" t="n">
        <v>45677</v>
      </c>
      <c r="D5449" t="inlineStr">
        <is>
          <t>GÄVLEBORGS LÄN</t>
        </is>
      </c>
      <c r="E5449" t="inlineStr">
        <is>
          <t>OCKELBO</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43936-2022</t>
        </is>
      </c>
      <c r="B5450" s="1" t="n">
        <v>44838</v>
      </c>
      <c r="C5450" s="1" t="n">
        <v>45677</v>
      </c>
      <c r="D5450" t="inlineStr">
        <is>
          <t>GÄVLEBORGS LÄN</t>
        </is>
      </c>
      <c r="E5450" t="inlineStr">
        <is>
          <t>SÖDERHAMN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43800-2022</t>
        </is>
      </c>
      <c r="B5451" s="1" t="n">
        <v>44838</v>
      </c>
      <c r="C5451" s="1" t="n">
        <v>45677</v>
      </c>
      <c r="D5451" t="inlineStr">
        <is>
          <t>GÄVLEBORGS LÄN</t>
        </is>
      </c>
      <c r="E5451" t="inlineStr">
        <is>
          <t>OCKELBO</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43853-2022</t>
        </is>
      </c>
      <c r="B5452" s="1" t="n">
        <v>44838</v>
      </c>
      <c r="C5452" s="1" t="n">
        <v>45677</v>
      </c>
      <c r="D5452" t="inlineStr">
        <is>
          <t>GÄVLEBORGS LÄN</t>
        </is>
      </c>
      <c r="E5452" t="inlineStr">
        <is>
          <t>NORDANSTIG</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43803-2022</t>
        </is>
      </c>
      <c r="B5453" s="1" t="n">
        <v>44838</v>
      </c>
      <c r="C5453" s="1" t="n">
        <v>45677</v>
      </c>
      <c r="D5453" t="inlineStr">
        <is>
          <t>GÄVLEBORGS LÄN</t>
        </is>
      </c>
      <c r="E5453" t="inlineStr">
        <is>
          <t>HUDIKSVALL</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43802-2022</t>
        </is>
      </c>
      <c r="B5454" s="1" t="n">
        <v>44838</v>
      </c>
      <c r="C5454" s="1" t="n">
        <v>45677</v>
      </c>
      <c r="D5454" t="inlineStr">
        <is>
          <t>GÄVLEBORGS LÄN</t>
        </is>
      </c>
      <c r="E5454" t="inlineStr">
        <is>
          <t>OCKELBO</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44027-2022</t>
        </is>
      </c>
      <c r="B5455" s="1" t="n">
        <v>44839</v>
      </c>
      <c r="C5455" s="1" t="n">
        <v>45677</v>
      </c>
      <c r="D5455" t="inlineStr">
        <is>
          <t>GÄVLEBORGS LÄN</t>
        </is>
      </c>
      <c r="E5455" t="inlineStr">
        <is>
          <t>LJUSDAL</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44032-2022</t>
        </is>
      </c>
      <c r="B5456" s="1" t="n">
        <v>44838</v>
      </c>
      <c r="C5456" s="1" t="n">
        <v>45677</v>
      </c>
      <c r="D5456" t="inlineStr">
        <is>
          <t>GÄVLEBORGS LÄN</t>
        </is>
      </c>
      <c r="E5456" t="inlineStr">
        <is>
          <t>LJUSDAL</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44048-2022</t>
        </is>
      </c>
      <c r="B5457" s="1" t="n">
        <v>44839</v>
      </c>
      <c r="C5457" s="1" t="n">
        <v>45677</v>
      </c>
      <c r="D5457" t="inlineStr">
        <is>
          <t>GÄVLEBORGS LÄN</t>
        </is>
      </c>
      <c r="E5457" t="inlineStr">
        <is>
          <t>LJUSDAL</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44028-2022</t>
        </is>
      </c>
      <c r="B5458" s="1" t="n">
        <v>44838</v>
      </c>
      <c r="C5458" s="1" t="n">
        <v>45677</v>
      </c>
      <c r="D5458" t="inlineStr">
        <is>
          <t>GÄVLEBORGS LÄN</t>
        </is>
      </c>
      <c r="E5458" t="inlineStr">
        <is>
          <t>LJUSDAL</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44041-2022</t>
        </is>
      </c>
      <c r="B5459" s="1" t="n">
        <v>44839</v>
      </c>
      <c r="C5459" s="1" t="n">
        <v>45677</v>
      </c>
      <c r="D5459" t="inlineStr">
        <is>
          <t>GÄVLEBORGS LÄN</t>
        </is>
      </c>
      <c r="E5459" t="inlineStr">
        <is>
          <t>LJUSDAL</t>
        </is>
      </c>
      <c r="F5459" t="inlineStr">
        <is>
          <t>Naturvårdsverket</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44058-2022</t>
        </is>
      </c>
      <c r="B5460" s="1" t="n">
        <v>44839</v>
      </c>
      <c r="C5460" s="1" t="n">
        <v>45677</v>
      </c>
      <c r="D5460" t="inlineStr">
        <is>
          <t>GÄVLEBORGS LÄN</t>
        </is>
      </c>
      <c r="E5460" t="inlineStr">
        <is>
          <t>HUDIKSVALL</t>
        </is>
      </c>
      <c r="F5460" t="inlineStr">
        <is>
          <t>Holmen skog AB</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44090-2022</t>
        </is>
      </c>
      <c r="B5461" s="1" t="n">
        <v>44839</v>
      </c>
      <c r="C5461" s="1" t="n">
        <v>45677</v>
      </c>
      <c r="D5461" t="inlineStr">
        <is>
          <t>GÄVLEBORGS LÄN</t>
        </is>
      </c>
      <c r="E5461" t="inlineStr">
        <is>
          <t>HUDIKSVALL</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44168-2022</t>
        </is>
      </c>
      <c r="B5462" s="1" t="n">
        <v>44839</v>
      </c>
      <c r="C5462" s="1" t="n">
        <v>45677</v>
      </c>
      <c r="D5462" t="inlineStr">
        <is>
          <t>GÄVLEBORGS LÄN</t>
        </is>
      </c>
      <c r="E5462" t="inlineStr">
        <is>
          <t>HUDIKSVALL</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44092-2022</t>
        </is>
      </c>
      <c r="B5463" s="1" t="n">
        <v>44839</v>
      </c>
      <c r="C5463" s="1" t="n">
        <v>45677</v>
      </c>
      <c r="D5463" t="inlineStr">
        <is>
          <t>GÄVLEBORGS LÄN</t>
        </is>
      </c>
      <c r="E5463" t="inlineStr">
        <is>
          <t>OVANÅKER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44120-2022</t>
        </is>
      </c>
      <c r="B5464" s="1" t="n">
        <v>44839</v>
      </c>
      <c r="C5464" s="1" t="n">
        <v>45677</v>
      </c>
      <c r="D5464" t="inlineStr">
        <is>
          <t>GÄVLEBORGS LÄN</t>
        </is>
      </c>
      <c r="E5464" t="inlineStr">
        <is>
          <t>BOLLNÄS</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44151-2022</t>
        </is>
      </c>
      <c r="B5465" s="1" t="n">
        <v>44839</v>
      </c>
      <c r="C5465" s="1" t="n">
        <v>45677</v>
      </c>
      <c r="D5465" t="inlineStr">
        <is>
          <t>GÄVLEBORGS LÄN</t>
        </is>
      </c>
      <c r="E5465" t="inlineStr">
        <is>
          <t>BOLLNÄS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44177-2022</t>
        </is>
      </c>
      <c r="B5466" s="1" t="n">
        <v>44839</v>
      </c>
      <c r="C5466" s="1" t="n">
        <v>45677</v>
      </c>
      <c r="D5466" t="inlineStr">
        <is>
          <t>GÄVLEBORGS LÄN</t>
        </is>
      </c>
      <c r="E5466" t="inlineStr">
        <is>
          <t>BOLLNÄS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44181-2022</t>
        </is>
      </c>
      <c r="B5467" s="1" t="n">
        <v>44839</v>
      </c>
      <c r="C5467" s="1" t="n">
        <v>45677</v>
      </c>
      <c r="D5467" t="inlineStr">
        <is>
          <t>GÄVLEBORGS LÄN</t>
        </is>
      </c>
      <c r="E5467" t="inlineStr">
        <is>
          <t>HUDIKSVALL</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44426-2022</t>
        </is>
      </c>
      <c r="B5468" s="1" t="n">
        <v>44840</v>
      </c>
      <c r="C5468" s="1" t="n">
        <v>45677</v>
      </c>
      <c r="D5468" t="inlineStr">
        <is>
          <t>GÄVLEBORGS LÄN</t>
        </is>
      </c>
      <c r="E5468" t="inlineStr">
        <is>
          <t>HUDIKSVALL</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44310-2022</t>
        </is>
      </c>
      <c r="B5469" s="1" t="n">
        <v>44839</v>
      </c>
      <c r="C5469" s="1" t="n">
        <v>45677</v>
      </c>
      <c r="D5469" t="inlineStr">
        <is>
          <t>GÄVLEBORGS LÄN</t>
        </is>
      </c>
      <c r="E5469" t="inlineStr">
        <is>
          <t>OVANÅKER</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44425-2022</t>
        </is>
      </c>
      <c r="B5470" s="1" t="n">
        <v>44840</v>
      </c>
      <c r="C5470" s="1" t="n">
        <v>45677</v>
      </c>
      <c r="D5470" t="inlineStr">
        <is>
          <t>GÄVLEBORGS LÄN</t>
        </is>
      </c>
      <c r="E5470" t="inlineStr">
        <is>
          <t>HUDIKSVALL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44178-2022</t>
        </is>
      </c>
      <c r="B5471" s="1" t="n">
        <v>44839</v>
      </c>
      <c r="C5471" s="1" t="n">
        <v>45677</v>
      </c>
      <c r="D5471" t="inlineStr">
        <is>
          <t>GÄVLEBORGS LÄN</t>
        </is>
      </c>
      <c r="E5471" t="inlineStr">
        <is>
          <t>HUDIKSVALL</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44281-2022</t>
        </is>
      </c>
      <c r="B5472" s="1" t="n">
        <v>44839</v>
      </c>
      <c r="C5472" s="1" t="n">
        <v>45677</v>
      </c>
      <c r="D5472" t="inlineStr">
        <is>
          <t>GÄVLEBORGS LÄN</t>
        </is>
      </c>
      <c r="E5472" t="inlineStr">
        <is>
          <t>OCKELBO</t>
        </is>
      </c>
      <c r="F5472" t="inlineStr">
        <is>
          <t>Bergvik skog väst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44287-2022</t>
        </is>
      </c>
      <c r="B5473" s="1" t="n">
        <v>44839</v>
      </c>
      <c r="C5473" s="1" t="n">
        <v>45677</v>
      </c>
      <c r="D5473" t="inlineStr">
        <is>
          <t>GÄVLEBORGS LÄN</t>
        </is>
      </c>
      <c r="E5473" t="inlineStr">
        <is>
          <t>HUDIKSVALL</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44427-2022</t>
        </is>
      </c>
      <c r="B5474" s="1" t="n">
        <v>44840</v>
      </c>
      <c r="C5474" s="1" t="n">
        <v>45677</v>
      </c>
      <c r="D5474" t="inlineStr">
        <is>
          <t>GÄVLEBORGS LÄN</t>
        </is>
      </c>
      <c r="E5474" t="inlineStr">
        <is>
          <t>HUDIKSVALL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44655-2022</t>
        </is>
      </c>
      <c r="B5475" s="1" t="n">
        <v>44840</v>
      </c>
      <c r="C5475" s="1" t="n">
        <v>45677</v>
      </c>
      <c r="D5475" t="inlineStr">
        <is>
          <t>GÄVLEBORGS LÄN</t>
        </is>
      </c>
      <c r="E5475" t="inlineStr">
        <is>
          <t>BOLLNÄS</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44594-2022</t>
        </is>
      </c>
      <c r="B5476" s="1" t="n">
        <v>44840</v>
      </c>
      <c r="C5476" s="1" t="n">
        <v>45677</v>
      </c>
      <c r="D5476" t="inlineStr">
        <is>
          <t>GÄVLEBORGS LÄN</t>
        </is>
      </c>
      <c r="E5476" t="inlineStr">
        <is>
          <t>OVANÅKER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44658-2022</t>
        </is>
      </c>
      <c r="B5477" s="1" t="n">
        <v>44840</v>
      </c>
      <c r="C5477" s="1" t="n">
        <v>45677</v>
      </c>
      <c r="D5477" t="inlineStr">
        <is>
          <t>GÄVLEBORGS LÄN</t>
        </is>
      </c>
      <c r="E5477" t="inlineStr">
        <is>
          <t>LJUSDAL</t>
        </is>
      </c>
      <c r="F5477" t="inlineStr">
        <is>
          <t>Bergvik skog väst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44680-2022</t>
        </is>
      </c>
      <c r="B5478" s="1" t="n">
        <v>44840</v>
      </c>
      <c r="C5478" s="1" t="n">
        <v>45677</v>
      </c>
      <c r="D5478" t="inlineStr">
        <is>
          <t>GÄVLEBORGS LÄN</t>
        </is>
      </c>
      <c r="E5478" t="inlineStr">
        <is>
          <t>LJUSDAL</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44765-2022</t>
        </is>
      </c>
      <c r="B5479" s="1" t="n">
        <v>44841</v>
      </c>
      <c r="C5479" s="1" t="n">
        <v>45677</v>
      </c>
      <c r="D5479" t="inlineStr">
        <is>
          <t>GÄVLEBORGS LÄN</t>
        </is>
      </c>
      <c r="E5479" t="inlineStr">
        <is>
          <t>NORDANSTIG</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44636-2022</t>
        </is>
      </c>
      <c r="B5480" s="1" t="n">
        <v>44840</v>
      </c>
      <c r="C5480" s="1" t="n">
        <v>45677</v>
      </c>
      <c r="D5480" t="inlineStr">
        <is>
          <t>GÄVLEBORGS LÄN</t>
        </is>
      </c>
      <c r="E5480" t="inlineStr">
        <is>
          <t>LJUSDAL</t>
        </is>
      </c>
      <c r="F5480" t="inlineStr">
        <is>
          <t>Bergvik skog väst AB</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44715-2022</t>
        </is>
      </c>
      <c r="B5481" s="1" t="n">
        <v>44840</v>
      </c>
      <c r="C5481" s="1" t="n">
        <v>45677</v>
      </c>
      <c r="D5481" t="inlineStr">
        <is>
          <t>GÄVLEBORGS LÄN</t>
        </is>
      </c>
      <c r="E5481" t="inlineStr">
        <is>
          <t>BOLLNÄS</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45223-2022</t>
        </is>
      </c>
      <c r="B5482" s="1" t="n">
        <v>44840</v>
      </c>
      <c r="C5482" s="1" t="n">
        <v>45677</v>
      </c>
      <c r="D5482" t="inlineStr">
        <is>
          <t>GÄVLEBORGS LÄN</t>
        </is>
      </c>
      <c r="E5482" t="inlineStr">
        <is>
          <t>GÄVLE</t>
        </is>
      </c>
      <c r="F5482" t="inlineStr">
        <is>
          <t>Bergvik skog väst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45280-2022</t>
        </is>
      </c>
      <c r="B5483" s="1" t="n">
        <v>44840</v>
      </c>
      <c r="C5483" s="1" t="n">
        <v>45677</v>
      </c>
      <c r="D5483" t="inlineStr">
        <is>
          <t>GÄVLEBORGS LÄN</t>
        </is>
      </c>
      <c r="E5483" t="inlineStr">
        <is>
          <t>GÄVLE</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44794-2022</t>
        </is>
      </c>
      <c r="B5484" s="1" t="n">
        <v>44841</v>
      </c>
      <c r="C5484" s="1" t="n">
        <v>45677</v>
      </c>
      <c r="D5484" t="inlineStr">
        <is>
          <t>GÄVLEBORGS LÄN</t>
        </is>
      </c>
      <c r="E5484" t="inlineStr">
        <is>
          <t>OVANÅKER</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44807-2022</t>
        </is>
      </c>
      <c r="B5485" s="1" t="n">
        <v>44841</v>
      </c>
      <c r="C5485" s="1" t="n">
        <v>45677</v>
      </c>
      <c r="D5485" t="inlineStr">
        <is>
          <t>GÄVLEBORGS LÄN</t>
        </is>
      </c>
      <c r="E5485" t="inlineStr">
        <is>
          <t>NORDANSTIG</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44776-2022</t>
        </is>
      </c>
      <c r="B5486" s="1" t="n">
        <v>44841</v>
      </c>
      <c r="C5486" s="1" t="n">
        <v>45677</v>
      </c>
      <c r="D5486" t="inlineStr">
        <is>
          <t>GÄVLEBORGS LÄN</t>
        </is>
      </c>
      <c r="E5486" t="inlineStr">
        <is>
          <t>NORDANSTIG</t>
        </is>
      </c>
      <c r="F5486" t="inlineStr">
        <is>
          <t>Holmen skog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44938-2022</t>
        </is>
      </c>
      <c r="B5487" s="1" t="n">
        <v>44841</v>
      </c>
      <c r="C5487" s="1" t="n">
        <v>45677</v>
      </c>
      <c r="D5487" t="inlineStr">
        <is>
          <t>GÄVLEBORGS LÄN</t>
        </is>
      </c>
      <c r="E5487" t="inlineStr">
        <is>
          <t>GÄVLE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44929-2022</t>
        </is>
      </c>
      <c r="B5488" s="1" t="n">
        <v>44841</v>
      </c>
      <c r="C5488" s="1" t="n">
        <v>45677</v>
      </c>
      <c r="D5488" t="inlineStr">
        <is>
          <t>GÄVLEBORGS LÄN</t>
        </is>
      </c>
      <c r="E5488" t="inlineStr">
        <is>
          <t>OCKELBO</t>
        </is>
      </c>
      <c r="F5488" t="inlineStr">
        <is>
          <t>Bergvik skog väst AB</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45054-2022</t>
        </is>
      </c>
      <c r="B5489" s="1" t="n">
        <v>44841</v>
      </c>
      <c r="C5489" s="1" t="n">
        <v>45677</v>
      </c>
      <c r="D5489" t="inlineStr">
        <is>
          <t>GÄVLEBORGS LÄN</t>
        </is>
      </c>
      <c r="E5489" t="inlineStr">
        <is>
          <t>LJUSDAL</t>
        </is>
      </c>
      <c r="F5489" t="inlineStr">
        <is>
          <t>Sveaskog</t>
        </is>
      </c>
      <c r="G5489" t="n">
        <v>11.6</v>
      </c>
      <c r="H5489" t="n">
        <v>0</v>
      </c>
      <c r="I5489" t="n">
        <v>0</v>
      </c>
      <c r="J5489" t="n">
        <v>0</v>
      </c>
      <c r="K5489" t="n">
        <v>0</v>
      </c>
      <c r="L5489" t="n">
        <v>0</v>
      </c>
      <c r="M5489" t="n">
        <v>0</v>
      </c>
      <c r="N5489" t="n">
        <v>0</v>
      </c>
      <c r="O5489" t="n">
        <v>0</v>
      </c>
      <c r="P5489" t="n">
        <v>0</v>
      </c>
      <c r="Q5489" t="n">
        <v>0</v>
      </c>
      <c r="R5489" s="2" t="inlineStr"/>
    </row>
    <row r="5490" ht="15" customHeight="1">
      <c r="A5490" t="inlineStr">
        <is>
          <t>A 44922-2022</t>
        </is>
      </c>
      <c r="B5490" s="1" t="n">
        <v>44841</v>
      </c>
      <c r="C5490" s="1" t="n">
        <v>45677</v>
      </c>
      <c r="D5490" t="inlineStr">
        <is>
          <t>GÄVLEBORGS LÄN</t>
        </is>
      </c>
      <c r="E5490" t="inlineStr">
        <is>
          <t>BOLLNÄS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45494-2022</t>
        </is>
      </c>
      <c r="B5491" s="1" t="n">
        <v>44841</v>
      </c>
      <c r="C5491" s="1" t="n">
        <v>45677</v>
      </c>
      <c r="D5491" t="inlineStr">
        <is>
          <t>GÄVLEBORGS LÄN</t>
        </is>
      </c>
      <c r="E5491" t="inlineStr">
        <is>
          <t>SÖDERHAMN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45102-2022</t>
        </is>
      </c>
      <c r="B5492" s="1" t="n">
        <v>44843</v>
      </c>
      <c r="C5492" s="1" t="n">
        <v>45677</v>
      </c>
      <c r="D5492" t="inlineStr">
        <is>
          <t>GÄVLEBORGS LÄN</t>
        </is>
      </c>
      <c r="E5492" t="inlineStr">
        <is>
          <t>SANDVIKEN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45116-2022</t>
        </is>
      </c>
      <c r="B5493" s="1" t="n">
        <v>44844</v>
      </c>
      <c r="C5493" s="1" t="n">
        <v>45677</v>
      </c>
      <c r="D5493" t="inlineStr">
        <is>
          <t>GÄVLEBORGS LÄN</t>
        </is>
      </c>
      <c r="E5493" t="inlineStr">
        <is>
          <t>LJUSDAL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45310-2022</t>
        </is>
      </c>
      <c r="B5494" s="1" t="n">
        <v>44844</v>
      </c>
      <c r="C5494" s="1" t="n">
        <v>45677</v>
      </c>
      <c r="D5494" t="inlineStr">
        <is>
          <t>GÄVLEBORGS LÄN</t>
        </is>
      </c>
      <c r="E5494" t="inlineStr">
        <is>
          <t>NORDANSTIG</t>
        </is>
      </c>
      <c r="F5494" t="inlineStr">
        <is>
          <t>Holmen skog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45414-2022</t>
        </is>
      </c>
      <c r="B5495" s="1" t="n">
        <v>44844</v>
      </c>
      <c r="C5495" s="1" t="n">
        <v>45677</v>
      </c>
      <c r="D5495" t="inlineStr">
        <is>
          <t>GÄVLEBORGS LÄN</t>
        </is>
      </c>
      <c r="E5495" t="inlineStr">
        <is>
          <t>LJUSDAL</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45353-2022</t>
        </is>
      </c>
      <c r="B5496" s="1" t="n">
        <v>44844</v>
      </c>
      <c r="C5496" s="1" t="n">
        <v>45677</v>
      </c>
      <c r="D5496" t="inlineStr">
        <is>
          <t>GÄVLEBORGS LÄN</t>
        </is>
      </c>
      <c r="E5496" t="inlineStr">
        <is>
          <t>OCKELBO</t>
        </is>
      </c>
      <c r="F5496" t="inlineStr">
        <is>
          <t>Bergvik skog väst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45456-2022</t>
        </is>
      </c>
      <c r="B5497" s="1" t="n">
        <v>44845</v>
      </c>
      <c r="C5497" s="1" t="n">
        <v>45677</v>
      </c>
      <c r="D5497" t="inlineStr">
        <is>
          <t>GÄVLEBORGS LÄN</t>
        </is>
      </c>
      <c r="E5497" t="inlineStr">
        <is>
          <t>OVANÅKER</t>
        </is>
      </c>
      <c r="F5497" t="inlineStr">
        <is>
          <t>Kyrkan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45519-2022</t>
        </is>
      </c>
      <c r="B5498" s="1" t="n">
        <v>44845</v>
      </c>
      <c r="C5498" s="1" t="n">
        <v>45677</v>
      </c>
      <c r="D5498" t="inlineStr">
        <is>
          <t>GÄVLEBORGS LÄN</t>
        </is>
      </c>
      <c r="E5498" t="inlineStr">
        <is>
          <t>OCKELBO</t>
        </is>
      </c>
      <c r="F5498" t="inlineStr">
        <is>
          <t>Bergvik skog väst AB</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45528-2022</t>
        </is>
      </c>
      <c r="B5499" s="1" t="n">
        <v>44845</v>
      </c>
      <c r="C5499" s="1" t="n">
        <v>45677</v>
      </c>
      <c r="D5499" t="inlineStr">
        <is>
          <t>GÄVLEBORGS LÄN</t>
        </is>
      </c>
      <c r="E5499" t="inlineStr">
        <is>
          <t>OVANÅKER</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45483-2022</t>
        </is>
      </c>
      <c r="B5500" s="1" t="n">
        <v>44845</v>
      </c>
      <c r="C5500" s="1" t="n">
        <v>45677</v>
      </c>
      <c r="D5500" t="inlineStr">
        <is>
          <t>GÄVLEBORGS LÄN</t>
        </is>
      </c>
      <c r="E5500" t="inlineStr">
        <is>
          <t>OCKELBO</t>
        </is>
      </c>
      <c r="G5500" t="n">
        <v>34.2</v>
      </c>
      <c r="H5500" t="n">
        <v>0</v>
      </c>
      <c r="I5500" t="n">
        <v>0</v>
      </c>
      <c r="J5500" t="n">
        <v>0</v>
      </c>
      <c r="K5500" t="n">
        <v>0</v>
      </c>
      <c r="L5500" t="n">
        <v>0</v>
      </c>
      <c r="M5500" t="n">
        <v>0</v>
      </c>
      <c r="N5500" t="n">
        <v>0</v>
      </c>
      <c r="O5500" t="n">
        <v>0</v>
      </c>
      <c r="P5500" t="n">
        <v>0</v>
      </c>
      <c r="Q5500" t="n">
        <v>0</v>
      </c>
      <c r="R5500" s="2" t="inlineStr"/>
    </row>
    <row r="5501" ht="15" customHeight="1">
      <c r="A5501" t="inlineStr">
        <is>
          <t>A 45590-2022</t>
        </is>
      </c>
      <c r="B5501" s="1" t="n">
        <v>44845</v>
      </c>
      <c r="C5501" s="1" t="n">
        <v>45677</v>
      </c>
      <c r="D5501" t="inlineStr">
        <is>
          <t>GÄVLEBORGS LÄN</t>
        </is>
      </c>
      <c r="E5501" t="inlineStr">
        <is>
          <t>BOLLNÄS</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45562-2022</t>
        </is>
      </c>
      <c r="B5502" s="1" t="n">
        <v>44845</v>
      </c>
      <c r="C5502" s="1" t="n">
        <v>45677</v>
      </c>
      <c r="D5502" t="inlineStr">
        <is>
          <t>GÄVLEBORGS LÄN</t>
        </is>
      </c>
      <c r="E5502" t="inlineStr">
        <is>
          <t>SANDVIKEN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45486-2022</t>
        </is>
      </c>
      <c r="B5503" s="1" t="n">
        <v>44845</v>
      </c>
      <c r="C5503" s="1" t="n">
        <v>45677</v>
      </c>
      <c r="D5503" t="inlineStr">
        <is>
          <t>GÄVLEBORGS LÄN</t>
        </is>
      </c>
      <c r="E5503" t="inlineStr">
        <is>
          <t>OVANÅKER</t>
        </is>
      </c>
      <c r="F5503" t="inlineStr">
        <is>
          <t>Kyrkan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45499-2022</t>
        </is>
      </c>
      <c r="B5504" s="1" t="n">
        <v>44845</v>
      </c>
      <c r="C5504" s="1" t="n">
        <v>45677</v>
      </c>
      <c r="D5504" t="inlineStr">
        <is>
          <t>GÄVLEBORGS LÄN</t>
        </is>
      </c>
      <c r="E5504" t="inlineStr">
        <is>
          <t>OCKELBO</t>
        </is>
      </c>
      <c r="F5504" t="inlineStr">
        <is>
          <t>Bergvik skog väst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45592-2022</t>
        </is>
      </c>
      <c r="B5505" s="1" t="n">
        <v>44845</v>
      </c>
      <c r="C5505" s="1" t="n">
        <v>45677</v>
      </c>
      <c r="D5505" t="inlineStr">
        <is>
          <t>GÄVLEBORGS LÄN</t>
        </is>
      </c>
      <c r="E5505" t="inlineStr">
        <is>
          <t>GÄVLE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45626-2022</t>
        </is>
      </c>
      <c r="B5506" s="1" t="n">
        <v>44845</v>
      </c>
      <c r="C5506" s="1" t="n">
        <v>45677</v>
      </c>
      <c r="D5506" t="inlineStr">
        <is>
          <t>GÄVLEBORGS LÄN</t>
        </is>
      </c>
      <c r="E5506" t="inlineStr">
        <is>
          <t>GÄVLE</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45686-2022</t>
        </is>
      </c>
      <c r="B5507" s="1" t="n">
        <v>44846</v>
      </c>
      <c r="C5507" s="1" t="n">
        <v>45677</v>
      </c>
      <c r="D5507" t="inlineStr">
        <is>
          <t>GÄVLEBORGS LÄN</t>
        </is>
      </c>
      <c r="E5507" t="inlineStr">
        <is>
          <t>GÄVLE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45924-2022</t>
        </is>
      </c>
      <c r="B5508" s="1" t="n">
        <v>44845</v>
      </c>
      <c r="C5508" s="1" t="n">
        <v>45677</v>
      </c>
      <c r="D5508" t="inlineStr">
        <is>
          <t>GÄVLEBORGS LÄN</t>
        </is>
      </c>
      <c r="E5508" t="inlineStr">
        <is>
          <t>HUDIKSVALL</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45628-2022</t>
        </is>
      </c>
      <c r="B5509" s="1" t="n">
        <v>44845</v>
      </c>
      <c r="C5509" s="1" t="n">
        <v>45677</v>
      </c>
      <c r="D5509" t="inlineStr">
        <is>
          <t>GÄVLEBORGS LÄN</t>
        </is>
      </c>
      <c r="E5509" t="inlineStr">
        <is>
          <t>GÄVLE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45655-2022</t>
        </is>
      </c>
      <c r="B5510" s="1" t="n">
        <v>44845</v>
      </c>
      <c r="C5510" s="1" t="n">
        <v>45677</v>
      </c>
      <c r="D5510" t="inlineStr">
        <is>
          <t>GÄVLEBORGS LÄN</t>
        </is>
      </c>
      <c r="E5510" t="inlineStr">
        <is>
          <t>BOLLNÄS</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45752-2022</t>
        </is>
      </c>
      <c r="B5511" s="1" t="n">
        <v>44846</v>
      </c>
      <c r="C5511" s="1" t="n">
        <v>45677</v>
      </c>
      <c r="D5511" t="inlineStr">
        <is>
          <t>GÄVLEBORGS LÄN</t>
        </is>
      </c>
      <c r="E5511" t="inlineStr">
        <is>
          <t>BOLLNÄS</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45747-2022</t>
        </is>
      </c>
      <c r="B5512" s="1" t="n">
        <v>44846</v>
      </c>
      <c r="C5512" s="1" t="n">
        <v>45677</v>
      </c>
      <c r="D5512" t="inlineStr">
        <is>
          <t>GÄVLEBORGS LÄN</t>
        </is>
      </c>
      <c r="E5512" t="inlineStr">
        <is>
          <t>BOLLNÄS</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45784-2022</t>
        </is>
      </c>
      <c r="B5513" s="1" t="n">
        <v>44846</v>
      </c>
      <c r="C5513" s="1" t="n">
        <v>45677</v>
      </c>
      <c r="D5513" t="inlineStr">
        <is>
          <t>GÄVLEBORGS LÄN</t>
        </is>
      </c>
      <c r="E5513" t="inlineStr">
        <is>
          <t>HUDIKSVALL</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45778-2022</t>
        </is>
      </c>
      <c r="B5514" s="1" t="n">
        <v>44846</v>
      </c>
      <c r="C5514" s="1" t="n">
        <v>45677</v>
      </c>
      <c r="D5514" t="inlineStr">
        <is>
          <t>GÄVLEBORGS LÄN</t>
        </is>
      </c>
      <c r="E5514" t="inlineStr">
        <is>
          <t>OVANÅKER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45819-2022</t>
        </is>
      </c>
      <c r="B5515" s="1" t="n">
        <v>44846</v>
      </c>
      <c r="C5515" s="1" t="n">
        <v>45677</v>
      </c>
      <c r="D5515" t="inlineStr">
        <is>
          <t>GÄVLEBORGS LÄN</t>
        </is>
      </c>
      <c r="E5515" t="inlineStr">
        <is>
          <t>LJUSDAL</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45807-2022</t>
        </is>
      </c>
      <c r="B5516" s="1" t="n">
        <v>44846</v>
      </c>
      <c r="C5516" s="1" t="n">
        <v>45677</v>
      </c>
      <c r="D5516" t="inlineStr">
        <is>
          <t>GÄVLEBORGS LÄN</t>
        </is>
      </c>
      <c r="E5516" t="inlineStr">
        <is>
          <t>SÖDERHAMN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45822-2022</t>
        </is>
      </c>
      <c r="B5517" s="1" t="n">
        <v>44846</v>
      </c>
      <c r="C5517" s="1" t="n">
        <v>45677</v>
      </c>
      <c r="D5517" t="inlineStr">
        <is>
          <t>GÄVLEBORGS LÄN</t>
        </is>
      </c>
      <c r="E5517" t="inlineStr">
        <is>
          <t>SÖDERHAMN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45949-2022</t>
        </is>
      </c>
      <c r="B5518" s="1" t="n">
        <v>44846</v>
      </c>
      <c r="C5518" s="1" t="n">
        <v>45677</v>
      </c>
      <c r="D5518" t="inlineStr">
        <is>
          <t>GÄVLEBORGS LÄN</t>
        </is>
      </c>
      <c r="E5518" t="inlineStr">
        <is>
          <t>OVANÅKER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46009-2022</t>
        </is>
      </c>
      <c r="B5519" s="1" t="n">
        <v>44846</v>
      </c>
      <c r="C5519" s="1" t="n">
        <v>45677</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45872-2022</t>
        </is>
      </c>
      <c r="B5520" s="1" t="n">
        <v>44846</v>
      </c>
      <c r="C5520" s="1" t="n">
        <v>45677</v>
      </c>
      <c r="D5520" t="inlineStr">
        <is>
          <t>GÄVLEBORGS LÄN</t>
        </is>
      </c>
      <c r="E5520" t="inlineStr">
        <is>
          <t>GÄVLE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45917-2022</t>
        </is>
      </c>
      <c r="B5521" s="1" t="n">
        <v>44846</v>
      </c>
      <c r="C5521" s="1" t="n">
        <v>45677</v>
      </c>
      <c r="D5521" t="inlineStr">
        <is>
          <t>GÄVLEBORGS LÄN</t>
        </is>
      </c>
      <c r="E5521" t="inlineStr">
        <is>
          <t>SANDVIKEN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45920-2022</t>
        </is>
      </c>
      <c r="B5522" s="1" t="n">
        <v>44846</v>
      </c>
      <c r="C5522" s="1" t="n">
        <v>45677</v>
      </c>
      <c r="D5522" t="inlineStr">
        <is>
          <t>GÄVLEBORGS LÄN</t>
        </is>
      </c>
      <c r="E5522" t="inlineStr">
        <is>
          <t>SANDVIKEN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45947-2022</t>
        </is>
      </c>
      <c r="B5523" s="1" t="n">
        <v>44846</v>
      </c>
      <c r="C5523" s="1" t="n">
        <v>45677</v>
      </c>
      <c r="D5523" t="inlineStr">
        <is>
          <t>GÄVLEBORGS LÄN</t>
        </is>
      </c>
      <c r="E5523" t="inlineStr">
        <is>
          <t>OVANÅKER</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46007-2022</t>
        </is>
      </c>
      <c r="B5524" s="1" t="n">
        <v>44846</v>
      </c>
      <c r="C5524" s="1" t="n">
        <v>45677</v>
      </c>
      <c r="D5524" t="inlineStr">
        <is>
          <t>GÄVLEBORGS LÄN</t>
        </is>
      </c>
      <c r="E5524" t="inlineStr">
        <is>
          <t>BOLLNÄS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46063-2022</t>
        </is>
      </c>
      <c r="B5525" s="1" t="n">
        <v>44847</v>
      </c>
      <c r="C5525" s="1" t="n">
        <v>45677</v>
      </c>
      <c r="D5525" t="inlineStr">
        <is>
          <t>GÄVLEBORGS LÄN</t>
        </is>
      </c>
      <c r="E5525" t="inlineStr">
        <is>
          <t>HUDIKSVALL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46112-2022</t>
        </is>
      </c>
      <c r="B5526" s="1" t="n">
        <v>44847</v>
      </c>
      <c r="C5526" s="1" t="n">
        <v>45677</v>
      </c>
      <c r="D5526" t="inlineStr">
        <is>
          <t>GÄVLEBORGS LÄN</t>
        </is>
      </c>
      <c r="E5526" t="inlineStr">
        <is>
          <t>OCKELBO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46157-2022</t>
        </is>
      </c>
      <c r="B5527" s="1" t="n">
        <v>44847</v>
      </c>
      <c r="C5527" s="1" t="n">
        <v>45677</v>
      </c>
      <c r="D5527" t="inlineStr">
        <is>
          <t>GÄVLEBORGS LÄN</t>
        </is>
      </c>
      <c r="E5527" t="inlineStr">
        <is>
          <t>LJUSDAL</t>
        </is>
      </c>
      <c r="F5527" t="inlineStr">
        <is>
          <t>Bergvik skog väst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46221-2022</t>
        </is>
      </c>
      <c r="B5528" s="1" t="n">
        <v>44847</v>
      </c>
      <c r="C5528" s="1" t="n">
        <v>45677</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46109-2022</t>
        </is>
      </c>
      <c r="B5529" s="1" t="n">
        <v>44847</v>
      </c>
      <c r="C5529" s="1" t="n">
        <v>45677</v>
      </c>
      <c r="D5529" t="inlineStr">
        <is>
          <t>GÄVLEBORGS LÄN</t>
        </is>
      </c>
      <c r="E5529" t="inlineStr">
        <is>
          <t>BOLLNÄS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46177-2022</t>
        </is>
      </c>
      <c r="B5530" s="1" t="n">
        <v>44847</v>
      </c>
      <c r="C5530" s="1" t="n">
        <v>45677</v>
      </c>
      <c r="D5530" t="inlineStr">
        <is>
          <t>GÄVLEBORGS LÄN</t>
        </is>
      </c>
      <c r="E5530" t="inlineStr">
        <is>
          <t>SANDVIKEN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46248-2022</t>
        </is>
      </c>
      <c r="B5531" s="1" t="n">
        <v>44847</v>
      </c>
      <c r="C5531" s="1" t="n">
        <v>45677</v>
      </c>
      <c r="D5531" t="inlineStr">
        <is>
          <t>GÄVLEBORGS LÄN</t>
        </is>
      </c>
      <c r="E5531" t="inlineStr">
        <is>
          <t>HUDIKSVALL</t>
        </is>
      </c>
      <c r="F5531" t="inlineStr">
        <is>
          <t>Holmen skog AB</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46198-2022</t>
        </is>
      </c>
      <c r="B5532" s="1" t="n">
        <v>44847</v>
      </c>
      <c r="C5532" s="1" t="n">
        <v>45677</v>
      </c>
      <c r="D5532" t="inlineStr">
        <is>
          <t>GÄVLEBORGS LÄN</t>
        </is>
      </c>
      <c r="E5532" t="inlineStr">
        <is>
          <t>LJUSDAL</t>
        </is>
      </c>
      <c r="F5532" t="inlineStr">
        <is>
          <t>Bergvik skog väst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46289-2022</t>
        </is>
      </c>
      <c r="B5533" s="1" t="n">
        <v>44847</v>
      </c>
      <c r="C5533" s="1" t="n">
        <v>45677</v>
      </c>
      <c r="D5533" t="inlineStr">
        <is>
          <t>GÄVLEBORGS LÄN</t>
        </is>
      </c>
      <c r="E5533" t="inlineStr">
        <is>
          <t>SANDVIKEN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46302-2022</t>
        </is>
      </c>
      <c r="B5534" s="1" t="n">
        <v>44847</v>
      </c>
      <c r="C5534" s="1" t="n">
        <v>45677</v>
      </c>
      <c r="D5534" t="inlineStr">
        <is>
          <t>GÄVLEBORGS LÄN</t>
        </is>
      </c>
      <c r="E5534" t="inlineStr">
        <is>
          <t>SÖDERHAMN</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46064-2022</t>
        </is>
      </c>
      <c r="B5535" s="1" t="n">
        <v>44847</v>
      </c>
      <c r="C5535" s="1" t="n">
        <v>45677</v>
      </c>
      <c r="D5535" t="inlineStr">
        <is>
          <t>GÄVLEBORGS LÄN</t>
        </is>
      </c>
      <c r="E5535" t="inlineStr">
        <is>
          <t>HUDIKSVALL</t>
        </is>
      </c>
      <c r="F5535" t="inlineStr">
        <is>
          <t>Naturvårdsverket</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46193-2022</t>
        </is>
      </c>
      <c r="B5536" s="1" t="n">
        <v>44847</v>
      </c>
      <c r="C5536" s="1" t="n">
        <v>45677</v>
      </c>
      <c r="D5536" t="inlineStr">
        <is>
          <t>GÄVLEBORGS LÄN</t>
        </is>
      </c>
      <c r="E5536" t="inlineStr">
        <is>
          <t>LJUSDAL</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46256-2022</t>
        </is>
      </c>
      <c r="B5537" s="1" t="n">
        <v>44847</v>
      </c>
      <c r="C5537" s="1" t="n">
        <v>45677</v>
      </c>
      <c r="D5537" t="inlineStr">
        <is>
          <t>GÄVLEBORGS LÄN</t>
        </is>
      </c>
      <c r="E5537" t="inlineStr">
        <is>
          <t>LJUSDAL</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46464-2022</t>
        </is>
      </c>
      <c r="B5538" s="1" t="n">
        <v>44848</v>
      </c>
      <c r="C5538" s="1" t="n">
        <v>45677</v>
      </c>
      <c r="D5538" t="inlineStr">
        <is>
          <t>GÄVLEBORGS LÄN</t>
        </is>
      </c>
      <c r="E5538" t="inlineStr">
        <is>
          <t>HUDIKSVALL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46469-2022</t>
        </is>
      </c>
      <c r="B5539" s="1" t="n">
        <v>44848</v>
      </c>
      <c r="C5539" s="1" t="n">
        <v>45677</v>
      </c>
      <c r="D5539" t="inlineStr">
        <is>
          <t>GÄVLEBORGS LÄN</t>
        </is>
      </c>
      <c r="E5539" t="inlineStr">
        <is>
          <t>HUDIKSVALL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46377-2022</t>
        </is>
      </c>
      <c r="B5540" s="1" t="n">
        <v>44848</v>
      </c>
      <c r="C5540" s="1" t="n">
        <v>45677</v>
      </c>
      <c r="D5540" t="inlineStr">
        <is>
          <t>GÄVLEBORGS LÄN</t>
        </is>
      </c>
      <c r="E5540" t="inlineStr">
        <is>
          <t>OVANÅKER</t>
        </is>
      </c>
      <c r="F5540" t="inlineStr">
        <is>
          <t>Sveaskog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46466-2022</t>
        </is>
      </c>
      <c r="B5541" s="1" t="n">
        <v>44848</v>
      </c>
      <c r="C5541" s="1" t="n">
        <v>45677</v>
      </c>
      <c r="D5541" t="inlineStr">
        <is>
          <t>GÄVLEBORGS LÄN</t>
        </is>
      </c>
      <c r="E5541" t="inlineStr">
        <is>
          <t>HUDIKSVALL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46382-2022</t>
        </is>
      </c>
      <c r="B5542" s="1" t="n">
        <v>44848</v>
      </c>
      <c r="C5542" s="1" t="n">
        <v>45677</v>
      </c>
      <c r="D5542" t="inlineStr">
        <is>
          <t>GÄVLEBORGS LÄN</t>
        </is>
      </c>
      <c r="E5542" t="inlineStr">
        <is>
          <t>GÄVLE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46465-2022</t>
        </is>
      </c>
      <c r="B5543" s="1" t="n">
        <v>44848</v>
      </c>
      <c r="C5543" s="1" t="n">
        <v>45677</v>
      </c>
      <c r="D5543" t="inlineStr">
        <is>
          <t>GÄVLEBORGS LÄN</t>
        </is>
      </c>
      <c r="E5543" t="inlineStr">
        <is>
          <t>HUDIKSVALL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46378-2022</t>
        </is>
      </c>
      <c r="B5544" s="1" t="n">
        <v>44848</v>
      </c>
      <c r="C5544" s="1" t="n">
        <v>45677</v>
      </c>
      <c r="D5544" t="inlineStr">
        <is>
          <t>GÄVLEBORGS LÄN</t>
        </is>
      </c>
      <c r="E5544" t="inlineStr">
        <is>
          <t>SANDVIKEN</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46404-2022</t>
        </is>
      </c>
      <c r="B5545" s="1" t="n">
        <v>44848</v>
      </c>
      <c r="C5545" s="1" t="n">
        <v>45677</v>
      </c>
      <c r="D5545" t="inlineStr">
        <is>
          <t>GÄVLEBORGS LÄN</t>
        </is>
      </c>
      <c r="E5545" t="inlineStr">
        <is>
          <t>LJUSDAL</t>
        </is>
      </c>
      <c r="F5545" t="inlineStr">
        <is>
          <t>Bergvik skog väst AB</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46467-2022</t>
        </is>
      </c>
      <c r="B5546" s="1" t="n">
        <v>44848</v>
      </c>
      <c r="C5546" s="1" t="n">
        <v>45677</v>
      </c>
      <c r="D5546" t="inlineStr">
        <is>
          <t>GÄVLEBORGS LÄN</t>
        </is>
      </c>
      <c r="E5546" t="inlineStr">
        <is>
          <t>HUDIKSVALL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46572-2022</t>
        </is>
      </c>
      <c r="B5547" s="1" t="n">
        <v>44848</v>
      </c>
      <c r="C5547" s="1" t="n">
        <v>45677</v>
      </c>
      <c r="D5547" t="inlineStr">
        <is>
          <t>GÄVLEBORGS LÄN</t>
        </is>
      </c>
      <c r="E5547" t="inlineStr">
        <is>
          <t>LJUSDAL</t>
        </is>
      </c>
      <c r="F5547" t="inlineStr">
        <is>
          <t>Sveaskog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46588-2022</t>
        </is>
      </c>
      <c r="B5548" s="1" t="n">
        <v>44848</v>
      </c>
      <c r="C5548" s="1" t="n">
        <v>45677</v>
      </c>
      <c r="D5548" t="inlineStr">
        <is>
          <t>GÄVLEBORGS LÄN</t>
        </is>
      </c>
      <c r="E5548" t="inlineStr">
        <is>
          <t>NORDANSTIG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46592-2022</t>
        </is>
      </c>
      <c r="B5549" s="1" t="n">
        <v>44848</v>
      </c>
      <c r="C5549" s="1" t="n">
        <v>45677</v>
      </c>
      <c r="D5549" t="inlineStr">
        <is>
          <t>GÄVLEBORGS LÄN</t>
        </is>
      </c>
      <c r="E5549" t="inlineStr">
        <is>
          <t>NORDANSTIG</t>
        </is>
      </c>
      <c r="F5549" t="inlineStr">
        <is>
          <t>Holmen skog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46701-2022</t>
        </is>
      </c>
      <c r="B5550" s="1" t="n">
        <v>44851</v>
      </c>
      <c r="C5550" s="1" t="n">
        <v>45677</v>
      </c>
      <c r="D5550" t="inlineStr">
        <is>
          <t>GÄVLEBORGS LÄN</t>
        </is>
      </c>
      <c r="E5550" t="inlineStr">
        <is>
          <t>SÖDERHAMN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46709-2022</t>
        </is>
      </c>
      <c r="B5551" s="1" t="n">
        <v>44851</v>
      </c>
      <c r="C5551" s="1" t="n">
        <v>45677</v>
      </c>
      <c r="D5551" t="inlineStr">
        <is>
          <t>GÄVLEBORGS LÄN</t>
        </is>
      </c>
      <c r="E5551" t="inlineStr">
        <is>
          <t>OVANÅKER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46727-2022</t>
        </is>
      </c>
      <c r="B5552" s="1" t="n">
        <v>44851</v>
      </c>
      <c r="C5552" s="1" t="n">
        <v>45677</v>
      </c>
      <c r="D5552" t="inlineStr">
        <is>
          <t>GÄVLEBORGS LÄN</t>
        </is>
      </c>
      <c r="E5552" t="inlineStr">
        <is>
          <t>HUDIKSVALL</t>
        </is>
      </c>
      <c r="F5552" t="inlineStr">
        <is>
          <t>Holmen skog AB</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46828-2022</t>
        </is>
      </c>
      <c r="B5553" s="1" t="n">
        <v>44851</v>
      </c>
      <c r="C5553" s="1" t="n">
        <v>45677</v>
      </c>
      <c r="D5553" t="inlineStr">
        <is>
          <t>GÄVLEBORGS LÄN</t>
        </is>
      </c>
      <c r="E5553" t="inlineStr">
        <is>
          <t>NORDANSTIG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46754-2022</t>
        </is>
      </c>
      <c r="B5554" s="1" t="n">
        <v>44851</v>
      </c>
      <c r="C5554" s="1" t="n">
        <v>45677</v>
      </c>
      <c r="D5554" t="inlineStr">
        <is>
          <t>GÄVLEBORGS LÄN</t>
        </is>
      </c>
      <c r="E5554" t="inlineStr">
        <is>
          <t>HUDIKSVALL</t>
        </is>
      </c>
      <c r="F5554" t="inlineStr">
        <is>
          <t>Holmen skog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46934-2022</t>
        </is>
      </c>
      <c r="B5555" s="1" t="n">
        <v>44851</v>
      </c>
      <c r="C5555" s="1" t="n">
        <v>45677</v>
      </c>
      <c r="D5555" t="inlineStr">
        <is>
          <t>GÄVLEBORGS LÄN</t>
        </is>
      </c>
      <c r="E5555" t="inlineStr">
        <is>
          <t>NORDANSTIG</t>
        </is>
      </c>
      <c r="F5555" t="inlineStr">
        <is>
          <t>Holmen skog AB</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46960-2022</t>
        </is>
      </c>
      <c r="B5556" s="1" t="n">
        <v>44852</v>
      </c>
      <c r="C5556" s="1" t="n">
        <v>45677</v>
      </c>
      <c r="D5556" t="inlineStr">
        <is>
          <t>GÄVLEBORGS LÄN</t>
        </is>
      </c>
      <c r="E5556" t="inlineStr">
        <is>
          <t>OVANÅKER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46965-2022</t>
        </is>
      </c>
      <c r="B5557" s="1" t="n">
        <v>44852</v>
      </c>
      <c r="C5557" s="1" t="n">
        <v>45677</v>
      </c>
      <c r="D5557" t="inlineStr">
        <is>
          <t>GÄVLEBORGS LÄN</t>
        </is>
      </c>
      <c r="E5557" t="inlineStr">
        <is>
          <t>BOLLNÄS</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46963-2022</t>
        </is>
      </c>
      <c r="B5558" s="1" t="n">
        <v>44852</v>
      </c>
      <c r="C5558" s="1" t="n">
        <v>45677</v>
      </c>
      <c r="D5558" t="inlineStr">
        <is>
          <t>GÄVLEBORGS LÄN</t>
        </is>
      </c>
      <c r="E5558" t="inlineStr">
        <is>
          <t>BOLLNÄS</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46823-2022</t>
        </is>
      </c>
      <c r="B5559" s="1" t="n">
        <v>44851</v>
      </c>
      <c r="C5559" s="1" t="n">
        <v>45677</v>
      </c>
      <c r="D5559" t="inlineStr">
        <is>
          <t>GÄVLEBORGS LÄN</t>
        </is>
      </c>
      <c r="E5559" t="inlineStr">
        <is>
          <t>OVANÅKER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46931-2022</t>
        </is>
      </c>
      <c r="B5560" s="1" t="n">
        <v>44851</v>
      </c>
      <c r="C5560" s="1" t="n">
        <v>45677</v>
      </c>
      <c r="D5560" t="inlineStr">
        <is>
          <t>GÄVLEBORGS LÄN</t>
        </is>
      </c>
      <c r="E5560" t="inlineStr">
        <is>
          <t>NORDANSTIG</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46935-2022</t>
        </is>
      </c>
      <c r="B5561" s="1" t="n">
        <v>44851</v>
      </c>
      <c r="C5561" s="1" t="n">
        <v>45677</v>
      </c>
      <c r="D5561" t="inlineStr">
        <is>
          <t>GÄVLEBORGS LÄN</t>
        </is>
      </c>
      <c r="E5561" t="inlineStr">
        <is>
          <t>NORDANSTIG</t>
        </is>
      </c>
      <c r="F5561" t="inlineStr">
        <is>
          <t>Holmen skog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46961-2022</t>
        </is>
      </c>
      <c r="B5562" s="1" t="n">
        <v>44852</v>
      </c>
      <c r="C5562" s="1" t="n">
        <v>45677</v>
      </c>
      <c r="D5562" t="inlineStr">
        <is>
          <t>GÄVLEBORGS LÄN</t>
        </is>
      </c>
      <c r="E5562" t="inlineStr">
        <is>
          <t>BOLLNÄS</t>
        </is>
      </c>
      <c r="F5562" t="inlineStr">
        <is>
          <t>Bergvik skog väst AB</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46995-2022</t>
        </is>
      </c>
      <c r="B5563" s="1" t="n">
        <v>44852</v>
      </c>
      <c r="C5563" s="1" t="n">
        <v>45677</v>
      </c>
      <c r="D5563" t="inlineStr">
        <is>
          <t>GÄVLEBORGS LÄN</t>
        </is>
      </c>
      <c r="E5563" t="inlineStr">
        <is>
          <t>BOLLNÄS</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47380-2022</t>
        </is>
      </c>
      <c r="B5564" s="1" t="n">
        <v>44853</v>
      </c>
      <c r="C5564" s="1" t="n">
        <v>45677</v>
      </c>
      <c r="D5564" t="inlineStr">
        <is>
          <t>GÄVLEBORGS LÄN</t>
        </is>
      </c>
      <c r="E5564" t="inlineStr">
        <is>
          <t>OVANÅKER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47480-2022</t>
        </is>
      </c>
      <c r="B5565" s="1" t="n">
        <v>44853</v>
      </c>
      <c r="C5565" s="1" t="n">
        <v>45677</v>
      </c>
      <c r="D5565" t="inlineStr">
        <is>
          <t>GÄVLEBORGS LÄN</t>
        </is>
      </c>
      <c r="E5565" t="inlineStr">
        <is>
          <t>OVANÅKER</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47502-2022</t>
        </is>
      </c>
      <c r="B5566" s="1" t="n">
        <v>44853</v>
      </c>
      <c r="C5566" s="1" t="n">
        <v>45677</v>
      </c>
      <c r="D5566" t="inlineStr">
        <is>
          <t>GÄVLEBORGS LÄN</t>
        </is>
      </c>
      <c r="E5566" t="inlineStr">
        <is>
          <t>LJUSDAL</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47454-2022</t>
        </is>
      </c>
      <c r="B5567" s="1" t="n">
        <v>44853</v>
      </c>
      <c r="C5567" s="1" t="n">
        <v>45677</v>
      </c>
      <c r="D5567" t="inlineStr">
        <is>
          <t>GÄVLEBORGS LÄN</t>
        </is>
      </c>
      <c r="E5567" t="inlineStr">
        <is>
          <t>GÄVLE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47590-2022</t>
        </is>
      </c>
      <c r="B5568" s="1" t="n">
        <v>44854</v>
      </c>
      <c r="C5568" s="1" t="n">
        <v>45677</v>
      </c>
      <c r="D5568" t="inlineStr">
        <is>
          <t>GÄVLEBORGS LÄN</t>
        </is>
      </c>
      <c r="E5568" t="inlineStr">
        <is>
          <t>NORDANSTIG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47458-2022</t>
        </is>
      </c>
      <c r="B5569" s="1" t="n">
        <v>44853</v>
      </c>
      <c r="C5569" s="1" t="n">
        <v>45677</v>
      </c>
      <c r="D5569" t="inlineStr">
        <is>
          <t>GÄVLEBORGS LÄN</t>
        </is>
      </c>
      <c r="E5569" t="inlineStr">
        <is>
          <t>GÄVLE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47589-2022</t>
        </is>
      </c>
      <c r="B5570" s="1" t="n">
        <v>44854</v>
      </c>
      <c r="C5570" s="1" t="n">
        <v>45677</v>
      </c>
      <c r="D5570" t="inlineStr">
        <is>
          <t>GÄVLEBORGS LÄN</t>
        </is>
      </c>
      <c r="E5570" t="inlineStr">
        <is>
          <t>NORDANSTIG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47723-2022</t>
        </is>
      </c>
      <c r="B5571" s="1" t="n">
        <v>44854</v>
      </c>
      <c r="C5571" s="1" t="n">
        <v>45677</v>
      </c>
      <c r="D5571" t="inlineStr">
        <is>
          <t>GÄVLEBORGS LÄN</t>
        </is>
      </c>
      <c r="E5571" t="inlineStr">
        <is>
          <t>BOLLNÄS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47683-2022</t>
        </is>
      </c>
      <c r="B5572" s="1" t="n">
        <v>44854</v>
      </c>
      <c r="C5572" s="1" t="n">
        <v>45677</v>
      </c>
      <c r="D5572" t="inlineStr">
        <is>
          <t>GÄVLEBORGS LÄN</t>
        </is>
      </c>
      <c r="E5572" t="inlineStr">
        <is>
          <t>HUDIKSVALL</t>
        </is>
      </c>
      <c r="F5572" t="inlineStr">
        <is>
          <t>Holmen skog AB</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47710-2022</t>
        </is>
      </c>
      <c r="B5573" s="1" t="n">
        <v>44854</v>
      </c>
      <c r="C5573" s="1" t="n">
        <v>45677</v>
      </c>
      <c r="D5573" t="inlineStr">
        <is>
          <t>GÄVLEBORGS LÄN</t>
        </is>
      </c>
      <c r="E5573" t="inlineStr">
        <is>
          <t>SANDVIKEN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47718-2022</t>
        </is>
      </c>
      <c r="B5574" s="1" t="n">
        <v>44854</v>
      </c>
      <c r="C5574" s="1" t="n">
        <v>45677</v>
      </c>
      <c r="D5574" t="inlineStr">
        <is>
          <t>GÄVLEBORGS LÄN</t>
        </is>
      </c>
      <c r="E5574" t="inlineStr">
        <is>
          <t>SANDVIKEN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47711-2022</t>
        </is>
      </c>
      <c r="B5575" s="1" t="n">
        <v>44854</v>
      </c>
      <c r="C5575" s="1" t="n">
        <v>45677</v>
      </c>
      <c r="D5575" t="inlineStr">
        <is>
          <t>GÄVLEBORGS LÄN</t>
        </is>
      </c>
      <c r="E5575" t="inlineStr">
        <is>
          <t>SANDVIKEN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47720-2022</t>
        </is>
      </c>
      <c r="B5576" s="1" t="n">
        <v>44854</v>
      </c>
      <c r="C5576" s="1" t="n">
        <v>45677</v>
      </c>
      <c r="D5576" t="inlineStr">
        <is>
          <t>GÄVLEBORGS LÄN</t>
        </is>
      </c>
      <c r="E5576" t="inlineStr">
        <is>
          <t>SANDVIKEN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48007-2022</t>
        </is>
      </c>
      <c r="B5577" s="1" t="n">
        <v>44855</v>
      </c>
      <c r="C5577" s="1" t="n">
        <v>45677</v>
      </c>
      <c r="D5577" t="inlineStr">
        <is>
          <t>GÄVLEBORGS LÄN</t>
        </is>
      </c>
      <c r="E5577" t="inlineStr">
        <is>
          <t>BOLLNÄS</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47917-2022</t>
        </is>
      </c>
      <c r="B5578" s="1" t="n">
        <v>44855</v>
      </c>
      <c r="C5578" s="1" t="n">
        <v>45677</v>
      </c>
      <c r="D5578" t="inlineStr">
        <is>
          <t>GÄVLEBORGS LÄN</t>
        </is>
      </c>
      <c r="E5578" t="inlineStr">
        <is>
          <t>OVANÅKER</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47855-2022</t>
        </is>
      </c>
      <c r="B5579" s="1" t="n">
        <v>44855</v>
      </c>
      <c r="C5579" s="1" t="n">
        <v>45677</v>
      </c>
      <c r="D5579" t="inlineStr">
        <is>
          <t>GÄVLEBORGS LÄN</t>
        </is>
      </c>
      <c r="E5579" t="inlineStr">
        <is>
          <t>LJUSDAL</t>
        </is>
      </c>
      <c r="F5579" t="inlineStr">
        <is>
          <t>Sveaskog</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47889-2022</t>
        </is>
      </c>
      <c r="B5580" s="1" t="n">
        <v>44855</v>
      </c>
      <c r="C5580" s="1" t="n">
        <v>45677</v>
      </c>
      <c r="D5580" t="inlineStr">
        <is>
          <t>GÄVLEBORGS LÄN</t>
        </is>
      </c>
      <c r="E5580" t="inlineStr">
        <is>
          <t>SANDVIKEN</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47853-2022</t>
        </is>
      </c>
      <c r="B5581" s="1" t="n">
        <v>44855</v>
      </c>
      <c r="C5581" s="1" t="n">
        <v>45677</v>
      </c>
      <c r="D5581" t="inlineStr">
        <is>
          <t>GÄVLEBORGS LÄN</t>
        </is>
      </c>
      <c r="E5581" t="inlineStr">
        <is>
          <t>LJUSDAL</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49059-2022</t>
        </is>
      </c>
      <c r="B5582" s="1" t="n">
        <v>44855</v>
      </c>
      <c r="C5582" s="1" t="n">
        <v>45677</v>
      </c>
      <c r="D5582" t="inlineStr">
        <is>
          <t>GÄVLEBORGS LÄN</t>
        </is>
      </c>
      <c r="E5582" t="inlineStr">
        <is>
          <t>SANDVIKEN</t>
        </is>
      </c>
      <c r="F5582" t="inlineStr">
        <is>
          <t>Bergvik skog väst AB</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48080-2022</t>
        </is>
      </c>
      <c r="B5583" s="1" t="n">
        <v>44855</v>
      </c>
      <c r="C5583" s="1" t="n">
        <v>45677</v>
      </c>
      <c r="D5583" t="inlineStr">
        <is>
          <t>GÄVLEBORGS LÄN</t>
        </is>
      </c>
      <c r="E5583" t="inlineStr">
        <is>
          <t>NORDANSTIG</t>
        </is>
      </c>
      <c r="F5583" t="inlineStr">
        <is>
          <t>SCA</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48102-2022</t>
        </is>
      </c>
      <c r="B5584" s="1" t="n">
        <v>44856</v>
      </c>
      <c r="C5584" s="1" t="n">
        <v>45677</v>
      </c>
      <c r="D5584" t="inlineStr">
        <is>
          <t>GÄVLEBORGS LÄN</t>
        </is>
      </c>
      <c r="E5584" t="inlineStr">
        <is>
          <t>SÖDERHAMN</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48103-2022</t>
        </is>
      </c>
      <c r="B5585" s="1" t="n">
        <v>44856</v>
      </c>
      <c r="C5585" s="1" t="n">
        <v>45677</v>
      </c>
      <c r="D5585" t="inlineStr">
        <is>
          <t>GÄVLEBORGS LÄN</t>
        </is>
      </c>
      <c r="E5585" t="inlineStr">
        <is>
          <t>SÖDERHAMN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48110-2022</t>
        </is>
      </c>
      <c r="B5586" s="1" t="n">
        <v>44857</v>
      </c>
      <c r="C5586" s="1" t="n">
        <v>45677</v>
      </c>
      <c r="D5586" t="inlineStr">
        <is>
          <t>GÄVLEBORGS LÄN</t>
        </is>
      </c>
      <c r="E5586" t="inlineStr">
        <is>
          <t>BOLLNÄS</t>
        </is>
      </c>
      <c r="F5586" t="inlineStr">
        <is>
          <t>Bergvik skog väst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48111-2022</t>
        </is>
      </c>
      <c r="B5587" s="1" t="n">
        <v>44857</v>
      </c>
      <c r="C5587" s="1" t="n">
        <v>45677</v>
      </c>
      <c r="D5587" t="inlineStr">
        <is>
          <t>GÄVLEBORGS LÄN</t>
        </is>
      </c>
      <c r="E5587" t="inlineStr">
        <is>
          <t>BOLLNÄS</t>
        </is>
      </c>
      <c r="F5587" t="inlineStr">
        <is>
          <t>Bergvik skog väst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48214-2022</t>
        </is>
      </c>
      <c r="B5588" s="1" t="n">
        <v>44858</v>
      </c>
      <c r="C5588" s="1" t="n">
        <v>45677</v>
      </c>
      <c r="D5588" t="inlineStr">
        <is>
          <t>GÄVLEBORGS LÄN</t>
        </is>
      </c>
      <c r="E5588" t="inlineStr">
        <is>
          <t>OCKELBO</t>
        </is>
      </c>
      <c r="F5588" t="inlineStr">
        <is>
          <t>Bergvik skog väst AB</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48332-2022</t>
        </is>
      </c>
      <c r="B5589" s="1" t="n">
        <v>44858</v>
      </c>
      <c r="C5589" s="1" t="n">
        <v>45677</v>
      </c>
      <c r="D5589" t="inlineStr">
        <is>
          <t>GÄVLEBORGS LÄN</t>
        </is>
      </c>
      <c r="E5589" t="inlineStr">
        <is>
          <t>LJUSDAL</t>
        </is>
      </c>
      <c r="F5589" t="inlineStr">
        <is>
          <t>Bergvik skog väst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48371-2022</t>
        </is>
      </c>
      <c r="B5590" s="1" t="n">
        <v>44858</v>
      </c>
      <c r="C5590" s="1" t="n">
        <v>45677</v>
      </c>
      <c r="D5590" t="inlineStr">
        <is>
          <t>GÄVLEBORGS LÄN</t>
        </is>
      </c>
      <c r="E5590" t="inlineStr">
        <is>
          <t>BOLLNÄS</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48381-2022</t>
        </is>
      </c>
      <c r="B5591" s="1" t="n">
        <v>44858</v>
      </c>
      <c r="C5591" s="1" t="n">
        <v>45677</v>
      </c>
      <c r="D5591" t="inlineStr">
        <is>
          <t>GÄVLEBORGS LÄN</t>
        </is>
      </c>
      <c r="E5591" t="inlineStr">
        <is>
          <t>OCKELBO</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48399-2022</t>
        </is>
      </c>
      <c r="B5592" s="1" t="n">
        <v>44858</v>
      </c>
      <c r="C5592" s="1" t="n">
        <v>45677</v>
      </c>
      <c r="D5592" t="inlineStr">
        <is>
          <t>GÄVLEBORGS LÄN</t>
        </is>
      </c>
      <c r="E5592" t="inlineStr">
        <is>
          <t>OCKELBO</t>
        </is>
      </c>
      <c r="F5592" t="inlineStr">
        <is>
          <t>Bergvik skog väst AB</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48157-2022</t>
        </is>
      </c>
      <c r="B5593" s="1" t="n">
        <v>44858</v>
      </c>
      <c r="C5593" s="1" t="n">
        <v>45677</v>
      </c>
      <c r="D5593" t="inlineStr">
        <is>
          <t>GÄVLEBORGS LÄN</t>
        </is>
      </c>
      <c r="E5593" t="inlineStr">
        <is>
          <t>OCKELBO</t>
        </is>
      </c>
      <c r="F5593" t="inlineStr">
        <is>
          <t>Bergvik skog väst AB</t>
        </is>
      </c>
      <c r="G5593" t="n">
        <v>19.5</v>
      </c>
      <c r="H5593" t="n">
        <v>0</v>
      </c>
      <c r="I5593" t="n">
        <v>0</v>
      </c>
      <c r="J5593" t="n">
        <v>0</v>
      </c>
      <c r="K5593" t="n">
        <v>0</v>
      </c>
      <c r="L5593" t="n">
        <v>0</v>
      </c>
      <c r="M5593" t="n">
        <v>0</v>
      </c>
      <c r="N5593" t="n">
        <v>0</v>
      </c>
      <c r="O5593" t="n">
        <v>0</v>
      </c>
      <c r="P5593" t="n">
        <v>0</v>
      </c>
      <c r="Q5593" t="n">
        <v>0</v>
      </c>
      <c r="R5593" s="2" t="inlineStr"/>
    </row>
    <row r="5594" ht="15" customHeight="1">
      <c r="A5594" t="inlineStr">
        <is>
          <t>A 48201-2022</t>
        </is>
      </c>
      <c r="B5594" s="1" t="n">
        <v>44858</v>
      </c>
      <c r="C5594" s="1" t="n">
        <v>45677</v>
      </c>
      <c r="D5594" t="inlineStr">
        <is>
          <t>GÄVLEBORGS LÄN</t>
        </is>
      </c>
      <c r="E5594" t="inlineStr">
        <is>
          <t>OCKELBO</t>
        </is>
      </c>
      <c r="F5594" t="inlineStr">
        <is>
          <t>Bergvik skog väst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48370-2022</t>
        </is>
      </c>
      <c r="B5595" s="1" t="n">
        <v>44858</v>
      </c>
      <c r="C5595" s="1" t="n">
        <v>45677</v>
      </c>
      <c r="D5595" t="inlineStr">
        <is>
          <t>GÄVLEBORGS LÄN</t>
        </is>
      </c>
      <c r="E5595" t="inlineStr">
        <is>
          <t>LJUSDAL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48394-2022</t>
        </is>
      </c>
      <c r="B5596" s="1" t="n">
        <v>44858</v>
      </c>
      <c r="C5596" s="1" t="n">
        <v>45677</v>
      </c>
      <c r="D5596" t="inlineStr">
        <is>
          <t>GÄVLEBORGS LÄN</t>
        </is>
      </c>
      <c r="E5596" t="inlineStr">
        <is>
          <t>OCKELBO</t>
        </is>
      </c>
      <c r="F5596" t="inlineStr">
        <is>
          <t>Bergvik skog väst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48141-2022</t>
        </is>
      </c>
      <c r="B5597" s="1" t="n">
        <v>44858</v>
      </c>
      <c r="C5597" s="1" t="n">
        <v>45677</v>
      </c>
      <c r="D5597" t="inlineStr">
        <is>
          <t>GÄVLEBORGS LÄN</t>
        </is>
      </c>
      <c r="E5597" t="inlineStr">
        <is>
          <t>BOLLNÄS</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48179-2022</t>
        </is>
      </c>
      <c r="B5598" s="1" t="n">
        <v>44858</v>
      </c>
      <c r="C5598" s="1" t="n">
        <v>45677</v>
      </c>
      <c r="D5598" t="inlineStr">
        <is>
          <t>GÄVLEBORGS LÄN</t>
        </is>
      </c>
      <c r="E5598" t="inlineStr">
        <is>
          <t>NORDANSTIG</t>
        </is>
      </c>
      <c r="F5598" t="inlineStr">
        <is>
          <t>Holmen skog AB</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48199-2022</t>
        </is>
      </c>
      <c r="B5599" s="1" t="n">
        <v>44858</v>
      </c>
      <c r="C5599" s="1" t="n">
        <v>45677</v>
      </c>
      <c r="D5599" t="inlineStr">
        <is>
          <t>GÄVLEBORGS LÄN</t>
        </is>
      </c>
      <c r="E5599" t="inlineStr">
        <is>
          <t>OCKELBO</t>
        </is>
      </c>
      <c r="F5599" t="inlineStr">
        <is>
          <t>Bergvik skog väst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48205-2022</t>
        </is>
      </c>
      <c r="B5600" s="1" t="n">
        <v>44858</v>
      </c>
      <c r="C5600" s="1" t="n">
        <v>45677</v>
      </c>
      <c r="D5600" t="inlineStr">
        <is>
          <t>GÄVLEBORGS LÄN</t>
        </is>
      </c>
      <c r="E5600" t="inlineStr">
        <is>
          <t>OCKELBO</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48197-2022</t>
        </is>
      </c>
      <c r="B5601" s="1" t="n">
        <v>44858</v>
      </c>
      <c r="C5601" s="1" t="n">
        <v>45677</v>
      </c>
      <c r="D5601" t="inlineStr">
        <is>
          <t>GÄVLEBORGS LÄN</t>
        </is>
      </c>
      <c r="E5601" t="inlineStr">
        <is>
          <t>OCKELBO</t>
        </is>
      </c>
      <c r="F5601" t="inlineStr">
        <is>
          <t>Bergvik skog väst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48211-2022</t>
        </is>
      </c>
      <c r="B5602" s="1" t="n">
        <v>44858</v>
      </c>
      <c r="C5602" s="1" t="n">
        <v>45677</v>
      </c>
      <c r="D5602" t="inlineStr">
        <is>
          <t>GÄVLEBORGS LÄN</t>
        </is>
      </c>
      <c r="E5602" t="inlineStr">
        <is>
          <t>OCKELBO</t>
        </is>
      </c>
      <c r="F5602" t="inlineStr">
        <is>
          <t>Bergvik skog väst AB</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48366-2022</t>
        </is>
      </c>
      <c r="B5603" s="1" t="n">
        <v>44858</v>
      </c>
      <c r="C5603" s="1" t="n">
        <v>45677</v>
      </c>
      <c r="D5603" t="inlineStr">
        <is>
          <t>GÄVLEBORGS LÄN</t>
        </is>
      </c>
      <c r="E5603" t="inlineStr">
        <is>
          <t>OCKELBO</t>
        </is>
      </c>
      <c r="F5603" t="inlineStr">
        <is>
          <t>Bergvik skog väst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48330-2022</t>
        </is>
      </c>
      <c r="B5604" s="1" t="n">
        <v>44858</v>
      </c>
      <c r="C5604" s="1" t="n">
        <v>45677</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48369-2022</t>
        </is>
      </c>
      <c r="B5605" s="1" t="n">
        <v>44858</v>
      </c>
      <c r="C5605" s="1" t="n">
        <v>45677</v>
      </c>
      <c r="D5605" t="inlineStr">
        <is>
          <t>GÄVLEBORGS LÄN</t>
        </is>
      </c>
      <c r="E5605" t="inlineStr">
        <is>
          <t>OVANÅKER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48463-2022</t>
        </is>
      </c>
      <c r="B5606" s="1" t="n">
        <v>44858</v>
      </c>
      <c r="C5606" s="1" t="n">
        <v>45677</v>
      </c>
      <c r="D5606" t="inlineStr">
        <is>
          <t>GÄVLEBORGS LÄN</t>
        </is>
      </c>
      <c r="E5606" t="inlineStr">
        <is>
          <t>OCKELBO</t>
        </is>
      </c>
      <c r="F5606" t="inlineStr">
        <is>
          <t>Bergvik skog väst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48469-2022</t>
        </is>
      </c>
      <c r="B5607" s="1" t="n">
        <v>44858</v>
      </c>
      <c r="C5607" s="1" t="n">
        <v>45677</v>
      </c>
      <c r="D5607" t="inlineStr">
        <is>
          <t>GÄVLEBORGS LÄN</t>
        </is>
      </c>
      <c r="E5607" t="inlineStr">
        <is>
          <t>OCKELBO</t>
        </is>
      </c>
      <c r="F5607" t="inlineStr">
        <is>
          <t>Bergvik skog väst AB</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48764-2022</t>
        </is>
      </c>
      <c r="B5608" s="1" t="n">
        <v>44859</v>
      </c>
      <c r="C5608" s="1" t="n">
        <v>45677</v>
      </c>
      <c r="D5608" t="inlineStr">
        <is>
          <t>GÄVLEBORGS LÄN</t>
        </is>
      </c>
      <c r="E5608" t="inlineStr">
        <is>
          <t>BOLLNÄS</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48654-2022</t>
        </is>
      </c>
      <c r="B5609" s="1" t="n">
        <v>44859</v>
      </c>
      <c r="C5609" s="1" t="n">
        <v>45677</v>
      </c>
      <c r="D5609" t="inlineStr">
        <is>
          <t>GÄVLEBORGS LÄN</t>
        </is>
      </c>
      <c r="E5609" t="inlineStr">
        <is>
          <t>LJUSDAL</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48665-2022</t>
        </is>
      </c>
      <c r="B5610" s="1" t="n">
        <v>44859</v>
      </c>
      <c r="C5610" s="1" t="n">
        <v>45677</v>
      </c>
      <c r="D5610" t="inlineStr">
        <is>
          <t>GÄVLEBORGS LÄN</t>
        </is>
      </c>
      <c r="E5610" t="inlineStr">
        <is>
          <t>HUDIKSVALL</t>
        </is>
      </c>
      <c r="F5610" t="inlineStr">
        <is>
          <t>Holmen skog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48677-2022</t>
        </is>
      </c>
      <c r="B5611" s="1" t="n">
        <v>44859</v>
      </c>
      <c r="C5611" s="1" t="n">
        <v>45677</v>
      </c>
      <c r="D5611" t="inlineStr">
        <is>
          <t>GÄVLEBORGS LÄN</t>
        </is>
      </c>
      <c r="E5611" t="inlineStr">
        <is>
          <t>GÄVLE</t>
        </is>
      </c>
      <c r="F5611" t="inlineStr">
        <is>
          <t>Kyrkan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48666-2022</t>
        </is>
      </c>
      <c r="B5612" s="1" t="n">
        <v>44859</v>
      </c>
      <c r="C5612" s="1" t="n">
        <v>45677</v>
      </c>
      <c r="D5612" t="inlineStr">
        <is>
          <t>GÄVLEBORGS LÄN</t>
        </is>
      </c>
      <c r="E5612" t="inlineStr">
        <is>
          <t>BOLLNÄS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48889-2022</t>
        </is>
      </c>
      <c r="B5613" s="1" t="n">
        <v>44860</v>
      </c>
      <c r="C5613" s="1" t="n">
        <v>45677</v>
      </c>
      <c r="D5613" t="inlineStr">
        <is>
          <t>GÄVLEBORGS LÄN</t>
        </is>
      </c>
      <c r="E5613" t="inlineStr">
        <is>
          <t>HUDIKSVALL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48664-2022</t>
        </is>
      </c>
      <c r="B5614" s="1" t="n">
        <v>44859</v>
      </c>
      <c r="C5614" s="1" t="n">
        <v>45677</v>
      </c>
      <c r="D5614" t="inlineStr">
        <is>
          <t>GÄVLEBORGS LÄN</t>
        </is>
      </c>
      <c r="E5614" t="inlineStr">
        <is>
          <t>BOLLNÄS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48832-2022</t>
        </is>
      </c>
      <c r="B5615" s="1" t="n">
        <v>44859</v>
      </c>
      <c r="C5615" s="1" t="n">
        <v>45677</v>
      </c>
      <c r="D5615" t="inlineStr">
        <is>
          <t>GÄVLEBORGS LÄN</t>
        </is>
      </c>
      <c r="E5615" t="inlineStr">
        <is>
          <t>NORDANSTIG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48811-2022</t>
        </is>
      </c>
      <c r="B5616" s="1" t="n">
        <v>44859</v>
      </c>
      <c r="C5616" s="1" t="n">
        <v>45677</v>
      </c>
      <c r="D5616" t="inlineStr">
        <is>
          <t>GÄVLEBORGS LÄN</t>
        </is>
      </c>
      <c r="E5616" t="inlineStr">
        <is>
          <t>OVANÅKER</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49021-2022</t>
        </is>
      </c>
      <c r="B5617" s="1" t="n">
        <v>44860</v>
      </c>
      <c r="C5617" s="1" t="n">
        <v>45677</v>
      </c>
      <c r="D5617" t="inlineStr">
        <is>
          <t>GÄVLEBORGS LÄN</t>
        </is>
      </c>
      <c r="E5617" t="inlineStr">
        <is>
          <t>OVANÅKER</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49172-2022</t>
        </is>
      </c>
      <c r="B5618" s="1" t="n">
        <v>44860</v>
      </c>
      <c r="C5618" s="1" t="n">
        <v>45677</v>
      </c>
      <c r="D5618" t="inlineStr">
        <is>
          <t>GÄVLEBORGS LÄN</t>
        </is>
      </c>
      <c r="E5618" t="inlineStr">
        <is>
          <t>LJUSDAL</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49222-2022</t>
        </is>
      </c>
      <c r="B5619" s="1" t="n">
        <v>44861</v>
      </c>
      <c r="C5619" s="1" t="n">
        <v>45677</v>
      </c>
      <c r="D5619" t="inlineStr">
        <is>
          <t>GÄVLEBORGS LÄN</t>
        </is>
      </c>
      <c r="E5619" t="inlineStr">
        <is>
          <t>HUDIKSVALL</t>
        </is>
      </c>
      <c r="F5619" t="inlineStr">
        <is>
          <t>Holmen skog AB</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49266-2022</t>
        </is>
      </c>
      <c r="B5620" s="1" t="n">
        <v>44861</v>
      </c>
      <c r="C5620" s="1" t="n">
        <v>45677</v>
      </c>
      <c r="D5620" t="inlineStr">
        <is>
          <t>GÄVLEBORGS LÄN</t>
        </is>
      </c>
      <c r="E5620" t="inlineStr">
        <is>
          <t>SÖDERHAMN</t>
        </is>
      </c>
      <c r="F5620" t="inlineStr">
        <is>
          <t>Kyrkan</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49493-2022</t>
        </is>
      </c>
      <c r="B5621" s="1" t="n">
        <v>44861</v>
      </c>
      <c r="C5621" s="1" t="n">
        <v>45677</v>
      </c>
      <c r="D5621" t="inlineStr">
        <is>
          <t>GÄVLEBORGS LÄN</t>
        </is>
      </c>
      <c r="E5621" t="inlineStr">
        <is>
          <t>SANDVIKEN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49488-2022</t>
        </is>
      </c>
      <c r="B5622" s="1" t="n">
        <v>44861</v>
      </c>
      <c r="C5622" s="1" t="n">
        <v>45677</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49247-2022</t>
        </is>
      </c>
      <c r="B5623" s="1" t="n">
        <v>44861</v>
      </c>
      <c r="C5623" s="1" t="n">
        <v>45677</v>
      </c>
      <c r="D5623" t="inlineStr">
        <is>
          <t>GÄVLEBORGS LÄN</t>
        </is>
      </c>
      <c r="E5623" t="inlineStr">
        <is>
          <t>SÖDERHAMN</t>
        </is>
      </c>
      <c r="F5623" t="inlineStr">
        <is>
          <t>Kyrkan</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49571-2022</t>
        </is>
      </c>
      <c r="B5624" s="1" t="n">
        <v>44862</v>
      </c>
      <c r="C5624" s="1" t="n">
        <v>45677</v>
      </c>
      <c r="D5624" t="inlineStr">
        <is>
          <t>GÄVLEBORGS LÄN</t>
        </is>
      </c>
      <c r="E5624" t="inlineStr">
        <is>
          <t>OCKELBO</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49612-2022</t>
        </is>
      </c>
      <c r="B5625" s="1" t="n">
        <v>44862</v>
      </c>
      <c r="C5625" s="1" t="n">
        <v>45677</v>
      </c>
      <c r="D5625" t="inlineStr">
        <is>
          <t>GÄVLEBORGS LÄN</t>
        </is>
      </c>
      <c r="E5625" t="inlineStr">
        <is>
          <t>NORDANSTIG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49624-2022</t>
        </is>
      </c>
      <c r="B5626" s="1" t="n">
        <v>44862</v>
      </c>
      <c r="C5626" s="1" t="n">
        <v>45677</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49607-2022</t>
        </is>
      </c>
      <c r="B5627" s="1" t="n">
        <v>44862</v>
      </c>
      <c r="C5627" s="1" t="n">
        <v>45677</v>
      </c>
      <c r="D5627" t="inlineStr">
        <is>
          <t>GÄVLEBORGS LÄN</t>
        </is>
      </c>
      <c r="E5627" t="inlineStr">
        <is>
          <t>NORDANSTIG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49616-2022</t>
        </is>
      </c>
      <c r="B5628" s="1" t="n">
        <v>44862</v>
      </c>
      <c r="C5628" s="1" t="n">
        <v>45677</v>
      </c>
      <c r="D5628" t="inlineStr">
        <is>
          <t>GÄVLEBORGS LÄN</t>
        </is>
      </c>
      <c r="E5628" t="inlineStr">
        <is>
          <t>HUDIKSVALL</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49654-2022</t>
        </is>
      </c>
      <c r="B5629" s="1" t="n">
        <v>44862</v>
      </c>
      <c r="C5629" s="1" t="n">
        <v>45677</v>
      </c>
      <c r="D5629" t="inlineStr">
        <is>
          <t>GÄVLEBORGS LÄN</t>
        </is>
      </c>
      <c r="E5629" t="inlineStr">
        <is>
          <t>OVANÅKER</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49771-2022</t>
        </is>
      </c>
      <c r="B5630" s="1" t="n">
        <v>44862</v>
      </c>
      <c r="C5630" s="1" t="n">
        <v>45677</v>
      </c>
      <c r="D5630" t="inlineStr">
        <is>
          <t>GÄVLEBORGS LÄN</t>
        </is>
      </c>
      <c r="E5630" t="inlineStr">
        <is>
          <t>GÄVLE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49671-2022</t>
        </is>
      </c>
      <c r="B5631" s="1" t="n">
        <v>44862</v>
      </c>
      <c r="C5631" s="1" t="n">
        <v>45677</v>
      </c>
      <c r="D5631" t="inlineStr">
        <is>
          <t>GÄVLEBORGS LÄN</t>
        </is>
      </c>
      <c r="E5631" t="inlineStr">
        <is>
          <t>LJUSDAL</t>
        </is>
      </c>
      <c r="F5631" t="inlineStr">
        <is>
          <t>Sveaskog</t>
        </is>
      </c>
      <c r="G5631" t="n">
        <v>11.4</v>
      </c>
      <c r="H5631" t="n">
        <v>0</v>
      </c>
      <c r="I5631" t="n">
        <v>0</v>
      </c>
      <c r="J5631" t="n">
        <v>0</v>
      </c>
      <c r="K5631" t="n">
        <v>0</v>
      </c>
      <c r="L5631" t="n">
        <v>0</v>
      </c>
      <c r="M5631" t="n">
        <v>0</v>
      </c>
      <c r="N5631" t="n">
        <v>0</v>
      </c>
      <c r="O5631" t="n">
        <v>0</v>
      </c>
      <c r="P5631" t="n">
        <v>0</v>
      </c>
      <c r="Q5631" t="n">
        <v>0</v>
      </c>
      <c r="R5631" s="2" t="inlineStr"/>
    </row>
    <row r="5632" ht="15" customHeight="1">
      <c r="A5632" t="inlineStr">
        <is>
          <t>A 49591-2022</t>
        </is>
      </c>
      <c r="B5632" s="1" t="n">
        <v>44862</v>
      </c>
      <c r="C5632" s="1" t="n">
        <v>45677</v>
      </c>
      <c r="D5632" t="inlineStr">
        <is>
          <t>GÄVLEBORGS LÄN</t>
        </is>
      </c>
      <c r="E5632" t="inlineStr">
        <is>
          <t>BOLLNÄS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49672-2022</t>
        </is>
      </c>
      <c r="B5633" s="1" t="n">
        <v>44862</v>
      </c>
      <c r="C5633" s="1" t="n">
        <v>45677</v>
      </c>
      <c r="D5633" t="inlineStr">
        <is>
          <t>GÄVLEBORGS LÄN</t>
        </is>
      </c>
      <c r="E5633" t="inlineStr">
        <is>
          <t>LJUSDAL</t>
        </is>
      </c>
      <c r="F5633" t="inlineStr">
        <is>
          <t>Sveaskog</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49716-2022</t>
        </is>
      </c>
      <c r="B5634" s="1" t="n">
        <v>44862</v>
      </c>
      <c r="C5634" s="1" t="n">
        <v>45677</v>
      </c>
      <c r="D5634" t="inlineStr">
        <is>
          <t>GÄVLEBORGS LÄN</t>
        </is>
      </c>
      <c r="E5634" t="inlineStr">
        <is>
          <t>LJUSDAL</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49803-2022</t>
        </is>
      </c>
      <c r="B5635" s="1" t="n">
        <v>44862</v>
      </c>
      <c r="C5635" s="1" t="n">
        <v>45677</v>
      </c>
      <c r="D5635" t="inlineStr">
        <is>
          <t>GÄVLEBORGS LÄN</t>
        </is>
      </c>
      <c r="E5635" t="inlineStr">
        <is>
          <t>LJUSDAL</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49713-2022</t>
        </is>
      </c>
      <c r="B5636" s="1" t="n">
        <v>44862</v>
      </c>
      <c r="C5636" s="1" t="n">
        <v>45677</v>
      </c>
      <c r="D5636" t="inlineStr">
        <is>
          <t>GÄVLEBORGS LÄN</t>
        </is>
      </c>
      <c r="E5636" t="inlineStr">
        <is>
          <t>HUDIKSVALL</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49726-2022</t>
        </is>
      </c>
      <c r="B5637" s="1" t="n">
        <v>44862</v>
      </c>
      <c r="C5637" s="1" t="n">
        <v>45677</v>
      </c>
      <c r="D5637" t="inlineStr">
        <is>
          <t>GÄVLEBORGS LÄN</t>
        </is>
      </c>
      <c r="E5637" t="inlineStr">
        <is>
          <t>LJUSDAL</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49881-2022</t>
        </is>
      </c>
      <c r="B5638" s="1" t="n">
        <v>44864</v>
      </c>
      <c r="C5638" s="1" t="n">
        <v>45677</v>
      </c>
      <c r="D5638" t="inlineStr">
        <is>
          <t>GÄVLEBORGS LÄN</t>
        </is>
      </c>
      <c r="E5638" t="inlineStr">
        <is>
          <t>LJUSDAL</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49926-2022</t>
        </is>
      </c>
      <c r="B5639" s="1" t="n">
        <v>44865</v>
      </c>
      <c r="C5639" s="1" t="n">
        <v>45677</v>
      </c>
      <c r="D5639" t="inlineStr">
        <is>
          <t>GÄVLEBORGS LÄN</t>
        </is>
      </c>
      <c r="E5639" t="inlineStr">
        <is>
          <t>HUDIKSVALL</t>
        </is>
      </c>
      <c r="F5639" t="inlineStr">
        <is>
          <t>Holmen skog AB</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50053-2022</t>
        </is>
      </c>
      <c r="B5640" s="1" t="n">
        <v>44865</v>
      </c>
      <c r="C5640" s="1" t="n">
        <v>45677</v>
      </c>
      <c r="D5640" t="inlineStr">
        <is>
          <t>GÄVLEBORGS LÄN</t>
        </is>
      </c>
      <c r="E5640" t="inlineStr">
        <is>
          <t>BOLLNÄS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50066-2022</t>
        </is>
      </c>
      <c r="B5641" s="1" t="n">
        <v>44865</v>
      </c>
      <c r="C5641" s="1" t="n">
        <v>45677</v>
      </c>
      <c r="D5641" t="inlineStr">
        <is>
          <t>GÄVLEBORGS LÄN</t>
        </is>
      </c>
      <c r="E5641" t="inlineStr">
        <is>
          <t>BOLLNÄS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50150-2022</t>
        </is>
      </c>
      <c r="B5642" s="1" t="n">
        <v>44865</v>
      </c>
      <c r="C5642" s="1" t="n">
        <v>45677</v>
      </c>
      <c r="D5642" t="inlineStr">
        <is>
          <t>GÄVLEBORGS LÄN</t>
        </is>
      </c>
      <c r="E5642" t="inlineStr">
        <is>
          <t>HUDIKSVALL</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50205-2022</t>
        </is>
      </c>
      <c r="B5643" s="1" t="n">
        <v>44865</v>
      </c>
      <c r="C5643" s="1" t="n">
        <v>45677</v>
      </c>
      <c r="D5643" t="inlineStr">
        <is>
          <t>GÄVLEBORGS LÄN</t>
        </is>
      </c>
      <c r="E5643" t="inlineStr">
        <is>
          <t>HUDIKSVALL</t>
        </is>
      </c>
      <c r="F5643" t="inlineStr">
        <is>
          <t>Holmen skog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50226-2022</t>
        </is>
      </c>
      <c r="B5644" s="1" t="n">
        <v>44865</v>
      </c>
      <c r="C5644" s="1" t="n">
        <v>45677</v>
      </c>
      <c r="D5644" t="inlineStr">
        <is>
          <t>GÄVLEBORGS LÄN</t>
        </is>
      </c>
      <c r="E5644" t="inlineStr">
        <is>
          <t>HUDIKSVALL</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50235-2022</t>
        </is>
      </c>
      <c r="B5645" s="1" t="n">
        <v>44865</v>
      </c>
      <c r="C5645" s="1" t="n">
        <v>45677</v>
      </c>
      <c r="D5645" t="inlineStr">
        <is>
          <t>GÄVLEBORGS LÄN</t>
        </is>
      </c>
      <c r="E5645" t="inlineStr">
        <is>
          <t>HUDIKSVALL</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50271-2022</t>
        </is>
      </c>
      <c r="B5646" s="1" t="n">
        <v>44865</v>
      </c>
      <c r="C5646" s="1" t="n">
        <v>45677</v>
      </c>
      <c r="D5646" t="inlineStr">
        <is>
          <t>GÄVLEBORGS LÄN</t>
        </is>
      </c>
      <c r="E5646" t="inlineStr">
        <is>
          <t>GÄVLE</t>
        </is>
      </c>
      <c r="F5646" t="inlineStr">
        <is>
          <t>Bergvik skog öst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50299-2022</t>
        </is>
      </c>
      <c r="B5647" s="1" t="n">
        <v>44865</v>
      </c>
      <c r="C5647" s="1" t="n">
        <v>45677</v>
      </c>
      <c r="D5647" t="inlineStr">
        <is>
          <t>GÄVLEBORGS LÄN</t>
        </is>
      </c>
      <c r="E5647" t="inlineStr">
        <is>
          <t>LJUSDAL</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50277-2022</t>
        </is>
      </c>
      <c r="B5648" s="1" t="n">
        <v>44865</v>
      </c>
      <c r="C5648" s="1" t="n">
        <v>45677</v>
      </c>
      <c r="D5648" t="inlineStr">
        <is>
          <t>GÄVLEBORGS LÄN</t>
        </is>
      </c>
      <c r="E5648" t="inlineStr">
        <is>
          <t>SANDVIKEN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50272-2022</t>
        </is>
      </c>
      <c r="B5649" s="1" t="n">
        <v>44865</v>
      </c>
      <c r="C5649" s="1" t="n">
        <v>45677</v>
      </c>
      <c r="D5649" t="inlineStr">
        <is>
          <t>GÄVLEBORGS LÄN</t>
        </is>
      </c>
      <c r="E5649" t="inlineStr">
        <is>
          <t>GÄVLE</t>
        </is>
      </c>
      <c r="F5649" t="inlineStr">
        <is>
          <t>Bergvik skog öst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50345-2022</t>
        </is>
      </c>
      <c r="B5650" s="1" t="n">
        <v>44866</v>
      </c>
      <c r="C5650" s="1" t="n">
        <v>45677</v>
      </c>
      <c r="D5650" t="inlineStr">
        <is>
          <t>GÄVLEBORGS LÄN</t>
        </is>
      </c>
      <c r="E5650" t="inlineStr">
        <is>
          <t>LJUSDAL</t>
        </is>
      </c>
      <c r="F5650" t="inlineStr">
        <is>
          <t>Holmen skog AB</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50369-2022</t>
        </is>
      </c>
      <c r="B5651" s="1" t="n">
        <v>44866</v>
      </c>
      <c r="C5651" s="1" t="n">
        <v>45677</v>
      </c>
      <c r="D5651" t="inlineStr">
        <is>
          <t>GÄVLEBORGS LÄN</t>
        </is>
      </c>
      <c r="E5651" t="inlineStr">
        <is>
          <t>LJUSDAL</t>
        </is>
      </c>
      <c r="F5651" t="inlineStr">
        <is>
          <t>Bergvik skog väst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50347-2022</t>
        </is>
      </c>
      <c r="B5652" s="1" t="n">
        <v>44866</v>
      </c>
      <c r="C5652" s="1" t="n">
        <v>45677</v>
      </c>
      <c r="D5652" t="inlineStr">
        <is>
          <t>GÄVLEBORGS LÄN</t>
        </is>
      </c>
      <c r="E5652" t="inlineStr">
        <is>
          <t>LJUSDAL</t>
        </is>
      </c>
      <c r="F5652" t="inlineStr">
        <is>
          <t>Holmen skog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50427-2022</t>
        </is>
      </c>
      <c r="B5653" s="1" t="n">
        <v>44866</v>
      </c>
      <c r="C5653" s="1" t="n">
        <v>45677</v>
      </c>
      <c r="D5653" t="inlineStr">
        <is>
          <t>GÄVLEBORGS LÄN</t>
        </is>
      </c>
      <c r="E5653" t="inlineStr">
        <is>
          <t>NORDANSTIG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50351-2022</t>
        </is>
      </c>
      <c r="B5654" s="1" t="n">
        <v>44866</v>
      </c>
      <c r="C5654" s="1" t="n">
        <v>45677</v>
      </c>
      <c r="D5654" t="inlineStr">
        <is>
          <t>GÄVLEBORGS LÄN</t>
        </is>
      </c>
      <c r="E5654" t="inlineStr">
        <is>
          <t>LJUSDAL</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50421-2022</t>
        </is>
      </c>
      <c r="B5655" s="1" t="n">
        <v>44866</v>
      </c>
      <c r="C5655" s="1" t="n">
        <v>45677</v>
      </c>
      <c r="D5655" t="inlineStr">
        <is>
          <t>GÄVLEBORGS LÄN</t>
        </is>
      </c>
      <c r="E5655" t="inlineStr">
        <is>
          <t>SANDVIKEN</t>
        </is>
      </c>
      <c r="F5655" t="inlineStr">
        <is>
          <t>Kommuner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50534-2022</t>
        </is>
      </c>
      <c r="B5656" s="1" t="n">
        <v>44866</v>
      </c>
      <c r="C5656" s="1" t="n">
        <v>45677</v>
      </c>
      <c r="D5656" t="inlineStr">
        <is>
          <t>GÄVLEBORGS LÄN</t>
        </is>
      </c>
      <c r="E5656" t="inlineStr">
        <is>
          <t>HUDIKSVALL</t>
        </is>
      </c>
      <c r="F5656" t="inlineStr">
        <is>
          <t>Holmen skog AB</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50553-2022</t>
        </is>
      </c>
      <c r="B5657" s="1" t="n">
        <v>44866</v>
      </c>
      <c r="C5657" s="1" t="n">
        <v>45677</v>
      </c>
      <c r="D5657" t="inlineStr">
        <is>
          <t>GÄVLEBORGS LÄN</t>
        </is>
      </c>
      <c r="E5657" t="inlineStr">
        <is>
          <t>HUDIKSVALL</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50567-2022</t>
        </is>
      </c>
      <c r="B5658" s="1" t="n">
        <v>44866</v>
      </c>
      <c r="C5658" s="1" t="n">
        <v>45677</v>
      </c>
      <c r="D5658" t="inlineStr">
        <is>
          <t>GÄVLEBORGS LÄN</t>
        </is>
      </c>
      <c r="E5658" t="inlineStr">
        <is>
          <t>LJUSDAL</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50574-2022</t>
        </is>
      </c>
      <c r="B5659" s="1" t="n">
        <v>44866</v>
      </c>
      <c r="C5659" s="1" t="n">
        <v>45677</v>
      </c>
      <c r="D5659" t="inlineStr">
        <is>
          <t>GÄVLEBORGS LÄN</t>
        </is>
      </c>
      <c r="E5659" t="inlineStr">
        <is>
          <t>HUDIKSVALL</t>
        </is>
      </c>
      <c r="F5659" t="inlineStr">
        <is>
          <t>Holmen skog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50583-2022</t>
        </is>
      </c>
      <c r="B5660" s="1" t="n">
        <v>44866</v>
      </c>
      <c r="C5660" s="1" t="n">
        <v>45677</v>
      </c>
      <c r="D5660" t="inlineStr">
        <is>
          <t>GÄVLEBORGS LÄN</t>
        </is>
      </c>
      <c r="E5660" t="inlineStr">
        <is>
          <t>NORDANSTIG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50579-2022</t>
        </is>
      </c>
      <c r="B5661" s="1" t="n">
        <v>44866</v>
      </c>
      <c r="C5661" s="1" t="n">
        <v>45677</v>
      </c>
      <c r="D5661" t="inlineStr">
        <is>
          <t>GÄVLEBORGS LÄN</t>
        </is>
      </c>
      <c r="E5661" t="inlineStr">
        <is>
          <t>LJUSDAL</t>
        </is>
      </c>
      <c r="F5661" t="inlineStr">
        <is>
          <t>Bergvik skog väst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50588-2022</t>
        </is>
      </c>
      <c r="B5662" s="1" t="n">
        <v>44866</v>
      </c>
      <c r="C5662" s="1" t="n">
        <v>45677</v>
      </c>
      <c r="D5662" t="inlineStr">
        <is>
          <t>GÄVLEBORGS LÄN</t>
        </is>
      </c>
      <c r="E5662" t="inlineStr">
        <is>
          <t>HUDIKSVALL</t>
        </is>
      </c>
      <c r="F5662" t="inlineStr">
        <is>
          <t>Holmen skog AB</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50637-2022</t>
        </is>
      </c>
      <c r="B5663" s="1" t="n">
        <v>44866</v>
      </c>
      <c r="C5663" s="1" t="n">
        <v>45677</v>
      </c>
      <c r="D5663" t="inlineStr">
        <is>
          <t>GÄVLEBORGS LÄN</t>
        </is>
      </c>
      <c r="E5663" t="inlineStr">
        <is>
          <t>OVANÅKER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50740-2022</t>
        </is>
      </c>
      <c r="B5664" s="1" t="n">
        <v>44867</v>
      </c>
      <c r="C5664" s="1" t="n">
        <v>45677</v>
      </c>
      <c r="D5664" t="inlineStr">
        <is>
          <t>GÄVLEBORGS LÄN</t>
        </is>
      </c>
      <c r="E5664" t="inlineStr">
        <is>
          <t>LJUSDAL</t>
        </is>
      </c>
      <c r="F5664" t="inlineStr">
        <is>
          <t>Kommuner</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50818-2022</t>
        </is>
      </c>
      <c r="B5665" s="1" t="n">
        <v>44867</v>
      </c>
      <c r="C5665" s="1" t="n">
        <v>45677</v>
      </c>
      <c r="D5665" t="inlineStr">
        <is>
          <t>GÄVLEBORGS LÄN</t>
        </is>
      </c>
      <c r="E5665" t="inlineStr">
        <is>
          <t>HUDIKSVALL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50863-2022</t>
        </is>
      </c>
      <c r="B5666" s="1" t="n">
        <v>44867</v>
      </c>
      <c r="C5666" s="1" t="n">
        <v>45677</v>
      </c>
      <c r="D5666" t="inlineStr">
        <is>
          <t>GÄVLEBORGS LÄN</t>
        </is>
      </c>
      <c r="E5666" t="inlineStr">
        <is>
          <t>LJUSDAL</t>
        </is>
      </c>
      <c r="F5666" t="inlineStr">
        <is>
          <t>Holmen skog AB</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50931-2022</t>
        </is>
      </c>
      <c r="B5667" s="1" t="n">
        <v>44867</v>
      </c>
      <c r="C5667" s="1" t="n">
        <v>45677</v>
      </c>
      <c r="D5667" t="inlineStr">
        <is>
          <t>GÄVLEBORGS LÄN</t>
        </is>
      </c>
      <c r="E5667" t="inlineStr">
        <is>
          <t>LJUSDAL</t>
        </is>
      </c>
      <c r="F5667" t="inlineStr">
        <is>
          <t>Sveaskog</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50733-2022</t>
        </is>
      </c>
      <c r="B5668" s="1" t="n">
        <v>44867</v>
      </c>
      <c r="C5668" s="1" t="n">
        <v>45677</v>
      </c>
      <c r="D5668" t="inlineStr">
        <is>
          <t>GÄVLEBORGS LÄN</t>
        </is>
      </c>
      <c r="E5668" t="inlineStr">
        <is>
          <t>LJUSDAL</t>
        </is>
      </c>
      <c r="F5668" t="inlineStr">
        <is>
          <t>Kommuner</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50743-2022</t>
        </is>
      </c>
      <c r="B5669" s="1" t="n">
        <v>44867</v>
      </c>
      <c r="C5669" s="1" t="n">
        <v>45677</v>
      </c>
      <c r="D5669" t="inlineStr">
        <is>
          <t>GÄVLEBORGS LÄN</t>
        </is>
      </c>
      <c r="E5669" t="inlineStr">
        <is>
          <t>LJUSDAL</t>
        </is>
      </c>
      <c r="F5669" t="inlineStr">
        <is>
          <t>Kommuner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50877-2022</t>
        </is>
      </c>
      <c r="B5670" s="1" t="n">
        <v>44867</v>
      </c>
      <c r="C5670" s="1" t="n">
        <v>45677</v>
      </c>
      <c r="D5670" t="inlineStr">
        <is>
          <t>GÄVLEBORGS LÄN</t>
        </is>
      </c>
      <c r="E5670" t="inlineStr">
        <is>
          <t>LJUSDAL</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50927-2022</t>
        </is>
      </c>
      <c r="B5671" s="1" t="n">
        <v>44867</v>
      </c>
      <c r="C5671" s="1" t="n">
        <v>45677</v>
      </c>
      <c r="D5671" t="inlineStr">
        <is>
          <t>GÄVLEBORGS LÄN</t>
        </is>
      </c>
      <c r="E5671" t="inlineStr">
        <is>
          <t>LJUSDAL</t>
        </is>
      </c>
      <c r="F5671" t="inlineStr">
        <is>
          <t>Holmen skog AB</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50871-2022</t>
        </is>
      </c>
      <c r="B5672" s="1" t="n">
        <v>44867</v>
      </c>
      <c r="C5672" s="1" t="n">
        <v>45677</v>
      </c>
      <c r="D5672" t="inlineStr">
        <is>
          <t>GÄVLEBORGS LÄN</t>
        </is>
      </c>
      <c r="E5672" t="inlineStr">
        <is>
          <t>GÄVLE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50886-2022</t>
        </is>
      </c>
      <c r="B5673" s="1" t="n">
        <v>44867</v>
      </c>
      <c r="C5673" s="1" t="n">
        <v>45677</v>
      </c>
      <c r="D5673" t="inlineStr">
        <is>
          <t>GÄVLEBORGS LÄN</t>
        </is>
      </c>
      <c r="E5673" t="inlineStr">
        <is>
          <t>LJUSDAL</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50937-2022</t>
        </is>
      </c>
      <c r="B5674" s="1" t="n">
        <v>44867</v>
      </c>
      <c r="C5674" s="1" t="n">
        <v>45677</v>
      </c>
      <c r="D5674" t="inlineStr">
        <is>
          <t>GÄVLEBORGS LÄN</t>
        </is>
      </c>
      <c r="E5674" t="inlineStr">
        <is>
          <t>OVANÅKER</t>
        </is>
      </c>
      <c r="F5674" t="inlineStr">
        <is>
          <t>Bergvik skog väst AB</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50778-2022</t>
        </is>
      </c>
      <c r="B5675" s="1" t="n">
        <v>44867</v>
      </c>
      <c r="C5675" s="1" t="n">
        <v>45677</v>
      </c>
      <c r="D5675" t="inlineStr">
        <is>
          <t>GÄVLEBORGS LÄN</t>
        </is>
      </c>
      <c r="E5675" t="inlineStr">
        <is>
          <t>GÄVLE</t>
        </is>
      </c>
      <c r="F5675" t="inlineStr">
        <is>
          <t>Bergvik skog öst AB</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50876-2022</t>
        </is>
      </c>
      <c r="B5676" s="1" t="n">
        <v>44867</v>
      </c>
      <c r="C5676" s="1" t="n">
        <v>45677</v>
      </c>
      <c r="D5676" t="inlineStr">
        <is>
          <t>GÄVLEBORGS LÄN</t>
        </is>
      </c>
      <c r="E5676" t="inlineStr">
        <is>
          <t>SÖDERHAMN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51048-2022</t>
        </is>
      </c>
      <c r="B5677" s="1" t="n">
        <v>44868</v>
      </c>
      <c r="C5677" s="1" t="n">
        <v>45677</v>
      </c>
      <c r="D5677" t="inlineStr">
        <is>
          <t>GÄVLEBORGS LÄN</t>
        </is>
      </c>
      <c r="E5677" t="inlineStr">
        <is>
          <t>LJUSDAL</t>
        </is>
      </c>
      <c r="F5677" t="inlineStr">
        <is>
          <t>Bergvik skog väst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51092-2022</t>
        </is>
      </c>
      <c r="B5678" s="1" t="n">
        <v>44868</v>
      </c>
      <c r="C5678" s="1" t="n">
        <v>45677</v>
      </c>
      <c r="D5678" t="inlineStr">
        <is>
          <t>GÄVLEBORGS LÄN</t>
        </is>
      </c>
      <c r="E5678" t="inlineStr">
        <is>
          <t>OVANÅKER</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51089-2022</t>
        </is>
      </c>
      <c r="B5679" s="1" t="n">
        <v>44868</v>
      </c>
      <c r="C5679" s="1" t="n">
        <v>45677</v>
      </c>
      <c r="D5679" t="inlineStr">
        <is>
          <t>GÄVLEBORGS LÄN</t>
        </is>
      </c>
      <c r="E5679" t="inlineStr">
        <is>
          <t>LJUSDAL</t>
        </is>
      </c>
      <c r="F5679" t="inlineStr">
        <is>
          <t>Bergvik skog väst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51099-2022</t>
        </is>
      </c>
      <c r="B5680" s="1" t="n">
        <v>44868</v>
      </c>
      <c r="C5680" s="1" t="n">
        <v>45677</v>
      </c>
      <c r="D5680" t="inlineStr">
        <is>
          <t>GÄVLEBORGS LÄN</t>
        </is>
      </c>
      <c r="E5680" t="inlineStr">
        <is>
          <t>LJUSDAL</t>
        </is>
      </c>
      <c r="F5680" t="inlineStr">
        <is>
          <t>Bergvik skog väst AB</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51038-2022</t>
        </is>
      </c>
      <c r="B5681" s="1" t="n">
        <v>44868</v>
      </c>
      <c r="C5681" s="1" t="n">
        <v>45677</v>
      </c>
      <c r="D5681" t="inlineStr">
        <is>
          <t>GÄVLEBORGS LÄN</t>
        </is>
      </c>
      <c r="E5681" t="inlineStr">
        <is>
          <t>BOLLNÄS</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51044-2022</t>
        </is>
      </c>
      <c r="B5682" s="1" t="n">
        <v>44868</v>
      </c>
      <c r="C5682" s="1" t="n">
        <v>45677</v>
      </c>
      <c r="D5682" t="inlineStr">
        <is>
          <t>GÄVLEBORGS LÄN</t>
        </is>
      </c>
      <c r="E5682" t="inlineStr">
        <is>
          <t>LJUSDAL</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51049-2022</t>
        </is>
      </c>
      <c r="B5683" s="1" t="n">
        <v>44868</v>
      </c>
      <c r="C5683" s="1" t="n">
        <v>45677</v>
      </c>
      <c r="D5683" t="inlineStr">
        <is>
          <t>GÄVLEBORGS LÄN</t>
        </is>
      </c>
      <c r="E5683" t="inlineStr">
        <is>
          <t>LJUSDAL</t>
        </is>
      </c>
      <c r="F5683" t="inlineStr">
        <is>
          <t>Bergvik skog väst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51076-2022</t>
        </is>
      </c>
      <c r="B5684" s="1" t="n">
        <v>44868</v>
      </c>
      <c r="C5684" s="1" t="n">
        <v>45677</v>
      </c>
      <c r="D5684" t="inlineStr">
        <is>
          <t>GÄVLEBORGS LÄN</t>
        </is>
      </c>
      <c r="E5684" t="inlineStr">
        <is>
          <t>GÄVLE</t>
        </is>
      </c>
      <c r="F5684" t="inlineStr">
        <is>
          <t>Kyrkan</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51115-2022</t>
        </is>
      </c>
      <c r="B5685" s="1" t="n">
        <v>44868</v>
      </c>
      <c r="C5685" s="1" t="n">
        <v>45677</v>
      </c>
      <c r="D5685" t="inlineStr">
        <is>
          <t>GÄVLEBORGS LÄN</t>
        </is>
      </c>
      <c r="E5685" t="inlineStr">
        <is>
          <t>LJUSDAL</t>
        </is>
      </c>
      <c r="F5685" t="inlineStr">
        <is>
          <t>Bergvik skog väst AB</t>
        </is>
      </c>
      <c r="G5685" t="n">
        <v>12.9</v>
      </c>
      <c r="H5685" t="n">
        <v>0</v>
      </c>
      <c r="I5685" t="n">
        <v>0</v>
      </c>
      <c r="J5685" t="n">
        <v>0</v>
      </c>
      <c r="K5685" t="n">
        <v>0</v>
      </c>
      <c r="L5685" t="n">
        <v>0</v>
      </c>
      <c r="M5685" t="n">
        <v>0</v>
      </c>
      <c r="N5685" t="n">
        <v>0</v>
      </c>
      <c r="O5685" t="n">
        <v>0</v>
      </c>
      <c r="P5685" t="n">
        <v>0</v>
      </c>
      <c r="Q5685" t="n">
        <v>0</v>
      </c>
      <c r="R5685" s="2" t="inlineStr"/>
    </row>
    <row r="5686" ht="15" customHeight="1">
      <c r="A5686" t="inlineStr">
        <is>
          <t>A 51123-2022</t>
        </is>
      </c>
      <c r="B5686" s="1" t="n">
        <v>44868</v>
      </c>
      <c r="C5686" s="1" t="n">
        <v>45677</v>
      </c>
      <c r="D5686" t="inlineStr">
        <is>
          <t>GÄVLEBORGS LÄN</t>
        </is>
      </c>
      <c r="E5686" t="inlineStr">
        <is>
          <t>LJUSDAL</t>
        </is>
      </c>
      <c r="F5686" t="inlineStr">
        <is>
          <t>Sveaskog</t>
        </is>
      </c>
      <c r="G5686" t="n">
        <v>8.9</v>
      </c>
      <c r="H5686" t="n">
        <v>0</v>
      </c>
      <c r="I5686" t="n">
        <v>0</v>
      </c>
      <c r="J5686" t="n">
        <v>0</v>
      </c>
      <c r="K5686" t="n">
        <v>0</v>
      </c>
      <c r="L5686" t="n">
        <v>0</v>
      </c>
      <c r="M5686" t="n">
        <v>0</v>
      </c>
      <c r="N5686" t="n">
        <v>0</v>
      </c>
      <c r="O5686" t="n">
        <v>0</v>
      </c>
      <c r="P5686" t="n">
        <v>0</v>
      </c>
      <c r="Q5686" t="n">
        <v>0</v>
      </c>
      <c r="R5686" s="2" t="inlineStr"/>
    </row>
    <row r="5687" ht="15" customHeight="1">
      <c r="A5687" t="inlineStr">
        <is>
          <t>A 51122-2022</t>
        </is>
      </c>
      <c r="B5687" s="1" t="n">
        <v>44868</v>
      </c>
      <c r="C5687" s="1" t="n">
        <v>45677</v>
      </c>
      <c r="D5687" t="inlineStr">
        <is>
          <t>GÄVLEBORGS LÄN</t>
        </is>
      </c>
      <c r="E5687" t="inlineStr">
        <is>
          <t>OVANÅKER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51121-2022</t>
        </is>
      </c>
      <c r="B5688" s="1" t="n">
        <v>44868</v>
      </c>
      <c r="C5688" s="1" t="n">
        <v>45677</v>
      </c>
      <c r="D5688" t="inlineStr">
        <is>
          <t>GÄVLEBORGS LÄN</t>
        </is>
      </c>
      <c r="E5688" t="inlineStr">
        <is>
          <t>LJUSDAL</t>
        </is>
      </c>
      <c r="F5688" t="inlineStr">
        <is>
          <t>Sveaskog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51127-2022</t>
        </is>
      </c>
      <c r="B5689" s="1" t="n">
        <v>44868</v>
      </c>
      <c r="C5689" s="1" t="n">
        <v>45677</v>
      </c>
      <c r="D5689" t="inlineStr">
        <is>
          <t>GÄVLEBORGS LÄN</t>
        </is>
      </c>
      <c r="E5689" t="inlineStr">
        <is>
          <t>OVANÅKER</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51145-2022</t>
        </is>
      </c>
      <c r="B5690" s="1" t="n">
        <v>44868</v>
      </c>
      <c r="C5690" s="1" t="n">
        <v>45677</v>
      </c>
      <c r="D5690" t="inlineStr">
        <is>
          <t>GÄVLEBORGS LÄN</t>
        </is>
      </c>
      <c r="E5690" t="inlineStr">
        <is>
          <t>LJUSDAL</t>
        </is>
      </c>
      <c r="F5690" t="inlineStr">
        <is>
          <t>Bergvik skog väst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51162-2022</t>
        </is>
      </c>
      <c r="B5691" s="1" t="n">
        <v>44868</v>
      </c>
      <c r="C5691" s="1" t="n">
        <v>45677</v>
      </c>
      <c r="D5691" t="inlineStr">
        <is>
          <t>GÄVLEBORGS LÄN</t>
        </is>
      </c>
      <c r="E5691" t="inlineStr">
        <is>
          <t>SANDVIKEN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51250-2022</t>
        </is>
      </c>
      <c r="B5692" s="1" t="n">
        <v>44868</v>
      </c>
      <c r="C5692" s="1" t="n">
        <v>45677</v>
      </c>
      <c r="D5692" t="inlineStr">
        <is>
          <t>GÄVLEBORGS LÄN</t>
        </is>
      </c>
      <c r="E5692" t="inlineStr">
        <is>
          <t>NORDANSTIG</t>
        </is>
      </c>
      <c r="F5692" t="inlineStr">
        <is>
          <t>Holmen skog AB</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51205-2022</t>
        </is>
      </c>
      <c r="B5693" s="1" t="n">
        <v>44868</v>
      </c>
      <c r="C5693" s="1" t="n">
        <v>45677</v>
      </c>
      <c r="D5693" t="inlineStr">
        <is>
          <t>GÄVLEBORGS LÄN</t>
        </is>
      </c>
      <c r="E5693" t="inlineStr">
        <is>
          <t>HOFORS</t>
        </is>
      </c>
      <c r="F5693" t="inlineStr">
        <is>
          <t>Sveaskog</t>
        </is>
      </c>
      <c r="G5693" t="n">
        <v>10</v>
      </c>
      <c r="H5693" t="n">
        <v>0</v>
      </c>
      <c r="I5693" t="n">
        <v>0</v>
      </c>
      <c r="J5693" t="n">
        <v>0</v>
      </c>
      <c r="K5693" t="n">
        <v>0</v>
      </c>
      <c r="L5693" t="n">
        <v>0</v>
      </c>
      <c r="M5693" t="n">
        <v>0</v>
      </c>
      <c r="N5693" t="n">
        <v>0</v>
      </c>
      <c r="O5693" t="n">
        <v>0</v>
      </c>
      <c r="P5693" t="n">
        <v>0</v>
      </c>
      <c r="Q5693" t="n">
        <v>0</v>
      </c>
      <c r="R5693" s="2" t="inlineStr"/>
    </row>
    <row r="5694" ht="15" customHeight="1">
      <c r="A5694" t="inlineStr">
        <is>
          <t>A 51252-2022</t>
        </is>
      </c>
      <c r="B5694" s="1" t="n">
        <v>44868</v>
      </c>
      <c r="C5694" s="1" t="n">
        <v>45677</v>
      </c>
      <c r="D5694" t="inlineStr">
        <is>
          <t>GÄVLEBORGS LÄN</t>
        </is>
      </c>
      <c r="E5694" t="inlineStr">
        <is>
          <t>OVANÅKER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51202-2022</t>
        </is>
      </c>
      <c r="B5695" s="1" t="n">
        <v>44868</v>
      </c>
      <c r="C5695" s="1" t="n">
        <v>45677</v>
      </c>
      <c r="D5695" t="inlineStr">
        <is>
          <t>GÄVLEBORGS LÄN</t>
        </is>
      </c>
      <c r="E5695" t="inlineStr">
        <is>
          <t>HOFORS</t>
        </is>
      </c>
      <c r="F5695" t="inlineStr">
        <is>
          <t>Sveaskog</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51209-2022</t>
        </is>
      </c>
      <c r="B5696" s="1" t="n">
        <v>44868</v>
      </c>
      <c r="C5696" s="1" t="n">
        <v>45677</v>
      </c>
      <c r="D5696" t="inlineStr">
        <is>
          <t>GÄVLEBORGS LÄN</t>
        </is>
      </c>
      <c r="E5696" t="inlineStr">
        <is>
          <t>NORDANSTIG</t>
        </is>
      </c>
      <c r="F5696" t="inlineStr">
        <is>
          <t>Holmen skog AB</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51277-2022</t>
        </is>
      </c>
      <c r="B5697" s="1" t="n">
        <v>44868</v>
      </c>
      <c r="C5697" s="1" t="n">
        <v>45677</v>
      </c>
      <c r="D5697" t="inlineStr">
        <is>
          <t>GÄVLEBORGS LÄN</t>
        </is>
      </c>
      <c r="E5697" t="inlineStr">
        <is>
          <t>HOFORS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51237-2022</t>
        </is>
      </c>
      <c r="B5698" s="1" t="n">
        <v>44868</v>
      </c>
      <c r="C5698" s="1" t="n">
        <v>45677</v>
      </c>
      <c r="D5698" t="inlineStr">
        <is>
          <t>GÄVLEBORGS LÄN</t>
        </is>
      </c>
      <c r="E5698" t="inlineStr">
        <is>
          <t>OVANÅKER</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51276-2022</t>
        </is>
      </c>
      <c r="B5699" s="1" t="n">
        <v>44868</v>
      </c>
      <c r="C5699" s="1" t="n">
        <v>45677</v>
      </c>
      <c r="D5699" t="inlineStr">
        <is>
          <t>GÄVLEBORGS LÄN</t>
        </is>
      </c>
      <c r="E5699" t="inlineStr">
        <is>
          <t>HOFORS</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51330-2022</t>
        </is>
      </c>
      <c r="B5700" s="1" t="n">
        <v>44869</v>
      </c>
      <c r="C5700" s="1" t="n">
        <v>45677</v>
      </c>
      <c r="D5700" t="inlineStr">
        <is>
          <t>GÄVLEBORGS LÄN</t>
        </is>
      </c>
      <c r="E5700" t="inlineStr">
        <is>
          <t>LJUSDAL</t>
        </is>
      </c>
      <c r="F5700" t="inlineStr">
        <is>
          <t>Bergvik skog väst AB</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51381-2022</t>
        </is>
      </c>
      <c r="B5701" s="1" t="n">
        <v>44869</v>
      </c>
      <c r="C5701" s="1" t="n">
        <v>45677</v>
      </c>
      <c r="D5701" t="inlineStr">
        <is>
          <t>GÄVLEBORGS LÄN</t>
        </is>
      </c>
      <c r="E5701" t="inlineStr">
        <is>
          <t>GÄVLE</t>
        </is>
      </c>
      <c r="F5701" t="inlineStr">
        <is>
          <t>Bergvik skog öst AB</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51432-2022</t>
        </is>
      </c>
      <c r="B5702" s="1" t="n">
        <v>44869</v>
      </c>
      <c r="C5702" s="1" t="n">
        <v>45677</v>
      </c>
      <c r="D5702" t="inlineStr">
        <is>
          <t>GÄVLEBORGS LÄN</t>
        </is>
      </c>
      <c r="E5702" t="inlineStr">
        <is>
          <t>HUDIKSVALL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51443-2022</t>
        </is>
      </c>
      <c r="B5703" s="1" t="n">
        <v>44869</v>
      </c>
      <c r="C5703" s="1" t="n">
        <v>45677</v>
      </c>
      <c r="D5703" t="inlineStr">
        <is>
          <t>GÄVLEBORGS LÄN</t>
        </is>
      </c>
      <c r="E5703" t="inlineStr">
        <is>
          <t>BOLLNÄS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51458-2022</t>
        </is>
      </c>
      <c r="B5704" s="1" t="n">
        <v>44869</v>
      </c>
      <c r="C5704" s="1" t="n">
        <v>45677</v>
      </c>
      <c r="D5704" t="inlineStr">
        <is>
          <t>GÄVLEBORGS LÄN</t>
        </is>
      </c>
      <c r="E5704" t="inlineStr">
        <is>
          <t>SÖDERHAMN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52206-2022</t>
        </is>
      </c>
      <c r="B5705" s="1" t="n">
        <v>44869</v>
      </c>
      <c r="C5705" s="1" t="n">
        <v>45677</v>
      </c>
      <c r="D5705" t="inlineStr">
        <is>
          <t>GÄVLEBORGS LÄN</t>
        </is>
      </c>
      <c r="E5705" t="inlineStr">
        <is>
          <t>NORDANSTIG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51567-2022</t>
        </is>
      </c>
      <c r="B5706" s="1" t="n">
        <v>44870</v>
      </c>
      <c r="C5706" s="1" t="n">
        <v>45677</v>
      </c>
      <c r="D5706" t="inlineStr">
        <is>
          <t>GÄVLEBORGS LÄN</t>
        </is>
      </c>
      <c r="E5706" t="inlineStr">
        <is>
          <t>HUDIKSVALL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51519-2022</t>
        </is>
      </c>
      <c r="B5707" s="1" t="n">
        <v>44869</v>
      </c>
      <c r="C5707" s="1" t="n">
        <v>45677</v>
      </c>
      <c r="D5707" t="inlineStr">
        <is>
          <t>GÄVLEBORGS LÄN</t>
        </is>
      </c>
      <c r="E5707" t="inlineStr">
        <is>
          <t>LJUSDAL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51590-2022</t>
        </is>
      </c>
      <c r="B5708" s="1" t="n">
        <v>44871</v>
      </c>
      <c r="C5708" s="1" t="n">
        <v>45677</v>
      </c>
      <c r="D5708" t="inlineStr">
        <is>
          <t>GÄVLEBORGS LÄN</t>
        </is>
      </c>
      <c r="E5708" t="inlineStr">
        <is>
          <t>HUDIKSVALL</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51734-2022</t>
        </is>
      </c>
      <c r="B5709" s="1" t="n">
        <v>44872</v>
      </c>
      <c r="C5709" s="1" t="n">
        <v>45677</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51738-2022</t>
        </is>
      </c>
      <c r="B5710" s="1" t="n">
        <v>44872</v>
      </c>
      <c r="C5710" s="1" t="n">
        <v>45677</v>
      </c>
      <c r="D5710" t="inlineStr">
        <is>
          <t>GÄVLEBORGS LÄN</t>
        </is>
      </c>
      <c r="E5710" t="inlineStr">
        <is>
          <t>LJUSDAL</t>
        </is>
      </c>
      <c r="F5710" t="inlineStr">
        <is>
          <t>Bergvik skog väst AB</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51744-2022</t>
        </is>
      </c>
      <c r="B5711" s="1" t="n">
        <v>44872</v>
      </c>
      <c r="C5711" s="1" t="n">
        <v>45677</v>
      </c>
      <c r="D5711" t="inlineStr">
        <is>
          <t>GÄVLEBORGS LÄN</t>
        </is>
      </c>
      <c r="E5711" t="inlineStr">
        <is>
          <t>OCKELBO</t>
        </is>
      </c>
      <c r="F5711" t="inlineStr">
        <is>
          <t>Bergvik skog väst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51867-2022</t>
        </is>
      </c>
      <c r="B5712" s="1" t="n">
        <v>44872</v>
      </c>
      <c r="C5712" s="1" t="n">
        <v>45677</v>
      </c>
      <c r="D5712" t="inlineStr">
        <is>
          <t>GÄVLEBORGS LÄN</t>
        </is>
      </c>
      <c r="E5712" t="inlineStr">
        <is>
          <t>BOLLNÄS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51645-2022</t>
        </is>
      </c>
      <c r="B5713" s="1" t="n">
        <v>44872</v>
      </c>
      <c r="C5713" s="1" t="n">
        <v>45677</v>
      </c>
      <c r="D5713" t="inlineStr">
        <is>
          <t>GÄVLEBORGS LÄN</t>
        </is>
      </c>
      <c r="E5713" t="inlineStr">
        <is>
          <t>BOLLNÄS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51666-2022</t>
        </is>
      </c>
      <c r="B5714" s="1" t="n">
        <v>44872</v>
      </c>
      <c r="C5714" s="1" t="n">
        <v>45677</v>
      </c>
      <c r="D5714" t="inlineStr">
        <is>
          <t>GÄVLEBORGS LÄN</t>
        </is>
      </c>
      <c r="E5714" t="inlineStr">
        <is>
          <t>BOLLNÄS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51747-2022</t>
        </is>
      </c>
      <c r="B5715" s="1" t="n">
        <v>44872</v>
      </c>
      <c r="C5715" s="1" t="n">
        <v>45677</v>
      </c>
      <c r="D5715" t="inlineStr">
        <is>
          <t>GÄVLEBORGS LÄN</t>
        </is>
      </c>
      <c r="E5715" t="inlineStr">
        <is>
          <t>OCKELBO</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51767-2022</t>
        </is>
      </c>
      <c r="B5716" s="1" t="n">
        <v>44872</v>
      </c>
      <c r="C5716" s="1" t="n">
        <v>45677</v>
      </c>
      <c r="D5716" t="inlineStr">
        <is>
          <t>GÄVLEBORGS LÄN</t>
        </is>
      </c>
      <c r="E5716" t="inlineStr">
        <is>
          <t>NORDANSTIG</t>
        </is>
      </c>
      <c r="F5716" t="inlineStr">
        <is>
          <t>Holmen skog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51634-2022</t>
        </is>
      </c>
      <c r="B5717" s="1" t="n">
        <v>44872</v>
      </c>
      <c r="C5717" s="1" t="n">
        <v>45677</v>
      </c>
      <c r="D5717" t="inlineStr">
        <is>
          <t>GÄVLEBORGS LÄN</t>
        </is>
      </c>
      <c r="E5717" t="inlineStr">
        <is>
          <t>LJUSDAL</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51700-2022</t>
        </is>
      </c>
      <c r="B5718" s="1" t="n">
        <v>44872</v>
      </c>
      <c r="C5718" s="1" t="n">
        <v>45677</v>
      </c>
      <c r="D5718" t="inlineStr">
        <is>
          <t>GÄVLEBORGS LÄN</t>
        </is>
      </c>
      <c r="E5718" t="inlineStr">
        <is>
          <t>OVANÅKER</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51710-2022</t>
        </is>
      </c>
      <c r="B5719" s="1" t="n">
        <v>44872</v>
      </c>
      <c r="C5719" s="1" t="n">
        <v>45677</v>
      </c>
      <c r="D5719" t="inlineStr">
        <is>
          <t>GÄVLEBORGS LÄN</t>
        </is>
      </c>
      <c r="E5719" t="inlineStr">
        <is>
          <t>NORDANSTIG</t>
        </is>
      </c>
      <c r="F5719" t="inlineStr">
        <is>
          <t>Holmen skog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51726-2022</t>
        </is>
      </c>
      <c r="B5720" s="1" t="n">
        <v>44872</v>
      </c>
      <c r="C5720" s="1" t="n">
        <v>45677</v>
      </c>
      <c r="D5720" t="inlineStr">
        <is>
          <t>GÄVLEBORGS LÄN</t>
        </is>
      </c>
      <c r="E5720" t="inlineStr">
        <is>
          <t>LJUSDAL</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51732-2022</t>
        </is>
      </c>
      <c r="B5721" s="1" t="n">
        <v>44872</v>
      </c>
      <c r="C5721" s="1" t="n">
        <v>45677</v>
      </c>
      <c r="D5721" t="inlineStr">
        <is>
          <t>GÄVLEBORGS LÄN</t>
        </is>
      </c>
      <c r="E5721" t="inlineStr">
        <is>
          <t>OVANÅKER</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51737-2022</t>
        </is>
      </c>
      <c r="B5722" s="1" t="n">
        <v>44872</v>
      </c>
      <c r="C5722" s="1" t="n">
        <v>45677</v>
      </c>
      <c r="D5722" t="inlineStr">
        <is>
          <t>GÄVLEBORGS LÄN</t>
        </is>
      </c>
      <c r="E5722" t="inlineStr">
        <is>
          <t>OVANÅKER</t>
        </is>
      </c>
      <c r="F5722" t="inlineStr">
        <is>
          <t>Bergvik skog väst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51754-2022</t>
        </is>
      </c>
      <c r="B5723" s="1" t="n">
        <v>44872</v>
      </c>
      <c r="C5723" s="1" t="n">
        <v>45677</v>
      </c>
      <c r="D5723" t="inlineStr">
        <is>
          <t>GÄVLEBORGS LÄN</t>
        </is>
      </c>
      <c r="E5723" t="inlineStr">
        <is>
          <t>LJUSDAL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51783-2022</t>
        </is>
      </c>
      <c r="B5724" s="1" t="n">
        <v>44872</v>
      </c>
      <c r="C5724" s="1" t="n">
        <v>45677</v>
      </c>
      <c r="D5724" t="inlineStr">
        <is>
          <t>GÄVLEBORGS LÄN</t>
        </is>
      </c>
      <c r="E5724" t="inlineStr">
        <is>
          <t>OVANÅKER</t>
        </is>
      </c>
      <c r="F5724" t="inlineStr">
        <is>
          <t>Bergvik skog väst AB</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51838-2022</t>
        </is>
      </c>
      <c r="B5725" s="1" t="n">
        <v>44872</v>
      </c>
      <c r="C5725" s="1" t="n">
        <v>45677</v>
      </c>
      <c r="D5725" t="inlineStr">
        <is>
          <t>GÄVLEBORGS LÄN</t>
        </is>
      </c>
      <c r="E5725" t="inlineStr">
        <is>
          <t>LJUSDAL</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51865-2022</t>
        </is>
      </c>
      <c r="B5726" s="1" t="n">
        <v>44872</v>
      </c>
      <c r="C5726" s="1" t="n">
        <v>45677</v>
      </c>
      <c r="D5726" t="inlineStr">
        <is>
          <t>GÄVLEBORGS LÄN</t>
        </is>
      </c>
      <c r="E5726" t="inlineStr">
        <is>
          <t>HUDIKSVALL</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51902-2022</t>
        </is>
      </c>
      <c r="B5727" s="1" t="n">
        <v>44872</v>
      </c>
      <c r="C5727" s="1" t="n">
        <v>45677</v>
      </c>
      <c r="D5727" t="inlineStr">
        <is>
          <t>GÄVLEBORGS LÄN</t>
        </is>
      </c>
      <c r="E5727" t="inlineStr">
        <is>
          <t>OVANÅKER</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51841-2022</t>
        </is>
      </c>
      <c r="B5728" s="1" t="n">
        <v>44872</v>
      </c>
      <c r="C5728" s="1" t="n">
        <v>45677</v>
      </c>
      <c r="D5728" t="inlineStr">
        <is>
          <t>GÄVLEBORGS LÄN</t>
        </is>
      </c>
      <c r="E5728" t="inlineStr">
        <is>
          <t>NORDANSTIG</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51853-2022</t>
        </is>
      </c>
      <c r="B5729" s="1" t="n">
        <v>44872</v>
      </c>
      <c r="C5729" s="1" t="n">
        <v>45677</v>
      </c>
      <c r="D5729" t="inlineStr">
        <is>
          <t>GÄVLEBORGS LÄN</t>
        </is>
      </c>
      <c r="E5729" t="inlineStr">
        <is>
          <t>LJUSDAL</t>
        </is>
      </c>
      <c r="F5729" t="inlineStr">
        <is>
          <t>Bergvik skog väst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51927-2022</t>
        </is>
      </c>
      <c r="B5730" s="1" t="n">
        <v>44872</v>
      </c>
      <c r="C5730" s="1" t="n">
        <v>45677</v>
      </c>
      <c r="D5730" t="inlineStr">
        <is>
          <t>GÄVLEBORGS LÄN</t>
        </is>
      </c>
      <c r="E5730" t="inlineStr">
        <is>
          <t>OVANÅKER</t>
        </is>
      </c>
      <c r="G5730" t="n">
        <v>9.1</v>
      </c>
      <c r="H5730" t="n">
        <v>0</v>
      </c>
      <c r="I5730" t="n">
        <v>0</v>
      </c>
      <c r="J5730" t="n">
        <v>0</v>
      </c>
      <c r="K5730" t="n">
        <v>0</v>
      </c>
      <c r="L5730" t="n">
        <v>0</v>
      </c>
      <c r="M5730" t="n">
        <v>0</v>
      </c>
      <c r="N5730" t="n">
        <v>0</v>
      </c>
      <c r="O5730" t="n">
        <v>0</v>
      </c>
      <c r="P5730" t="n">
        <v>0</v>
      </c>
      <c r="Q5730" t="n">
        <v>0</v>
      </c>
      <c r="R5730" s="2" t="inlineStr"/>
    </row>
    <row r="5731" ht="15" customHeight="1">
      <c r="A5731" t="inlineStr">
        <is>
          <t>A 51937-2022</t>
        </is>
      </c>
      <c r="B5731" s="1" t="n">
        <v>44872</v>
      </c>
      <c r="C5731" s="1" t="n">
        <v>45677</v>
      </c>
      <c r="D5731" t="inlineStr">
        <is>
          <t>GÄVLEBORGS LÄN</t>
        </is>
      </c>
      <c r="E5731" t="inlineStr">
        <is>
          <t>HUDIKSVALL</t>
        </is>
      </c>
      <c r="F5731" t="inlineStr">
        <is>
          <t>Holmen skog AB</t>
        </is>
      </c>
      <c r="G5731" t="n">
        <v>13.8</v>
      </c>
      <c r="H5731" t="n">
        <v>0</v>
      </c>
      <c r="I5731" t="n">
        <v>0</v>
      </c>
      <c r="J5731" t="n">
        <v>0</v>
      </c>
      <c r="K5731" t="n">
        <v>0</v>
      </c>
      <c r="L5731" t="n">
        <v>0</v>
      </c>
      <c r="M5731" t="n">
        <v>0</v>
      </c>
      <c r="N5731" t="n">
        <v>0</v>
      </c>
      <c r="O5731" t="n">
        <v>0</v>
      </c>
      <c r="P5731" t="n">
        <v>0</v>
      </c>
      <c r="Q5731" t="n">
        <v>0</v>
      </c>
      <c r="R5731" s="2" t="inlineStr"/>
    </row>
    <row r="5732" ht="15" customHeight="1">
      <c r="A5732" t="inlineStr">
        <is>
          <t>A 51851-2022</t>
        </is>
      </c>
      <c r="B5732" s="1" t="n">
        <v>44872</v>
      </c>
      <c r="C5732" s="1" t="n">
        <v>45677</v>
      </c>
      <c r="D5732" t="inlineStr">
        <is>
          <t>GÄVLEBORGS LÄN</t>
        </is>
      </c>
      <c r="E5732" t="inlineStr">
        <is>
          <t>HUDIKSVALL</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51972-2022</t>
        </is>
      </c>
      <c r="B5733" s="1" t="n">
        <v>44872</v>
      </c>
      <c r="C5733" s="1" t="n">
        <v>45677</v>
      </c>
      <c r="D5733" t="inlineStr">
        <is>
          <t>GÄVLEBORGS LÄN</t>
        </is>
      </c>
      <c r="E5733" t="inlineStr">
        <is>
          <t>OCKELBO</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51922-2022</t>
        </is>
      </c>
      <c r="B5734" s="1" t="n">
        <v>44872</v>
      </c>
      <c r="C5734" s="1" t="n">
        <v>45677</v>
      </c>
      <c r="D5734" t="inlineStr">
        <is>
          <t>GÄVLEBORGS LÄN</t>
        </is>
      </c>
      <c r="E5734" t="inlineStr">
        <is>
          <t>LJUSDAL</t>
        </is>
      </c>
      <c r="F5734" t="inlineStr">
        <is>
          <t>Kommuner</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52120-2022</t>
        </is>
      </c>
      <c r="B5735" s="1" t="n">
        <v>44873</v>
      </c>
      <c r="C5735" s="1" t="n">
        <v>45677</v>
      </c>
      <c r="D5735" t="inlineStr">
        <is>
          <t>GÄVLEBORGS LÄN</t>
        </is>
      </c>
      <c r="E5735" t="inlineStr">
        <is>
          <t>NORDANSTIG</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52121-2022</t>
        </is>
      </c>
      <c r="B5736" s="1" t="n">
        <v>44873</v>
      </c>
      <c r="C5736" s="1" t="n">
        <v>45677</v>
      </c>
      <c r="D5736" t="inlineStr">
        <is>
          <t>GÄVLEBORGS LÄN</t>
        </is>
      </c>
      <c r="E5736" t="inlineStr">
        <is>
          <t>LJUSDAL</t>
        </is>
      </c>
      <c r="F5736" t="inlineStr">
        <is>
          <t>Bergvik skog väst AB</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52180-2022</t>
        </is>
      </c>
      <c r="B5737" s="1" t="n">
        <v>44873</v>
      </c>
      <c r="C5737" s="1" t="n">
        <v>45677</v>
      </c>
      <c r="D5737" t="inlineStr">
        <is>
          <t>GÄVLEBORGS LÄN</t>
        </is>
      </c>
      <c r="E5737" t="inlineStr">
        <is>
          <t>NORDANSTIG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52187-2022</t>
        </is>
      </c>
      <c r="B5738" s="1" t="n">
        <v>44873</v>
      </c>
      <c r="C5738" s="1" t="n">
        <v>45677</v>
      </c>
      <c r="D5738" t="inlineStr">
        <is>
          <t>GÄVLEBORGS LÄN</t>
        </is>
      </c>
      <c r="E5738" t="inlineStr">
        <is>
          <t>NORDANSTIG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52271-2022</t>
        </is>
      </c>
      <c r="B5739" s="1" t="n">
        <v>44873</v>
      </c>
      <c r="C5739" s="1" t="n">
        <v>45677</v>
      </c>
      <c r="D5739" t="inlineStr">
        <is>
          <t>GÄVLEBORGS LÄN</t>
        </is>
      </c>
      <c r="E5739" t="inlineStr">
        <is>
          <t>BOLLNÄS</t>
        </is>
      </c>
      <c r="G5739" t="n">
        <v>14.7</v>
      </c>
      <c r="H5739" t="n">
        <v>0</v>
      </c>
      <c r="I5739" t="n">
        <v>0</v>
      </c>
      <c r="J5739" t="n">
        <v>0</v>
      </c>
      <c r="K5739" t="n">
        <v>0</v>
      </c>
      <c r="L5739" t="n">
        <v>0</v>
      </c>
      <c r="M5739" t="n">
        <v>0</v>
      </c>
      <c r="N5739" t="n">
        <v>0</v>
      </c>
      <c r="O5739" t="n">
        <v>0</v>
      </c>
      <c r="P5739" t="n">
        <v>0</v>
      </c>
      <c r="Q5739" t="n">
        <v>0</v>
      </c>
      <c r="R5739" s="2" t="inlineStr"/>
    </row>
    <row r="5740" ht="15" customHeight="1">
      <c r="A5740" t="inlineStr">
        <is>
          <t>A 52226-2022</t>
        </is>
      </c>
      <c r="B5740" s="1" t="n">
        <v>44873</v>
      </c>
      <c r="C5740" s="1" t="n">
        <v>45677</v>
      </c>
      <c r="D5740" t="inlineStr">
        <is>
          <t>GÄVLEBORGS LÄN</t>
        </is>
      </c>
      <c r="E5740" t="inlineStr">
        <is>
          <t>LJUSDAL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52200-2022</t>
        </is>
      </c>
      <c r="B5741" s="1" t="n">
        <v>44873</v>
      </c>
      <c r="C5741" s="1" t="n">
        <v>45677</v>
      </c>
      <c r="D5741" t="inlineStr">
        <is>
          <t>GÄVLEBORGS LÄN</t>
        </is>
      </c>
      <c r="E5741" t="inlineStr">
        <is>
          <t>SANDVIKEN</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52222-2022</t>
        </is>
      </c>
      <c r="B5742" s="1" t="n">
        <v>44873</v>
      </c>
      <c r="C5742" s="1" t="n">
        <v>45677</v>
      </c>
      <c r="D5742" t="inlineStr">
        <is>
          <t>GÄVLEBORGS LÄN</t>
        </is>
      </c>
      <c r="E5742" t="inlineStr">
        <is>
          <t>LJUSDAL</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52276-2022</t>
        </is>
      </c>
      <c r="B5743" s="1" t="n">
        <v>44873</v>
      </c>
      <c r="C5743" s="1" t="n">
        <v>45677</v>
      </c>
      <c r="D5743" t="inlineStr">
        <is>
          <t>GÄVLEBORGS LÄN</t>
        </is>
      </c>
      <c r="E5743" t="inlineStr">
        <is>
          <t>SANDVIKEN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52285-2022</t>
        </is>
      </c>
      <c r="B5744" s="1" t="n">
        <v>44873</v>
      </c>
      <c r="C5744" s="1" t="n">
        <v>45677</v>
      </c>
      <c r="D5744" t="inlineStr">
        <is>
          <t>GÄVLEBORGS LÄN</t>
        </is>
      </c>
      <c r="E5744" t="inlineStr">
        <is>
          <t>SANDVIKEN</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52282-2022</t>
        </is>
      </c>
      <c r="B5745" s="1" t="n">
        <v>44873</v>
      </c>
      <c r="C5745" s="1" t="n">
        <v>45677</v>
      </c>
      <c r="D5745" t="inlineStr">
        <is>
          <t>GÄVLEBORGS LÄN</t>
        </is>
      </c>
      <c r="E5745" t="inlineStr">
        <is>
          <t>SANDVIKEN</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52320-2022</t>
        </is>
      </c>
      <c r="B5746" s="1" t="n">
        <v>44873</v>
      </c>
      <c r="C5746" s="1" t="n">
        <v>45677</v>
      </c>
      <c r="D5746" t="inlineStr">
        <is>
          <t>GÄVLEBORGS LÄN</t>
        </is>
      </c>
      <c r="E5746" t="inlineStr">
        <is>
          <t>HOFORS</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52394-2022</t>
        </is>
      </c>
      <c r="B5747" s="1" t="n">
        <v>44874</v>
      </c>
      <c r="C5747" s="1" t="n">
        <v>45677</v>
      </c>
      <c r="D5747" t="inlineStr">
        <is>
          <t>GÄVLEBORGS LÄN</t>
        </is>
      </c>
      <c r="E5747" t="inlineStr">
        <is>
          <t>GÄVLE</t>
        </is>
      </c>
      <c r="F5747" t="inlineStr">
        <is>
          <t>Bergvik skog öst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52401-2022</t>
        </is>
      </c>
      <c r="B5748" s="1" t="n">
        <v>44874</v>
      </c>
      <c r="C5748" s="1" t="n">
        <v>45677</v>
      </c>
      <c r="D5748" t="inlineStr">
        <is>
          <t>GÄVLEBORGS LÄN</t>
        </is>
      </c>
      <c r="E5748" t="inlineStr">
        <is>
          <t>GÄVLE</t>
        </is>
      </c>
      <c r="F5748" t="inlineStr">
        <is>
          <t>Bergvik skog öst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52443-2022</t>
        </is>
      </c>
      <c r="B5749" s="1" t="n">
        <v>44874</v>
      </c>
      <c r="C5749" s="1" t="n">
        <v>45677</v>
      </c>
      <c r="D5749" t="inlineStr">
        <is>
          <t>GÄVLEBORGS LÄN</t>
        </is>
      </c>
      <c r="E5749" t="inlineStr">
        <is>
          <t>LJUSDAL</t>
        </is>
      </c>
      <c r="F5749" t="inlineStr">
        <is>
          <t>Kyrkan</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52387-2022</t>
        </is>
      </c>
      <c r="B5750" s="1" t="n">
        <v>44874</v>
      </c>
      <c r="C5750" s="1" t="n">
        <v>45677</v>
      </c>
      <c r="D5750" t="inlineStr">
        <is>
          <t>GÄVLEBORGS LÄN</t>
        </is>
      </c>
      <c r="E5750" t="inlineStr">
        <is>
          <t>GÄVLE</t>
        </is>
      </c>
      <c r="F5750" t="inlineStr">
        <is>
          <t>Kommuner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52560-2022</t>
        </is>
      </c>
      <c r="B5751" s="1" t="n">
        <v>44874</v>
      </c>
      <c r="C5751" s="1" t="n">
        <v>45677</v>
      </c>
      <c r="D5751" t="inlineStr">
        <is>
          <t>GÄVLEBORGS LÄN</t>
        </is>
      </c>
      <c r="E5751" t="inlineStr">
        <is>
          <t>NORDANSTIG</t>
        </is>
      </c>
      <c r="F5751" t="inlineStr">
        <is>
          <t>Holmen skog AB</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52607-2022</t>
        </is>
      </c>
      <c r="B5752" s="1" t="n">
        <v>44874</v>
      </c>
      <c r="C5752" s="1" t="n">
        <v>45677</v>
      </c>
      <c r="D5752" t="inlineStr">
        <is>
          <t>GÄVLEBORGS LÄN</t>
        </is>
      </c>
      <c r="E5752" t="inlineStr">
        <is>
          <t>OVANÅKER</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52615-2022</t>
        </is>
      </c>
      <c r="B5753" s="1" t="n">
        <v>44874</v>
      </c>
      <c r="C5753" s="1" t="n">
        <v>45677</v>
      </c>
      <c r="D5753" t="inlineStr">
        <is>
          <t>GÄVLEBORGS LÄN</t>
        </is>
      </c>
      <c r="E5753" t="inlineStr">
        <is>
          <t>OVANÅKER</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52626-2022</t>
        </is>
      </c>
      <c r="B5754" s="1" t="n">
        <v>44874</v>
      </c>
      <c r="C5754" s="1" t="n">
        <v>45677</v>
      </c>
      <c r="D5754" t="inlineStr">
        <is>
          <t>GÄVLEBORGS LÄN</t>
        </is>
      </c>
      <c r="E5754" t="inlineStr">
        <is>
          <t>LJUSDAL</t>
        </is>
      </c>
      <c r="F5754" t="inlineStr">
        <is>
          <t>Kyrkan</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52637-2022</t>
        </is>
      </c>
      <c r="B5755" s="1" t="n">
        <v>44874</v>
      </c>
      <c r="C5755" s="1" t="n">
        <v>45677</v>
      </c>
      <c r="D5755" t="inlineStr">
        <is>
          <t>GÄVLEBORGS LÄN</t>
        </is>
      </c>
      <c r="E5755" t="inlineStr">
        <is>
          <t>OCKELBO</t>
        </is>
      </c>
      <c r="F5755" t="inlineStr">
        <is>
          <t>Bergvik skog väst AB</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52397-2022</t>
        </is>
      </c>
      <c r="B5756" s="1" t="n">
        <v>44874</v>
      </c>
      <c r="C5756" s="1" t="n">
        <v>45677</v>
      </c>
      <c r="D5756" t="inlineStr">
        <is>
          <t>GÄVLEBORGS LÄN</t>
        </is>
      </c>
      <c r="E5756" t="inlineStr">
        <is>
          <t>HUDIKSVALL</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52430-2022</t>
        </is>
      </c>
      <c r="B5757" s="1" t="n">
        <v>44874</v>
      </c>
      <c r="C5757" s="1" t="n">
        <v>45677</v>
      </c>
      <c r="D5757" t="inlineStr">
        <is>
          <t>GÄVLEBORGS LÄN</t>
        </is>
      </c>
      <c r="E5757" t="inlineStr">
        <is>
          <t>NORDANSTIG</t>
        </is>
      </c>
      <c r="F5757" t="inlineStr">
        <is>
          <t>Holmen skog AB</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52414-2022</t>
        </is>
      </c>
      <c r="B5758" s="1" t="n">
        <v>44874</v>
      </c>
      <c r="C5758" s="1" t="n">
        <v>45677</v>
      </c>
      <c r="D5758" t="inlineStr">
        <is>
          <t>GÄVLEBORGS LÄN</t>
        </is>
      </c>
      <c r="E5758" t="inlineStr">
        <is>
          <t>NORDANSTIG</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52568-2022</t>
        </is>
      </c>
      <c r="B5759" s="1" t="n">
        <v>44874</v>
      </c>
      <c r="C5759" s="1" t="n">
        <v>45677</v>
      </c>
      <c r="D5759" t="inlineStr">
        <is>
          <t>GÄVLEBORGS LÄN</t>
        </is>
      </c>
      <c r="E5759" t="inlineStr">
        <is>
          <t>LJUSDAL</t>
        </is>
      </c>
      <c r="F5759" t="inlineStr">
        <is>
          <t>Kyrkan</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52608-2022</t>
        </is>
      </c>
      <c r="B5760" s="1" t="n">
        <v>44874</v>
      </c>
      <c r="C5760" s="1" t="n">
        <v>45677</v>
      </c>
      <c r="D5760" t="inlineStr">
        <is>
          <t>GÄVLEBORGS LÄN</t>
        </is>
      </c>
      <c r="E5760" t="inlineStr">
        <is>
          <t>NORDANSTIG</t>
        </is>
      </c>
      <c r="F5760" t="inlineStr">
        <is>
          <t>Holmen skog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52628-2022</t>
        </is>
      </c>
      <c r="B5761" s="1" t="n">
        <v>44874</v>
      </c>
      <c r="C5761" s="1" t="n">
        <v>45677</v>
      </c>
      <c r="D5761" t="inlineStr">
        <is>
          <t>GÄVLEBORGS LÄN</t>
        </is>
      </c>
      <c r="E5761" t="inlineStr">
        <is>
          <t>SANDVIKEN</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52746-2022</t>
        </is>
      </c>
      <c r="B5762" s="1" t="n">
        <v>44874</v>
      </c>
      <c r="C5762" s="1" t="n">
        <v>45677</v>
      </c>
      <c r="D5762" t="inlineStr">
        <is>
          <t>GÄVLEBORGS LÄN</t>
        </is>
      </c>
      <c r="E5762" t="inlineStr">
        <is>
          <t>NORDANSTIG</t>
        </is>
      </c>
      <c r="F5762" t="inlineStr">
        <is>
          <t>SCA</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53495-2022</t>
        </is>
      </c>
      <c r="B5763" s="1" t="n">
        <v>44874</v>
      </c>
      <c r="C5763" s="1" t="n">
        <v>45677</v>
      </c>
      <c r="D5763" t="inlineStr">
        <is>
          <t>GÄVLEBORGS LÄN</t>
        </is>
      </c>
      <c r="E5763" t="inlineStr">
        <is>
          <t>SANDVIKEN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52756-2022</t>
        </is>
      </c>
      <c r="B5764" s="1" t="n">
        <v>44875</v>
      </c>
      <c r="C5764" s="1" t="n">
        <v>45677</v>
      </c>
      <c r="D5764" t="inlineStr">
        <is>
          <t>GÄVLEBORGS LÄN</t>
        </is>
      </c>
      <c r="E5764" t="inlineStr">
        <is>
          <t>BOLLNÄS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52872-2022</t>
        </is>
      </c>
      <c r="B5765" s="1" t="n">
        <v>44875</v>
      </c>
      <c r="C5765" s="1" t="n">
        <v>45677</v>
      </c>
      <c r="D5765" t="inlineStr">
        <is>
          <t>GÄVLEBORGS LÄN</t>
        </is>
      </c>
      <c r="E5765" t="inlineStr">
        <is>
          <t>OCKELBO</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52932-2022</t>
        </is>
      </c>
      <c r="B5766" s="1" t="n">
        <v>44875</v>
      </c>
      <c r="C5766" s="1" t="n">
        <v>45677</v>
      </c>
      <c r="D5766" t="inlineStr">
        <is>
          <t>GÄVLEBORGS LÄN</t>
        </is>
      </c>
      <c r="E5766" t="inlineStr">
        <is>
          <t>SANDVIKEN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52765-2022</t>
        </is>
      </c>
      <c r="B5767" s="1" t="n">
        <v>44875</v>
      </c>
      <c r="C5767" s="1" t="n">
        <v>45677</v>
      </c>
      <c r="D5767" t="inlineStr">
        <is>
          <t>GÄVLEBORGS LÄN</t>
        </is>
      </c>
      <c r="E5767" t="inlineStr">
        <is>
          <t>SANDVIKEN</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52774-2022</t>
        </is>
      </c>
      <c r="B5768" s="1" t="n">
        <v>44875</v>
      </c>
      <c r="C5768" s="1" t="n">
        <v>45677</v>
      </c>
      <c r="D5768" t="inlineStr">
        <is>
          <t>GÄVLEBORGS LÄN</t>
        </is>
      </c>
      <c r="E5768" t="inlineStr">
        <is>
          <t>BOLLNÄS</t>
        </is>
      </c>
      <c r="F5768" t="inlineStr">
        <is>
          <t>Bergvik skog väst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52824-2022</t>
        </is>
      </c>
      <c r="B5769" s="1" t="n">
        <v>44875</v>
      </c>
      <c r="C5769" s="1" t="n">
        <v>45677</v>
      </c>
      <c r="D5769" t="inlineStr">
        <is>
          <t>GÄVLEBORGS LÄN</t>
        </is>
      </c>
      <c r="E5769" t="inlineStr">
        <is>
          <t>LJUSDAL</t>
        </is>
      </c>
      <c r="F5769" t="inlineStr">
        <is>
          <t>Bergvik skog väst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52850-2022</t>
        </is>
      </c>
      <c r="B5770" s="1" t="n">
        <v>44875</v>
      </c>
      <c r="C5770" s="1" t="n">
        <v>45677</v>
      </c>
      <c r="D5770" t="inlineStr">
        <is>
          <t>GÄVLEBORGS LÄN</t>
        </is>
      </c>
      <c r="E5770" t="inlineStr">
        <is>
          <t>BOLLNÄS</t>
        </is>
      </c>
      <c r="F5770" t="inlineStr">
        <is>
          <t>Bergvik skog väst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52868-2022</t>
        </is>
      </c>
      <c r="B5771" s="1" t="n">
        <v>44875</v>
      </c>
      <c r="C5771" s="1" t="n">
        <v>45677</v>
      </c>
      <c r="D5771" t="inlineStr">
        <is>
          <t>GÄVLEBORGS LÄN</t>
        </is>
      </c>
      <c r="E5771" t="inlineStr">
        <is>
          <t>OCKELBO</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52907-2022</t>
        </is>
      </c>
      <c r="B5772" s="1" t="n">
        <v>44875</v>
      </c>
      <c r="C5772" s="1" t="n">
        <v>45677</v>
      </c>
      <c r="D5772" t="inlineStr">
        <is>
          <t>GÄVLEBORGS LÄN</t>
        </is>
      </c>
      <c r="E5772" t="inlineStr">
        <is>
          <t>BOLLNÄS</t>
        </is>
      </c>
      <c r="F5772" t="inlineStr">
        <is>
          <t>Bergvik skog väst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52763-2022</t>
        </is>
      </c>
      <c r="B5773" s="1" t="n">
        <v>44875</v>
      </c>
      <c r="C5773" s="1" t="n">
        <v>45677</v>
      </c>
      <c r="D5773" t="inlineStr">
        <is>
          <t>GÄVLEBORGS LÄN</t>
        </is>
      </c>
      <c r="E5773" t="inlineStr">
        <is>
          <t>SANDVIKEN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52787-2022</t>
        </is>
      </c>
      <c r="B5774" s="1" t="n">
        <v>44875</v>
      </c>
      <c r="C5774" s="1" t="n">
        <v>45677</v>
      </c>
      <c r="D5774" t="inlineStr">
        <is>
          <t>GÄVLEBORGS LÄN</t>
        </is>
      </c>
      <c r="E5774" t="inlineStr">
        <is>
          <t>BOLLNÄS</t>
        </is>
      </c>
      <c r="F5774" t="inlineStr">
        <is>
          <t>Kyrkan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52842-2022</t>
        </is>
      </c>
      <c r="B5775" s="1" t="n">
        <v>44875</v>
      </c>
      <c r="C5775" s="1" t="n">
        <v>45677</v>
      </c>
      <c r="D5775" t="inlineStr">
        <is>
          <t>GÄVLEBORGS LÄN</t>
        </is>
      </c>
      <c r="E5775" t="inlineStr">
        <is>
          <t>LJUSDAL</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52947-2022</t>
        </is>
      </c>
      <c r="B5776" s="1" t="n">
        <v>44875</v>
      </c>
      <c r="C5776" s="1" t="n">
        <v>45677</v>
      </c>
      <c r="D5776" t="inlineStr">
        <is>
          <t>GÄVLEBORGS LÄN</t>
        </is>
      </c>
      <c r="E5776" t="inlineStr">
        <is>
          <t>HUDIKSVALL</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52966-2022</t>
        </is>
      </c>
      <c r="B5777" s="1" t="n">
        <v>44875</v>
      </c>
      <c r="C5777" s="1" t="n">
        <v>45677</v>
      </c>
      <c r="D5777" t="inlineStr">
        <is>
          <t>GÄVLEBORGS LÄN</t>
        </is>
      </c>
      <c r="E5777" t="inlineStr">
        <is>
          <t>HUDIKSVALL</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53082-2022</t>
        </is>
      </c>
      <c r="B5778" s="1" t="n">
        <v>44876</v>
      </c>
      <c r="C5778" s="1" t="n">
        <v>45677</v>
      </c>
      <c r="D5778" t="inlineStr">
        <is>
          <t>GÄVLEBORGS LÄN</t>
        </is>
      </c>
      <c r="E5778" t="inlineStr">
        <is>
          <t>GÄVLE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53159-2022</t>
        </is>
      </c>
      <c r="B5779" s="1" t="n">
        <v>44876</v>
      </c>
      <c r="C5779" s="1" t="n">
        <v>45677</v>
      </c>
      <c r="D5779" t="inlineStr">
        <is>
          <t>GÄVLEBORGS LÄN</t>
        </is>
      </c>
      <c r="E5779" t="inlineStr">
        <is>
          <t>LJUSDAL</t>
        </is>
      </c>
      <c r="F5779" t="inlineStr">
        <is>
          <t>Kyrkan</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53046-2022</t>
        </is>
      </c>
      <c r="B5780" s="1" t="n">
        <v>44876</v>
      </c>
      <c r="C5780" s="1" t="n">
        <v>45677</v>
      </c>
      <c r="D5780" t="inlineStr">
        <is>
          <t>GÄVLEBORGS LÄN</t>
        </is>
      </c>
      <c r="E5780" t="inlineStr">
        <is>
          <t>BOLLNÄS</t>
        </is>
      </c>
      <c r="F5780" t="inlineStr">
        <is>
          <t>Bergvik skog väst AB</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53079-2022</t>
        </is>
      </c>
      <c r="B5781" s="1" t="n">
        <v>44876</v>
      </c>
      <c r="C5781" s="1" t="n">
        <v>45677</v>
      </c>
      <c r="D5781" t="inlineStr">
        <is>
          <t>GÄVLEBORGS LÄN</t>
        </is>
      </c>
      <c r="E5781" t="inlineStr">
        <is>
          <t>NORDANSTIG</t>
        </is>
      </c>
      <c r="F5781" t="inlineStr">
        <is>
          <t>Holmen skog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53049-2022</t>
        </is>
      </c>
      <c r="B5782" s="1" t="n">
        <v>44876</v>
      </c>
      <c r="C5782" s="1" t="n">
        <v>45677</v>
      </c>
      <c r="D5782" t="inlineStr">
        <is>
          <t>GÄVLEBORGS LÄN</t>
        </is>
      </c>
      <c r="E5782" t="inlineStr">
        <is>
          <t>GÄVLE</t>
        </is>
      </c>
      <c r="F5782" t="inlineStr">
        <is>
          <t>Kommuner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53069-2022</t>
        </is>
      </c>
      <c r="B5783" s="1" t="n">
        <v>44876</v>
      </c>
      <c r="C5783" s="1" t="n">
        <v>45677</v>
      </c>
      <c r="D5783" t="inlineStr">
        <is>
          <t>GÄVLEBORGS LÄN</t>
        </is>
      </c>
      <c r="E5783" t="inlineStr">
        <is>
          <t>BOLLNÄS</t>
        </is>
      </c>
      <c r="F5783" t="inlineStr">
        <is>
          <t>Bergvik skog väst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53213-2022</t>
        </is>
      </c>
      <c r="B5784" s="1" t="n">
        <v>44876</v>
      </c>
      <c r="C5784" s="1" t="n">
        <v>45677</v>
      </c>
      <c r="D5784" t="inlineStr">
        <is>
          <t>GÄVLEBORGS LÄN</t>
        </is>
      </c>
      <c r="E5784" t="inlineStr">
        <is>
          <t>OVANÅKER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53211-2022</t>
        </is>
      </c>
      <c r="B5785" s="1" t="n">
        <v>44876</v>
      </c>
      <c r="C5785" s="1" t="n">
        <v>45677</v>
      </c>
      <c r="D5785" t="inlineStr">
        <is>
          <t>GÄVLEBORGS LÄN</t>
        </is>
      </c>
      <c r="E5785" t="inlineStr">
        <is>
          <t>BOLLNÄS</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53174-2022</t>
        </is>
      </c>
      <c r="B5786" s="1" t="n">
        <v>44876</v>
      </c>
      <c r="C5786" s="1" t="n">
        <v>45677</v>
      </c>
      <c r="D5786" t="inlineStr">
        <is>
          <t>GÄVLEBORGS LÄN</t>
        </is>
      </c>
      <c r="E5786" t="inlineStr">
        <is>
          <t>OVANÅKER</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53258-2022</t>
        </is>
      </c>
      <c r="B5787" s="1" t="n">
        <v>44876</v>
      </c>
      <c r="C5787" s="1" t="n">
        <v>45677</v>
      </c>
      <c r="D5787" t="inlineStr">
        <is>
          <t>GÄVLEBORGS LÄN</t>
        </is>
      </c>
      <c r="E5787" t="inlineStr">
        <is>
          <t>SANDVIKEN</t>
        </is>
      </c>
      <c r="F5787" t="inlineStr">
        <is>
          <t>Sveaskog</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53183-2022</t>
        </is>
      </c>
      <c r="B5788" s="1" t="n">
        <v>44876</v>
      </c>
      <c r="C5788" s="1" t="n">
        <v>45677</v>
      </c>
      <c r="D5788" t="inlineStr">
        <is>
          <t>GÄVLEBORGS LÄN</t>
        </is>
      </c>
      <c r="E5788" t="inlineStr">
        <is>
          <t>BOLLNÄS</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53317-2022</t>
        </is>
      </c>
      <c r="B5789" s="1" t="n">
        <v>44878</v>
      </c>
      <c r="C5789" s="1" t="n">
        <v>45677</v>
      </c>
      <c r="D5789" t="inlineStr">
        <is>
          <t>GÄVLEBORGS LÄN</t>
        </is>
      </c>
      <c r="E5789" t="inlineStr">
        <is>
          <t>BOLLNÄS</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53445-2022</t>
        </is>
      </c>
      <c r="B5790" s="1" t="n">
        <v>44879</v>
      </c>
      <c r="C5790" s="1" t="n">
        <v>45677</v>
      </c>
      <c r="D5790" t="inlineStr">
        <is>
          <t>GÄVLEBORGS LÄN</t>
        </is>
      </c>
      <c r="E5790" t="inlineStr">
        <is>
          <t>OVANÅKER</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53516-2022</t>
        </is>
      </c>
      <c r="B5791" s="1" t="n">
        <v>44879</v>
      </c>
      <c r="C5791" s="1" t="n">
        <v>45677</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53562-2022</t>
        </is>
      </c>
      <c r="B5792" s="1" t="n">
        <v>44879</v>
      </c>
      <c r="C5792" s="1" t="n">
        <v>45677</v>
      </c>
      <c r="D5792" t="inlineStr">
        <is>
          <t>GÄVLEBORGS LÄN</t>
        </is>
      </c>
      <c r="E5792" t="inlineStr">
        <is>
          <t>BOLLNÄS</t>
        </is>
      </c>
      <c r="F5792" t="inlineStr">
        <is>
          <t>Bergvik skog väst AB</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53566-2022</t>
        </is>
      </c>
      <c r="B5793" s="1" t="n">
        <v>44879</v>
      </c>
      <c r="C5793" s="1" t="n">
        <v>45677</v>
      </c>
      <c r="D5793" t="inlineStr">
        <is>
          <t>GÄVLEBORGS LÄN</t>
        </is>
      </c>
      <c r="E5793" t="inlineStr">
        <is>
          <t>BOLLNÄS</t>
        </is>
      </c>
      <c r="F5793" t="inlineStr">
        <is>
          <t>Holmen skog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53339-2022</t>
        </is>
      </c>
      <c r="B5794" s="1" t="n">
        <v>44879</v>
      </c>
      <c r="C5794" s="1" t="n">
        <v>45677</v>
      </c>
      <c r="D5794" t="inlineStr">
        <is>
          <t>GÄVLEBORGS LÄN</t>
        </is>
      </c>
      <c r="E5794" t="inlineStr">
        <is>
          <t>HUDIKSVALL</t>
        </is>
      </c>
      <c r="F5794" t="inlineStr">
        <is>
          <t>Holmen skog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53393-2022</t>
        </is>
      </c>
      <c r="B5795" s="1" t="n">
        <v>44879</v>
      </c>
      <c r="C5795" s="1" t="n">
        <v>45677</v>
      </c>
      <c r="D5795" t="inlineStr">
        <is>
          <t>GÄVLEBORGS LÄN</t>
        </is>
      </c>
      <c r="E5795" t="inlineStr">
        <is>
          <t>OCKELBO</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53337-2022</t>
        </is>
      </c>
      <c r="B5796" s="1" t="n">
        <v>44879</v>
      </c>
      <c r="C5796" s="1" t="n">
        <v>45677</v>
      </c>
      <c r="D5796" t="inlineStr">
        <is>
          <t>GÄVLEBORGS LÄN</t>
        </is>
      </c>
      <c r="E5796" t="inlineStr">
        <is>
          <t>BOLLNÄS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53343-2022</t>
        </is>
      </c>
      <c r="B5797" s="1" t="n">
        <v>44879</v>
      </c>
      <c r="C5797" s="1" t="n">
        <v>45677</v>
      </c>
      <c r="D5797" t="inlineStr">
        <is>
          <t>GÄVLEBORGS LÄN</t>
        </is>
      </c>
      <c r="E5797" t="inlineStr">
        <is>
          <t>OVANÅKER</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53342-2022</t>
        </is>
      </c>
      <c r="B5798" s="1" t="n">
        <v>44879</v>
      </c>
      <c r="C5798" s="1" t="n">
        <v>45677</v>
      </c>
      <c r="D5798" t="inlineStr">
        <is>
          <t>GÄVLEBORGS LÄN</t>
        </is>
      </c>
      <c r="E5798" t="inlineStr">
        <is>
          <t>BOLLNÄS</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53511-2022</t>
        </is>
      </c>
      <c r="B5799" s="1" t="n">
        <v>44879</v>
      </c>
      <c r="C5799" s="1" t="n">
        <v>45677</v>
      </c>
      <c r="D5799" t="inlineStr">
        <is>
          <t>GÄVLEBORGS LÄN</t>
        </is>
      </c>
      <c r="E5799" t="inlineStr">
        <is>
          <t>BOLLNÄS</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53438-2022</t>
        </is>
      </c>
      <c r="B5800" s="1" t="n">
        <v>44879</v>
      </c>
      <c r="C5800" s="1" t="n">
        <v>45677</v>
      </c>
      <c r="D5800" t="inlineStr">
        <is>
          <t>GÄVLEBORGS LÄN</t>
        </is>
      </c>
      <c r="E5800" t="inlineStr">
        <is>
          <t>HUDIKSVALL</t>
        </is>
      </c>
      <c r="F5800" t="inlineStr">
        <is>
          <t>Holmen skog AB</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53448-2022</t>
        </is>
      </c>
      <c r="B5801" s="1" t="n">
        <v>44879</v>
      </c>
      <c r="C5801" s="1" t="n">
        <v>45677</v>
      </c>
      <c r="D5801" t="inlineStr">
        <is>
          <t>GÄVLEBORGS LÄN</t>
        </is>
      </c>
      <c r="E5801" t="inlineStr">
        <is>
          <t>BOLLNÄS</t>
        </is>
      </c>
      <c r="F5801" t="inlineStr">
        <is>
          <t>Bergvik skog väst AB</t>
        </is>
      </c>
      <c r="G5801" t="n">
        <v>11.3</v>
      </c>
      <c r="H5801" t="n">
        <v>0</v>
      </c>
      <c r="I5801" t="n">
        <v>0</v>
      </c>
      <c r="J5801" t="n">
        <v>0</v>
      </c>
      <c r="K5801" t="n">
        <v>0</v>
      </c>
      <c r="L5801" t="n">
        <v>0</v>
      </c>
      <c r="M5801" t="n">
        <v>0</v>
      </c>
      <c r="N5801" t="n">
        <v>0</v>
      </c>
      <c r="O5801" t="n">
        <v>0</v>
      </c>
      <c r="P5801" t="n">
        <v>0</v>
      </c>
      <c r="Q5801" t="n">
        <v>0</v>
      </c>
      <c r="R5801" s="2" t="inlineStr"/>
    </row>
    <row r="5802" ht="15" customHeight="1">
      <c r="A5802" t="inlineStr">
        <is>
          <t>A 53532-2022</t>
        </is>
      </c>
      <c r="B5802" s="1" t="n">
        <v>44879</v>
      </c>
      <c r="C5802" s="1" t="n">
        <v>45677</v>
      </c>
      <c r="D5802" t="inlineStr">
        <is>
          <t>GÄVLEBORGS LÄN</t>
        </is>
      </c>
      <c r="E5802" t="inlineStr">
        <is>
          <t>OCKELBO</t>
        </is>
      </c>
      <c r="F5802" t="inlineStr">
        <is>
          <t>Bergvik skog väst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53558-2022</t>
        </is>
      </c>
      <c r="B5803" s="1" t="n">
        <v>44879</v>
      </c>
      <c r="C5803" s="1" t="n">
        <v>45677</v>
      </c>
      <c r="D5803" t="inlineStr">
        <is>
          <t>GÄVLEBORGS LÄN</t>
        </is>
      </c>
      <c r="E5803" t="inlineStr">
        <is>
          <t>BOLLNÄS</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53611-2022</t>
        </is>
      </c>
      <c r="B5804" s="1" t="n">
        <v>44879</v>
      </c>
      <c r="C5804" s="1" t="n">
        <v>45677</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53613-2022</t>
        </is>
      </c>
      <c r="B5805" s="1" t="n">
        <v>44879</v>
      </c>
      <c r="C5805" s="1" t="n">
        <v>45677</v>
      </c>
      <c r="D5805" t="inlineStr">
        <is>
          <t>GÄVLEBORGS LÄN</t>
        </is>
      </c>
      <c r="E5805" t="inlineStr">
        <is>
          <t>BOLLNÄS</t>
        </is>
      </c>
      <c r="F5805" t="inlineStr">
        <is>
          <t>Bergvik skog väst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53618-2022</t>
        </is>
      </c>
      <c r="B5806" s="1" t="n">
        <v>44879</v>
      </c>
      <c r="C5806" s="1" t="n">
        <v>45677</v>
      </c>
      <c r="D5806" t="inlineStr">
        <is>
          <t>GÄVLEBORGS LÄN</t>
        </is>
      </c>
      <c r="E5806" t="inlineStr">
        <is>
          <t>BOLLNÄS</t>
        </is>
      </c>
      <c r="F5806" t="inlineStr">
        <is>
          <t>Bergvik skog väst AB</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53673-2022</t>
        </is>
      </c>
      <c r="B5807" s="1" t="n">
        <v>44879</v>
      </c>
      <c r="C5807" s="1" t="n">
        <v>45677</v>
      </c>
      <c r="D5807" t="inlineStr">
        <is>
          <t>GÄVLEBORGS LÄN</t>
        </is>
      </c>
      <c r="E5807" t="inlineStr">
        <is>
          <t>NORDANSTIG</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53754-2022</t>
        </is>
      </c>
      <c r="B5808" s="1" t="n">
        <v>44880</v>
      </c>
      <c r="C5808" s="1" t="n">
        <v>45677</v>
      </c>
      <c r="D5808" t="inlineStr">
        <is>
          <t>GÄVLEBORGS LÄN</t>
        </is>
      </c>
      <c r="E5808" t="inlineStr">
        <is>
          <t>OCKELBO</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53815-2022</t>
        </is>
      </c>
      <c r="B5809" s="1" t="n">
        <v>44880</v>
      </c>
      <c r="C5809" s="1" t="n">
        <v>45677</v>
      </c>
      <c r="D5809" t="inlineStr">
        <is>
          <t>GÄVLEBORGS LÄN</t>
        </is>
      </c>
      <c r="E5809" t="inlineStr">
        <is>
          <t>BOLLNÄS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53844-2022</t>
        </is>
      </c>
      <c r="B5810" s="1" t="n">
        <v>44880</v>
      </c>
      <c r="C5810" s="1" t="n">
        <v>45677</v>
      </c>
      <c r="D5810" t="inlineStr">
        <is>
          <t>GÄVLEBORGS LÄN</t>
        </is>
      </c>
      <c r="E5810" t="inlineStr">
        <is>
          <t>LJUSDAL</t>
        </is>
      </c>
      <c r="F5810" t="inlineStr">
        <is>
          <t>Bergvik skog väst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53694-2022</t>
        </is>
      </c>
      <c r="B5811" s="1" t="n">
        <v>44880</v>
      </c>
      <c r="C5811" s="1" t="n">
        <v>45677</v>
      </c>
      <c r="D5811" t="inlineStr">
        <is>
          <t>GÄVLEBORGS LÄN</t>
        </is>
      </c>
      <c r="E5811" t="inlineStr">
        <is>
          <t>OVANÅKER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53780-2022</t>
        </is>
      </c>
      <c r="B5812" s="1" t="n">
        <v>44880</v>
      </c>
      <c r="C5812" s="1" t="n">
        <v>45677</v>
      </c>
      <c r="D5812" t="inlineStr">
        <is>
          <t>GÄVLEBORGS LÄN</t>
        </is>
      </c>
      <c r="E5812" t="inlineStr">
        <is>
          <t>OCKELBO</t>
        </is>
      </c>
      <c r="F5812" t="inlineStr">
        <is>
          <t>Bergvik skog väst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53691-2022</t>
        </is>
      </c>
      <c r="B5813" s="1" t="n">
        <v>44880</v>
      </c>
      <c r="C5813" s="1" t="n">
        <v>45677</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53744-2022</t>
        </is>
      </c>
      <c r="B5814" s="1" t="n">
        <v>44880</v>
      </c>
      <c r="C5814" s="1" t="n">
        <v>45677</v>
      </c>
      <c r="D5814" t="inlineStr">
        <is>
          <t>GÄVLEBORGS LÄN</t>
        </is>
      </c>
      <c r="E5814" t="inlineStr">
        <is>
          <t>SÖDERHAMN</t>
        </is>
      </c>
      <c r="F5814" t="inlineStr">
        <is>
          <t>Kyrkan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53927-2022</t>
        </is>
      </c>
      <c r="B5815" s="1" t="n">
        <v>44880</v>
      </c>
      <c r="C5815" s="1" t="n">
        <v>45677</v>
      </c>
      <c r="D5815" t="inlineStr">
        <is>
          <t>GÄVLEBORGS LÄN</t>
        </is>
      </c>
      <c r="E5815" t="inlineStr">
        <is>
          <t>LJUSDAL</t>
        </is>
      </c>
      <c r="F5815" t="inlineStr">
        <is>
          <t>Naturvårdsverket</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54088-2022</t>
        </is>
      </c>
      <c r="B5816" s="1" t="n">
        <v>44881</v>
      </c>
      <c r="C5816" s="1" t="n">
        <v>45677</v>
      </c>
      <c r="D5816" t="inlineStr">
        <is>
          <t>GÄVLEBORGS LÄN</t>
        </is>
      </c>
      <c r="E5816" t="inlineStr">
        <is>
          <t>BOLLNÄS</t>
        </is>
      </c>
      <c r="F5816" t="inlineStr">
        <is>
          <t>Sveaskog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54130-2022</t>
        </is>
      </c>
      <c r="B5817" s="1" t="n">
        <v>44881</v>
      </c>
      <c r="C5817" s="1" t="n">
        <v>45677</v>
      </c>
      <c r="D5817" t="inlineStr">
        <is>
          <t>GÄVLEBORGS LÄN</t>
        </is>
      </c>
      <c r="E5817" t="inlineStr">
        <is>
          <t>NORDANSTIG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54014-2022</t>
        </is>
      </c>
      <c r="B5818" s="1" t="n">
        <v>44881</v>
      </c>
      <c r="C5818" s="1" t="n">
        <v>45677</v>
      </c>
      <c r="D5818" t="inlineStr">
        <is>
          <t>GÄVLEBORGS LÄN</t>
        </is>
      </c>
      <c r="E5818" t="inlineStr">
        <is>
          <t>HUDIKSVALL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54007-2022</t>
        </is>
      </c>
      <c r="B5819" s="1" t="n">
        <v>44881</v>
      </c>
      <c r="C5819" s="1" t="n">
        <v>45677</v>
      </c>
      <c r="D5819" t="inlineStr">
        <is>
          <t>GÄVLEBORGS LÄN</t>
        </is>
      </c>
      <c r="E5819" t="inlineStr">
        <is>
          <t>BOLLNÄS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54048-2022</t>
        </is>
      </c>
      <c r="B5820" s="1" t="n">
        <v>44881</v>
      </c>
      <c r="C5820" s="1" t="n">
        <v>45677</v>
      </c>
      <c r="D5820" t="inlineStr">
        <is>
          <t>GÄVLEBORGS LÄN</t>
        </is>
      </c>
      <c r="E5820" t="inlineStr">
        <is>
          <t>OCKELBO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54085-2022</t>
        </is>
      </c>
      <c r="B5821" s="1" t="n">
        <v>44881</v>
      </c>
      <c r="C5821" s="1" t="n">
        <v>45677</v>
      </c>
      <c r="D5821" t="inlineStr">
        <is>
          <t>GÄVLEBORGS LÄN</t>
        </is>
      </c>
      <c r="E5821" t="inlineStr">
        <is>
          <t>HUDIKSVALL</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54097-2022</t>
        </is>
      </c>
      <c r="B5822" s="1" t="n">
        <v>44881</v>
      </c>
      <c r="C5822" s="1" t="n">
        <v>45677</v>
      </c>
      <c r="D5822" t="inlineStr">
        <is>
          <t>GÄVLEBORGS LÄN</t>
        </is>
      </c>
      <c r="E5822" t="inlineStr">
        <is>
          <t>NORDANSTIG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54128-2022</t>
        </is>
      </c>
      <c r="B5823" s="1" t="n">
        <v>44881</v>
      </c>
      <c r="C5823" s="1" t="n">
        <v>45677</v>
      </c>
      <c r="D5823" t="inlineStr">
        <is>
          <t>GÄVLEBORGS LÄN</t>
        </is>
      </c>
      <c r="E5823" t="inlineStr">
        <is>
          <t>OVANÅKER</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54152-2022</t>
        </is>
      </c>
      <c r="B5824" s="1" t="n">
        <v>44881</v>
      </c>
      <c r="C5824" s="1" t="n">
        <v>45677</v>
      </c>
      <c r="D5824" t="inlineStr">
        <is>
          <t>GÄVLEBORGS LÄN</t>
        </is>
      </c>
      <c r="E5824" t="inlineStr">
        <is>
          <t>OCKELBO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54156-2022</t>
        </is>
      </c>
      <c r="B5825" s="1" t="n">
        <v>44881</v>
      </c>
      <c r="C5825" s="1" t="n">
        <v>45677</v>
      </c>
      <c r="D5825" t="inlineStr">
        <is>
          <t>GÄVLEBORGS LÄN</t>
        </is>
      </c>
      <c r="E5825" t="inlineStr">
        <is>
          <t>SÖDERHAMN</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54192-2022</t>
        </is>
      </c>
      <c r="B5826" s="1" t="n">
        <v>44881</v>
      </c>
      <c r="C5826" s="1" t="n">
        <v>45677</v>
      </c>
      <c r="D5826" t="inlineStr">
        <is>
          <t>GÄVLEBORGS LÄN</t>
        </is>
      </c>
      <c r="E5826" t="inlineStr">
        <is>
          <t>HOFORS</t>
        </is>
      </c>
      <c r="F5826" t="inlineStr">
        <is>
          <t>Sveaskog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54092-2022</t>
        </is>
      </c>
      <c r="B5827" s="1" t="n">
        <v>44881</v>
      </c>
      <c r="C5827" s="1" t="n">
        <v>45677</v>
      </c>
      <c r="D5827" t="inlineStr">
        <is>
          <t>GÄVLEBORGS LÄN</t>
        </is>
      </c>
      <c r="E5827" t="inlineStr">
        <is>
          <t>GÄVLE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54131-2022</t>
        </is>
      </c>
      <c r="B5828" s="1" t="n">
        <v>44881</v>
      </c>
      <c r="C5828" s="1" t="n">
        <v>45677</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54191-2022</t>
        </is>
      </c>
      <c r="B5829" s="1" t="n">
        <v>44881</v>
      </c>
      <c r="C5829" s="1" t="n">
        <v>45677</v>
      </c>
      <c r="D5829" t="inlineStr">
        <is>
          <t>GÄVLEBORGS LÄN</t>
        </is>
      </c>
      <c r="E5829" t="inlineStr">
        <is>
          <t>HOFORS</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54390-2022</t>
        </is>
      </c>
      <c r="B5830" s="1" t="n">
        <v>44882</v>
      </c>
      <c r="C5830" s="1" t="n">
        <v>45677</v>
      </c>
      <c r="D5830" t="inlineStr">
        <is>
          <t>GÄVLEBORGS LÄN</t>
        </is>
      </c>
      <c r="E5830" t="inlineStr">
        <is>
          <t>GÄVLE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54546-2022</t>
        </is>
      </c>
      <c r="B5831" s="1" t="n">
        <v>44882</v>
      </c>
      <c r="C5831" s="1" t="n">
        <v>45677</v>
      </c>
      <c r="D5831" t="inlineStr">
        <is>
          <t>GÄVLEBORGS LÄN</t>
        </is>
      </c>
      <c r="E5831" t="inlineStr">
        <is>
          <t>BOLLNÄS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54272-2022</t>
        </is>
      </c>
      <c r="B5832" s="1" t="n">
        <v>44882</v>
      </c>
      <c r="C5832" s="1" t="n">
        <v>45677</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54393-2022</t>
        </is>
      </c>
      <c r="B5833" s="1" t="n">
        <v>44882</v>
      </c>
      <c r="C5833" s="1" t="n">
        <v>45677</v>
      </c>
      <c r="D5833" t="inlineStr">
        <is>
          <t>GÄVLEBORGS LÄN</t>
        </is>
      </c>
      <c r="E5833" t="inlineStr">
        <is>
          <t>GÄVLE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54382-2022</t>
        </is>
      </c>
      <c r="B5834" s="1" t="n">
        <v>44882</v>
      </c>
      <c r="C5834" s="1" t="n">
        <v>45677</v>
      </c>
      <c r="D5834" t="inlineStr">
        <is>
          <t>GÄVLEBORGS LÄN</t>
        </is>
      </c>
      <c r="E5834" t="inlineStr">
        <is>
          <t>GÄVLE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54388-2022</t>
        </is>
      </c>
      <c r="B5835" s="1" t="n">
        <v>44882</v>
      </c>
      <c r="C5835" s="1" t="n">
        <v>45677</v>
      </c>
      <c r="D5835" t="inlineStr">
        <is>
          <t>GÄVLEBORGS LÄN</t>
        </is>
      </c>
      <c r="E5835" t="inlineStr">
        <is>
          <t>GÄVLE</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54398-2022</t>
        </is>
      </c>
      <c r="B5836" s="1" t="n">
        <v>44882</v>
      </c>
      <c r="C5836" s="1" t="n">
        <v>45677</v>
      </c>
      <c r="D5836" t="inlineStr">
        <is>
          <t>GÄVLEBORGS LÄN</t>
        </is>
      </c>
      <c r="E5836" t="inlineStr">
        <is>
          <t>BOLLNÄS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54545-2022</t>
        </is>
      </c>
      <c r="B5837" s="1" t="n">
        <v>44882</v>
      </c>
      <c r="C5837" s="1" t="n">
        <v>45677</v>
      </c>
      <c r="D5837" t="inlineStr">
        <is>
          <t>GÄVLEBORGS LÄN</t>
        </is>
      </c>
      <c r="E5837" t="inlineStr">
        <is>
          <t>SANDVIKEN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54349-2022</t>
        </is>
      </c>
      <c r="B5838" s="1" t="n">
        <v>44882</v>
      </c>
      <c r="C5838" s="1" t="n">
        <v>45677</v>
      </c>
      <c r="D5838" t="inlineStr">
        <is>
          <t>GÄVLEBORGS LÄN</t>
        </is>
      </c>
      <c r="E5838" t="inlineStr">
        <is>
          <t>LJUSDAL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54387-2022</t>
        </is>
      </c>
      <c r="B5839" s="1" t="n">
        <v>44882</v>
      </c>
      <c r="C5839" s="1" t="n">
        <v>45677</v>
      </c>
      <c r="D5839" t="inlineStr">
        <is>
          <t>GÄVLEBORGS LÄN</t>
        </is>
      </c>
      <c r="E5839" t="inlineStr">
        <is>
          <t>GÄVLE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54543-2022</t>
        </is>
      </c>
      <c r="B5840" s="1" t="n">
        <v>44882</v>
      </c>
      <c r="C5840" s="1" t="n">
        <v>45677</v>
      </c>
      <c r="D5840" t="inlineStr">
        <is>
          <t>GÄVLEBORGS LÄN</t>
        </is>
      </c>
      <c r="E5840" t="inlineStr">
        <is>
          <t>BOLLNÄS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54683-2022</t>
        </is>
      </c>
      <c r="B5841" s="1" t="n">
        <v>44883</v>
      </c>
      <c r="C5841" s="1" t="n">
        <v>45677</v>
      </c>
      <c r="D5841" t="inlineStr">
        <is>
          <t>GÄVLEBORGS LÄN</t>
        </is>
      </c>
      <c r="E5841" t="inlineStr">
        <is>
          <t>OVANÅKER</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54704-2022</t>
        </is>
      </c>
      <c r="B5842" s="1" t="n">
        <v>44883</v>
      </c>
      <c r="C5842" s="1" t="n">
        <v>45677</v>
      </c>
      <c r="D5842" t="inlineStr">
        <is>
          <t>GÄVLEBORGS LÄN</t>
        </is>
      </c>
      <c r="E5842" t="inlineStr">
        <is>
          <t>BOLLNÄS</t>
        </is>
      </c>
      <c r="F5842" t="inlineStr">
        <is>
          <t>Bergvik skog väst AB</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54708-2022</t>
        </is>
      </c>
      <c r="B5843" s="1" t="n">
        <v>44883</v>
      </c>
      <c r="C5843" s="1" t="n">
        <v>45677</v>
      </c>
      <c r="D5843" t="inlineStr">
        <is>
          <t>GÄVLEBORGS LÄN</t>
        </is>
      </c>
      <c r="E5843" t="inlineStr">
        <is>
          <t>BOLLNÄS</t>
        </is>
      </c>
      <c r="F5843" t="inlineStr">
        <is>
          <t>Bergvik skog väst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54713-2022</t>
        </is>
      </c>
      <c r="B5844" s="1" t="n">
        <v>44883</v>
      </c>
      <c r="C5844" s="1" t="n">
        <v>45677</v>
      </c>
      <c r="D5844" t="inlineStr">
        <is>
          <t>GÄVLEBORGS LÄN</t>
        </is>
      </c>
      <c r="E5844" t="inlineStr">
        <is>
          <t>BOLLNÄS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54731-2022</t>
        </is>
      </c>
      <c r="B5845" s="1" t="n">
        <v>44883</v>
      </c>
      <c r="C5845" s="1" t="n">
        <v>45677</v>
      </c>
      <c r="D5845" t="inlineStr">
        <is>
          <t>GÄVLEBORGS LÄN</t>
        </is>
      </c>
      <c r="E5845" t="inlineStr">
        <is>
          <t>OVANÅKER</t>
        </is>
      </c>
      <c r="G5845" t="n">
        <v>21.8</v>
      </c>
      <c r="H5845" t="n">
        <v>0</v>
      </c>
      <c r="I5845" t="n">
        <v>0</v>
      </c>
      <c r="J5845" t="n">
        <v>0</v>
      </c>
      <c r="K5845" t="n">
        <v>0</v>
      </c>
      <c r="L5845" t="n">
        <v>0</v>
      </c>
      <c r="M5845" t="n">
        <v>0</v>
      </c>
      <c r="N5845" t="n">
        <v>0</v>
      </c>
      <c r="O5845" t="n">
        <v>0</v>
      </c>
      <c r="P5845" t="n">
        <v>0</v>
      </c>
      <c r="Q5845" t="n">
        <v>0</v>
      </c>
      <c r="R5845" s="2" t="inlineStr"/>
    </row>
    <row r="5846" ht="15" customHeight="1">
      <c r="A5846" t="inlineStr">
        <is>
          <t>A 54772-2022</t>
        </is>
      </c>
      <c r="B5846" s="1" t="n">
        <v>44883</v>
      </c>
      <c r="C5846" s="1" t="n">
        <v>45677</v>
      </c>
      <c r="D5846" t="inlineStr">
        <is>
          <t>GÄVLEBORGS LÄN</t>
        </is>
      </c>
      <c r="E5846" t="inlineStr">
        <is>
          <t>BOLLNÄS</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54817-2022</t>
        </is>
      </c>
      <c r="B5847" s="1" t="n">
        <v>44883</v>
      </c>
      <c r="C5847" s="1" t="n">
        <v>45677</v>
      </c>
      <c r="D5847" t="inlineStr">
        <is>
          <t>GÄVLEBORGS LÄN</t>
        </is>
      </c>
      <c r="E5847" t="inlineStr">
        <is>
          <t>OCKELBO</t>
        </is>
      </c>
      <c r="F5847" t="inlineStr">
        <is>
          <t>Bergvik skog väst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54616-2022</t>
        </is>
      </c>
      <c r="B5848" s="1" t="n">
        <v>44883</v>
      </c>
      <c r="C5848" s="1" t="n">
        <v>45677</v>
      </c>
      <c r="D5848" t="inlineStr">
        <is>
          <t>GÄVLEBORGS LÄN</t>
        </is>
      </c>
      <c r="E5848" t="inlineStr">
        <is>
          <t>HOFORS</t>
        </is>
      </c>
      <c r="F5848" t="inlineStr">
        <is>
          <t>Kyrkan</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54850-2022</t>
        </is>
      </c>
      <c r="B5849" s="1" t="n">
        <v>44883</v>
      </c>
      <c r="C5849" s="1" t="n">
        <v>45677</v>
      </c>
      <c r="D5849" t="inlineStr">
        <is>
          <t>GÄVLEBORGS LÄN</t>
        </is>
      </c>
      <c r="E5849" t="inlineStr">
        <is>
          <t>BOLLNÄS</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54654-2022</t>
        </is>
      </c>
      <c r="B5850" s="1" t="n">
        <v>44883</v>
      </c>
      <c r="C5850" s="1" t="n">
        <v>45677</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54660-2022</t>
        </is>
      </c>
      <c r="B5851" s="1" t="n">
        <v>44883</v>
      </c>
      <c r="C5851" s="1" t="n">
        <v>45677</v>
      </c>
      <c r="D5851" t="inlineStr">
        <is>
          <t>GÄVLEBORGS LÄN</t>
        </is>
      </c>
      <c r="E5851" t="inlineStr">
        <is>
          <t>OVANÅKER</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54706-2022</t>
        </is>
      </c>
      <c r="B5852" s="1" t="n">
        <v>44883</v>
      </c>
      <c r="C5852" s="1" t="n">
        <v>45677</v>
      </c>
      <c r="D5852" t="inlineStr">
        <is>
          <t>GÄVLEBORGS LÄN</t>
        </is>
      </c>
      <c r="E5852" t="inlineStr">
        <is>
          <t>HUDIKSVALL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54716-2022</t>
        </is>
      </c>
      <c r="B5853" s="1" t="n">
        <v>44883</v>
      </c>
      <c r="C5853" s="1" t="n">
        <v>45677</v>
      </c>
      <c r="D5853" t="inlineStr">
        <is>
          <t>GÄVLEBORGS LÄN</t>
        </is>
      </c>
      <c r="E5853" t="inlineStr">
        <is>
          <t>BOLLNÄS</t>
        </is>
      </c>
      <c r="F5853" t="inlineStr">
        <is>
          <t>Bergvik skog väst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54799-2022</t>
        </is>
      </c>
      <c r="B5854" s="1" t="n">
        <v>44883</v>
      </c>
      <c r="C5854" s="1" t="n">
        <v>45677</v>
      </c>
      <c r="D5854" t="inlineStr">
        <is>
          <t>GÄVLEBORGS LÄN</t>
        </is>
      </c>
      <c r="E5854" t="inlineStr">
        <is>
          <t>SÖDERHAMN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54852-2022</t>
        </is>
      </c>
      <c r="B5855" s="1" t="n">
        <v>44884</v>
      </c>
      <c r="C5855" s="1" t="n">
        <v>45677</v>
      </c>
      <c r="D5855" t="inlineStr">
        <is>
          <t>GÄVLEBORGS LÄN</t>
        </is>
      </c>
      <c r="E5855" t="inlineStr">
        <is>
          <t>BOLLNÄS</t>
        </is>
      </c>
      <c r="F5855" t="inlineStr">
        <is>
          <t>Bergvik skog väst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54853-2022</t>
        </is>
      </c>
      <c r="B5856" s="1" t="n">
        <v>44884</v>
      </c>
      <c r="C5856" s="1" t="n">
        <v>45677</v>
      </c>
      <c r="D5856" t="inlineStr">
        <is>
          <t>GÄVLEBORGS LÄN</t>
        </is>
      </c>
      <c r="E5856" t="inlineStr">
        <is>
          <t>BOLLNÄS</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62766-2022</t>
        </is>
      </c>
      <c r="B5857" s="1" t="n">
        <v>44885</v>
      </c>
      <c r="C5857" s="1" t="n">
        <v>45677</v>
      </c>
      <c r="D5857" t="inlineStr">
        <is>
          <t>GÄVLEBORGS LÄN</t>
        </is>
      </c>
      <c r="E5857" t="inlineStr">
        <is>
          <t>GÄVLE</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54897-2022</t>
        </is>
      </c>
      <c r="B5858" s="1" t="n">
        <v>44886</v>
      </c>
      <c r="C5858" s="1" t="n">
        <v>45677</v>
      </c>
      <c r="D5858" t="inlineStr">
        <is>
          <t>GÄVLEBORGS LÄN</t>
        </is>
      </c>
      <c r="E5858" t="inlineStr">
        <is>
          <t>BOLLNÄS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54907-2022</t>
        </is>
      </c>
      <c r="B5859" s="1" t="n">
        <v>44886</v>
      </c>
      <c r="C5859" s="1" t="n">
        <v>45677</v>
      </c>
      <c r="D5859" t="inlineStr">
        <is>
          <t>GÄVLEBORGS LÄN</t>
        </is>
      </c>
      <c r="E5859" t="inlineStr">
        <is>
          <t>OVANÅKER</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54887-2022</t>
        </is>
      </c>
      <c r="B5860" s="1" t="n">
        <v>44886</v>
      </c>
      <c r="C5860" s="1" t="n">
        <v>45677</v>
      </c>
      <c r="D5860" t="inlineStr">
        <is>
          <t>GÄVLEBORGS LÄN</t>
        </is>
      </c>
      <c r="E5860" t="inlineStr">
        <is>
          <t>NORDANSTIG</t>
        </is>
      </c>
      <c r="F5860" t="inlineStr">
        <is>
          <t>Holmen skog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54949-2022</t>
        </is>
      </c>
      <c r="B5861" s="1" t="n">
        <v>44886</v>
      </c>
      <c r="C5861" s="1" t="n">
        <v>45677</v>
      </c>
      <c r="D5861" t="inlineStr">
        <is>
          <t>GÄVLEBORGS LÄN</t>
        </is>
      </c>
      <c r="E5861" t="inlineStr">
        <is>
          <t>BOLLNÄS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54974-2022</t>
        </is>
      </c>
      <c r="B5862" s="1" t="n">
        <v>44886</v>
      </c>
      <c r="C5862" s="1" t="n">
        <v>45677</v>
      </c>
      <c r="D5862" t="inlineStr">
        <is>
          <t>GÄVLEBORGS LÄN</t>
        </is>
      </c>
      <c r="E5862" t="inlineStr">
        <is>
          <t>BOLLNÄS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54970-2022</t>
        </is>
      </c>
      <c r="B5863" s="1" t="n">
        <v>44886</v>
      </c>
      <c r="C5863" s="1" t="n">
        <v>45677</v>
      </c>
      <c r="D5863" t="inlineStr">
        <is>
          <t>GÄVLEBORGS LÄN</t>
        </is>
      </c>
      <c r="E5863" t="inlineStr">
        <is>
          <t>NORDANSTIG</t>
        </is>
      </c>
      <c r="F5863" t="inlineStr">
        <is>
          <t>Holmen skog AB</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54985-2022</t>
        </is>
      </c>
      <c r="B5864" s="1" t="n">
        <v>44886</v>
      </c>
      <c r="C5864" s="1" t="n">
        <v>45677</v>
      </c>
      <c r="D5864" t="inlineStr">
        <is>
          <t>GÄVLEBORGS LÄN</t>
        </is>
      </c>
      <c r="E5864" t="inlineStr">
        <is>
          <t>BOLLNÄS</t>
        </is>
      </c>
      <c r="F5864" t="inlineStr">
        <is>
          <t>Sveaskog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55027-2022</t>
        </is>
      </c>
      <c r="B5865" s="1" t="n">
        <v>44886</v>
      </c>
      <c r="C5865" s="1" t="n">
        <v>45677</v>
      </c>
      <c r="D5865" t="inlineStr">
        <is>
          <t>GÄVLEBORGS LÄN</t>
        </is>
      </c>
      <c r="E5865" t="inlineStr">
        <is>
          <t>SANDVIKEN</t>
        </is>
      </c>
      <c r="F5865" t="inlineStr">
        <is>
          <t>Kommuner</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55044-2022</t>
        </is>
      </c>
      <c r="B5866" s="1" t="n">
        <v>44886</v>
      </c>
      <c r="C5866" s="1" t="n">
        <v>45677</v>
      </c>
      <c r="D5866" t="inlineStr">
        <is>
          <t>GÄVLEBORGS LÄN</t>
        </is>
      </c>
      <c r="E5866" t="inlineStr">
        <is>
          <t>SANDVIKEN</t>
        </is>
      </c>
      <c r="F5866" t="inlineStr">
        <is>
          <t>Kommuner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55048-2022</t>
        </is>
      </c>
      <c r="B5867" s="1" t="n">
        <v>44886</v>
      </c>
      <c r="C5867" s="1" t="n">
        <v>45677</v>
      </c>
      <c r="D5867" t="inlineStr">
        <is>
          <t>GÄVLEBORGS LÄN</t>
        </is>
      </c>
      <c r="E5867" t="inlineStr">
        <is>
          <t>BOLLNÄS</t>
        </is>
      </c>
      <c r="F5867" t="inlineStr">
        <is>
          <t>Sveaskog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54908-2022</t>
        </is>
      </c>
      <c r="B5868" s="1" t="n">
        <v>44886</v>
      </c>
      <c r="C5868" s="1" t="n">
        <v>45677</v>
      </c>
      <c r="D5868" t="inlineStr">
        <is>
          <t>GÄVLEBORGS LÄN</t>
        </is>
      </c>
      <c r="E5868" t="inlineStr">
        <is>
          <t>LJUSDAL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54886-2022</t>
        </is>
      </c>
      <c r="B5869" s="1" t="n">
        <v>44886</v>
      </c>
      <c r="C5869" s="1" t="n">
        <v>45677</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54946-2022</t>
        </is>
      </c>
      <c r="B5870" s="1" t="n">
        <v>44886</v>
      </c>
      <c r="C5870" s="1" t="n">
        <v>45677</v>
      </c>
      <c r="D5870" t="inlineStr">
        <is>
          <t>GÄVLEBORGS LÄN</t>
        </is>
      </c>
      <c r="E5870" t="inlineStr">
        <is>
          <t>BOLLNÄS</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54995-2022</t>
        </is>
      </c>
      <c r="B5871" s="1" t="n">
        <v>44886</v>
      </c>
      <c r="C5871" s="1" t="n">
        <v>45677</v>
      </c>
      <c r="D5871" t="inlineStr">
        <is>
          <t>GÄVLEBORGS LÄN</t>
        </is>
      </c>
      <c r="E5871" t="inlineStr">
        <is>
          <t>SÖDERHAMN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55026-2022</t>
        </is>
      </c>
      <c r="B5872" s="1" t="n">
        <v>44886</v>
      </c>
      <c r="C5872" s="1" t="n">
        <v>45677</v>
      </c>
      <c r="D5872" t="inlineStr">
        <is>
          <t>GÄVLEBORGS LÄN</t>
        </is>
      </c>
      <c r="E5872" t="inlineStr">
        <is>
          <t>NORDANSTIG</t>
        </is>
      </c>
      <c r="F5872" t="inlineStr">
        <is>
          <t>Holmen skog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55118-2022</t>
        </is>
      </c>
      <c r="B5873" s="1" t="n">
        <v>44886</v>
      </c>
      <c r="C5873" s="1" t="n">
        <v>45677</v>
      </c>
      <c r="D5873" t="inlineStr">
        <is>
          <t>GÄVLEBORGS LÄN</t>
        </is>
      </c>
      <c r="E5873" t="inlineStr">
        <is>
          <t>OVANÅKER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55148-2022</t>
        </is>
      </c>
      <c r="B5874" s="1" t="n">
        <v>44886</v>
      </c>
      <c r="C5874" s="1" t="n">
        <v>45677</v>
      </c>
      <c r="D5874" t="inlineStr">
        <is>
          <t>GÄVLEBORGS LÄN</t>
        </is>
      </c>
      <c r="E5874" t="inlineStr">
        <is>
          <t>SANDVIKEN</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55189-2022</t>
        </is>
      </c>
      <c r="B5875" s="1" t="n">
        <v>44886</v>
      </c>
      <c r="C5875" s="1" t="n">
        <v>45677</v>
      </c>
      <c r="D5875" t="inlineStr">
        <is>
          <t>GÄVLEBORGS LÄN</t>
        </is>
      </c>
      <c r="E5875" t="inlineStr">
        <is>
          <t>GÄVLE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55205-2022</t>
        </is>
      </c>
      <c r="B5876" s="1" t="n">
        <v>44886</v>
      </c>
      <c r="C5876" s="1" t="n">
        <v>45677</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55055-2022</t>
        </is>
      </c>
      <c r="B5877" s="1" t="n">
        <v>44886</v>
      </c>
      <c r="C5877" s="1" t="n">
        <v>45677</v>
      </c>
      <c r="D5877" t="inlineStr">
        <is>
          <t>GÄVLEBORGS LÄN</t>
        </is>
      </c>
      <c r="E5877" t="inlineStr">
        <is>
          <t>LJUSDAL</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55065-2022</t>
        </is>
      </c>
      <c r="B5878" s="1" t="n">
        <v>44886</v>
      </c>
      <c r="C5878" s="1" t="n">
        <v>45677</v>
      </c>
      <c r="D5878" t="inlineStr">
        <is>
          <t>GÄVLEBORGS LÄN</t>
        </is>
      </c>
      <c r="E5878" t="inlineStr">
        <is>
          <t>OVANÅKER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55215-2022</t>
        </is>
      </c>
      <c r="B5879" s="1" t="n">
        <v>44886</v>
      </c>
      <c r="C5879" s="1" t="n">
        <v>45677</v>
      </c>
      <c r="D5879" t="inlineStr">
        <is>
          <t>GÄVLEBORGS LÄN</t>
        </is>
      </c>
      <c r="E5879" t="inlineStr">
        <is>
          <t>LJUSDAL</t>
        </is>
      </c>
      <c r="F5879" t="inlineStr">
        <is>
          <t>SCA</t>
        </is>
      </c>
      <c r="G5879" t="n">
        <v>14.5</v>
      </c>
      <c r="H5879" t="n">
        <v>0</v>
      </c>
      <c r="I5879" t="n">
        <v>0</v>
      </c>
      <c r="J5879" t="n">
        <v>0</v>
      </c>
      <c r="K5879" t="n">
        <v>0</v>
      </c>
      <c r="L5879" t="n">
        <v>0</v>
      </c>
      <c r="M5879" t="n">
        <v>0</v>
      </c>
      <c r="N5879" t="n">
        <v>0</v>
      </c>
      <c r="O5879" t="n">
        <v>0</v>
      </c>
      <c r="P5879" t="n">
        <v>0</v>
      </c>
      <c r="Q5879" t="n">
        <v>0</v>
      </c>
      <c r="R5879" s="2" t="inlineStr"/>
    </row>
    <row r="5880" ht="15" customHeight="1">
      <c r="A5880" t="inlineStr">
        <is>
          <t>A 54945-2022</t>
        </is>
      </c>
      <c r="B5880" s="1" t="n">
        <v>44886</v>
      </c>
      <c r="C5880" s="1" t="n">
        <v>45677</v>
      </c>
      <c r="D5880" t="inlineStr">
        <is>
          <t>GÄVLEBORGS LÄN</t>
        </is>
      </c>
      <c r="E5880" t="inlineStr">
        <is>
          <t>BOLLNÄS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54994-2022</t>
        </is>
      </c>
      <c r="B5881" s="1" t="n">
        <v>44886</v>
      </c>
      <c r="C5881" s="1" t="n">
        <v>45677</v>
      </c>
      <c r="D5881" t="inlineStr">
        <is>
          <t>GÄVLEBORGS LÄN</t>
        </is>
      </c>
      <c r="E5881" t="inlineStr">
        <is>
          <t>BOLLNÄS</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55025-2022</t>
        </is>
      </c>
      <c r="B5882" s="1" t="n">
        <v>44886</v>
      </c>
      <c r="C5882" s="1" t="n">
        <v>45677</v>
      </c>
      <c r="D5882" t="inlineStr">
        <is>
          <t>GÄVLEBORGS LÄN</t>
        </is>
      </c>
      <c r="E5882" t="inlineStr">
        <is>
          <t>LJUSDAL</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55046-2022</t>
        </is>
      </c>
      <c r="B5883" s="1" t="n">
        <v>44886</v>
      </c>
      <c r="C5883" s="1" t="n">
        <v>45677</v>
      </c>
      <c r="D5883" t="inlineStr">
        <is>
          <t>GÄVLEBORGS LÄN</t>
        </is>
      </c>
      <c r="E5883" t="inlineStr">
        <is>
          <t>LJUSDAL</t>
        </is>
      </c>
      <c r="F5883" t="inlineStr">
        <is>
          <t>Bergvik skog väst AB</t>
        </is>
      </c>
      <c r="G5883" t="n">
        <v>43.8</v>
      </c>
      <c r="H5883" t="n">
        <v>0</v>
      </c>
      <c r="I5883" t="n">
        <v>0</v>
      </c>
      <c r="J5883" t="n">
        <v>0</v>
      </c>
      <c r="K5883" t="n">
        <v>0</v>
      </c>
      <c r="L5883" t="n">
        <v>0</v>
      </c>
      <c r="M5883" t="n">
        <v>0</v>
      </c>
      <c r="N5883" t="n">
        <v>0</v>
      </c>
      <c r="O5883" t="n">
        <v>0</v>
      </c>
      <c r="P5883" t="n">
        <v>0</v>
      </c>
      <c r="Q5883" t="n">
        <v>0</v>
      </c>
      <c r="R5883" s="2" t="inlineStr"/>
    </row>
    <row r="5884" ht="15" customHeight="1">
      <c r="A5884" t="inlineStr">
        <is>
          <t>A 55150-2022</t>
        </is>
      </c>
      <c r="B5884" s="1" t="n">
        <v>44886</v>
      </c>
      <c r="C5884" s="1" t="n">
        <v>45677</v>
      </c>
      <c r="D5884" t="inlineStr">
        <is>
          <t>GÄVLEBORGS LÄN</t>
        </is>
      </c>
      <c r="E5884" t="inlineStr">
        <is>
          <t>SANDVIKEN</t>
        </is>
      </c>
      <c r="F5884" t="inlineStr">
        <is>
          <t>Sveaskog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55165-2022</t>
        </is>
      </c>
      <c r="B5885" s="1" t="n">
        <v>44886</v>
      </c>
      <c r="C5885" s="1" t="n">
        <v>45677</v>
      </c>
      <c r="D5885" t="inlineStr">
        <is>
          <t>GÄVLEBORGS LÄN</t>
        </is>
      </c>
      <c r="E5885" t="inlineStr">
        <is>
          <t>NORDANSTIG</t>
        </is>
      </c>
      <c r="F5885" t="inlineStr">
        <is>
          <t>Holmen skog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55120-2022</t>
        </is>
      </c>
      <c r="B5886" s="1" t="n">
        <v>44886</v>
      </c>
      <c r="C5886" s="1" t="n">
        <v>45677</v>
      </c>
      <c r="D5886" t="inlineStr">
        <is>
          <t>GÄVLEBORGS LÄN</t>
        </is>
      </c>
      <c r="E5886" t="inlineStr">
        <is>
          <t>NORDANSTIG</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55149-2022</t>
        </is>
      </c>
      <c r="B5887" s="1" t="n">
        <v>44886</v>
      </c>
      <c r="C5887" s="1" t="n">
        <v>45677</v>
      </c>
      <c r="D5887" t="inlineStr">
        <is>
          <t>GÄVLEBORGS LÄN</t>
        </is>
      </c>
      <c r="E5887" t="inlineStr">
        <is>
          <t>NORDANSTIG</t>
        </is>
      </c>
      <c r="F5887" t="inlineStr">
        <is>
          <t>Holmen skog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55206-2022</t>
        </is>
      </c>
      <c r="B5888" s="1" t="n">
        <v>44886</v>
      </c>
      <c r="C5888" s="1" t="n">
        <v>45677</v>
      </c>
      <c r="D5888" t="inlineStr">
        <is>
          <t>GÄVLEBORGS LÄN</t>
        </is>
      </c>
      <c r="E5888" t="inlineStr">
        <is>
          <t>NORDANSTIG</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56137-2022</t>
        </is>
      </c>
      <c r="B5889" s="1" t="n">
        <v>44886</v>
      </c>
      <c r="C5889" s="1" t="n">
        <v>45677</v>
      </c>
      <c r="D5889" t="inlineStr">
        <is>
          <t>GÄVLEBORGS LÄN</t>
        </is>
      </c>
      <c r="E5889" t="inlineStr">
        <is>
          <t>SANDVIKEN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55386-2022</t>
        </is>
      </c>
      <c r="B5890" s="1" t="n">
        <v>44887</v>
      </c>
      <c r="C5890" s="1" t="n">
        <v>45677</v>
      </c>
      <c r="D5890" t="inlineStr">
        <is>
          <t>GÄVLEBORGS LÄN</t>
        </is>
      </c>
      <c r="E5890" t="inlineStr">
        <is>
          <t>HUDIKSVALL</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55407-2022</t>
        </is>
      </c>
      <c r="B5891" s="1" t="n">
        <v>44887</v>
      </c>
      <c r="C5891" s="1" t="n">
        <v>45677</v>
      </c>
      <c r="D5891" t="inlineStr">
        <is>
          <t>GÄVLEBORGS LÄN</t>
        </is>
      </c>
      <c r="E5891" t="inlineStr">
        <is>
          <t>SANDVIKEN</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55422-2022</t>
        </is>
      </c>
      <c r="B5892" s="1" t="n">
        <v>44887</v>
      </c>
      <c r="C5892" s="1" t="n">
        <v>45677</v>
      </c>
      <c r="D5892" t="inlineStr">
        <is>
          <t>GÄVLEBORGS LÄN</t>
        </is>
      </c>
      <c r="E5892" t="inlineStr">
        <is>
          <t>OCKELBO</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55434-2022</t>
        </is>
      </c>
      <c r="B5893" s="1" t="n">
        <v>44887</v>
      </c>
      <c r="C5893" s="1" t="n">
        <v>45677</v>
      </c>
      <c r="D5893" t="inlineStr">
        <is>
          <t>GÄVLEBORGS LÄN</t>
        </is>
      </c>
      <c r="E5893" t="inlineStr">
        <is>
          <t>HUDIKSVALL</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55487-2022</t>
        </is>
      </c>
      <c r="B5894" s="1" t="n">
        <v>44887</v>
      </c>
      <c r="C5894" s="1" t="n">
        <v>45677</v>
      </c>
      <c r="D5894" t="inlineStr">
        <is>
          <t>GÄVLEBORGS LÄN</t>
        </is>
      </c>
      <c r="E5894" t="inlineStr">
        <is>
          <t>NORDANSTIG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55411-2022</t>
        </is>
      </c>
      <c r="B5895" s="1" t="n">
        <v>44887</v>
      </c>
      <c r="C5895" s="1" t="n">
        <v>45677</v>
      </c>
      <c r="D5895" t="inlineStr">
        <is>
          <t>GÄVLEBORGS LÄN</t>
        </is>
      </c>
      <c r="E5895" t="inlineStr">
        <is>
          <t>SANDVIKEN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55477-2022</t>
        </is>
      </c>
      <c r="B5896" s="1" t="n">
        <v>44887</v>
      </c>
      <c r="C5896" s="1" t="n">
        <v>45677</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55705-2022</t>
        </is>
      </c>
      <c r="B5897" s="1" t="n">
        <v>44888</v>
      </c>
      <c r="C5897" s="1" t="n">
        <v>45677</v>
      </c>
      <c r="D5897" t="inlineStr">
        <is>
          <t>GÄVLEBORGS LÄN</t>
        </is>
      </c>
      <c r="E5897" t="inlineStr">
        <is>
          <t>NORDANSTIG</t>
        </is>
      </c>
      <c r="F5897" t="inlineStr">
        <is>
          <t>Holmen skog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55709-2022</t>
        </is>
      </c>
      <c r="B5898" s="1" t="n">
        <v>44888</v>
      </c>
      <c r="C5898" s="1" t="n">
        <v>45677</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55766-2022</t>
        </is>
      </c>
      <c r="B5899" s="1" t="n">
        <v>44888</v>
      </c>
      <c r="C5899" s="1" t="n">
        <v>45677</v>
      </c>
      <c r="D5899" t="inlineStr">
        <is>
          <t>GÄVLEBORGS LÄN</t>
        </is>
      </c>
      <c r="E5899" t="inlineStr">
        <is>
          <t>NORDANSTIG</t>
        </is>
      </c>
      <c r="F5899" t="inlineStr">
        <is>
          <t>Holmen skog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55711-2022</t>
        </is>
      </c>
      <c r="B5900" s="1" t="n">
        <v>44888</v>
      </c>
      <c r="C5900" s="1" t="n">
        <v>45677</v>
      </c>
      <c r="D5900" t="inlineStr">
        <is>
          <t>GÄVLEBORGS LÄN</t>
        </is>
      </c>
      <c r="E5900" t="inlineStr">
        <is>
          <t>NORDANSTIG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55740-2022</t>
        </is>
      </c>
      <c r="B5901" s="1" t="n">
        <v>44888</v>
      </c>
      <c r="C5901" s="1" t="n">
        <v>45677</v>
      </c>
      <c r="D5901" t="inlineStr">
        <is>
          <t>GÄVLEBORGS LÄN</t>
        </is>
      </c>
      <c r="E5901" t="inlineStr">
        <is>
          <t>NORDANSTIG</t>
        </is>
      </c>
      <c r="F5901" t="inlineStr">
        <is>
          <t>Holmen skog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55781-2022</t>
        </is>
      </c>
      <c r="B5902" s="1" t="n">
        <v>44888</v>
      </c>
      <c r="C5902" s="1" t="n">
        <v>45677</v>
      </c>
      <c r="D5902" t="inlineStr">
        <is>
          <t>GÄVLEBORGS LÄN</t>
        </is>
      </c>
      <c r="E5902" t="inlineStr">
        <is>
          <t>LJUSDAL</t>
        </is>
      </c>
      <c r="F5902" t="inlineStr">
        <is>
          <t>Kommuner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56874-2022</t>
        </is>
      </c>
      <c r="B5903" s="1" t="n">
        <v>44888</v>
      </c>
      <c r="C5903" s="1" t="n">
        <v>45677</v>
      </c>
      <c r="D5903" t="inlineStr">
        <is>
          <t>GÄVLEBORGS LÄN</t>
        </is>
      </c>
      <c r="E5903" t="inlineStr">
        <is>
          <t>GÄVLE</t>
        </is>
      </c>
      <c r="F5903" t="inlineStr">
        <is>
          <t>Bergvik skog väst AB</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55997-2022</t>
        </is>
      </c>
      <c r="B5904" s="1" t="n">
        <v>44889</v>
      </c>
      <c r="C5904" s="1" t="n">
        <v>45677</v>
      </c>
      <c r="D5904" t="inlineStr">
        <is>
          <t>GÄVLEBORGS LÄN</t>
        </is>
      </c>
      <c r="E5904" t="inlineStr">
        <is>
          <t>LJUSDAL</t>
        </is>
      </c>
      <c r="F5904" t="inlineStr">
        <is>
          <t>Holmen skog AB</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56066-2022</t>
        </is>
      </c>
      <c r="B5905" s="1" t="n">
        <v>44889</v>
      </c>
      <c r="C5905" s="1" t="n">
        <v>45677</v>
      </c>
      <c r="D5905" t="inlineStr">
        <is>
          <t>GÄVLEBORGS LÄN</t>
        </is>
      </c>
      <c r="E5905" t="inlineStr">
        <is>
          <t>SANDVIKEN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56070-2022</t>
        </is>
      </c>
      <c r="B5906" s="1" t="n">
        <v>44889</v>
      </c>
      <c r="C5906" s="1" t="n">
        <v>45677</v>
      </c>
      <c r="D5906" t="inlineStr">
        <is>
          <t>GÄVLEBORGS LÄN</t>
        </is>
      </c>
      <c r="E5906" t="inlineStr">
        <is>
          <t>OVANÅKER</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56075-2022</t>
        </is>
      </c>
      <c r="B5907" s="1" t="n">
        <v>44889</v>
      </c>
      <c r="C5907" s="1" t="n">
        <v>45677</v>
      </c>
      <c r="D5907" t="inlineStr">
        <is>
          <t>GÄVLEBORGS LÄN</t>
        </is>
      </c>
      <c r="E5907" t="inlineStr">
        <is>
          <t>OVANÅKER</t>
        </is>
      </c>
      <c r="G5907" t="n">
        <v>19.5</v>
      </c>
      <c r="H5907" t="n">
        <v>0</v>
      </c>
      <c r="I5907" t="n">
        <v>0</v>
      </c>
      <c r="J5907" t="n">
        <v>0</v>
      </c>
      <c r="K5907" t="n">
        <v>0</v>
      </c>
      <c r="L5907" t="n">
        <v>0</v>
      </c>
      <c r="M5907" t="n">
        <v>0</v>
      </c>
      <c r="N5907" t="n">
        <v>0</v>
      </c>
      <c r="O5907" t="n">
        <v>0</v>
      </c>
      <c r="P5907" t="n">
        <v>0</v>
      </c>
      <c r="Q5907" t="n">
        <v>0</v>
      </c>
      <c r="R5907" s="2" t="inlineStr"/>
    </row>
    <row r="5908" ht="15" customHeight="1">
      <c r="A5908" t="inlineStr">
        <is>
          <t>A 55989-2022</t>
        </is>
      </c>
      <c r="B5908" s="1" t="n">
        <v>44889</v>
      </c>
      <c r="C5908" s="1" t="n">
        <v>45677</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55976-2022</t>
        </is>
      </c>
      <c r="B5909" s="1" t="n">
        <v>44889</v>
      </c>
      <c r="C5909" s="1" t="n">
        <v>45677</v>
      </c>
      <c r="D5909" t="inlineStr">
        <is>
          <t>GÄVLEBORGS LÄN</t>
        </is>
      </c>
      <c r="E5909" t="inlineStr">
        <is>
          <t>GÄVLE</t>
        </is>
      </c>
      <c r="F5909" t="inlineStr">
        <is>
          <t>Kyrkan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55992-2022</t>
        </is>
      </c>
      <c r="B5910" s="1" t="n">
        <v>44889</v>
      </c>
      <c r="C5910" s="1" t="n">
        <v>45677</v>
      </c>
      <c r="D5910" t="inlineStr">
        <is>
          <t>GÄVLEBORGS LÄN</t>
        </is>
      </c>
      <c r="E5910" t="inlineStr">
        <is>
          <t>OVANÅKER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56162-2022</t>
        </is>
      </c>
      <c r="B5911" s="1" t="n">
        <v>44889</v>
      </c>
      <c r="C5911" s="1" t="n">
        <v>45677</v>
      </c>
      <c r="D5911" t="inlineStr">
        <is>
          <t>GÄVLEBORGS LÄN</t>
        </is>
      </c>
      <c r="E5911" t="inlineStr">
        <is>
          <t>SÖDERHAMN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55996-2022</t>
        </is>
      </c>
      <c r="B5912" s="1" t="n">
        <v>44889</v>
      </c>
      <c r="C5912" s="1" t="n">
        <v>45677</v>
      </c>
      <c r="D5912" t="inlineStr">
        <is>
          <t>GÄVLEBORGS LÄN</t>
        </is>
      </c>
      <c r="E5912" t="inlineStr">
        <is>
          <t>GÄVLE</t>
        </is>
      </c>
      <c r="F5912" t="inlineStr">
        <is>
          <t>Kyrkan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56160-2022</t>
        </is>
      </c>
      <c r="B5913" s="1" t="n">
        <v>44889</v>
      </c>
      <c r="C5913" s="1" t="n">
        <v>45677</v>
      </c>
      <c r="D5913" t="inlineStr">
        <is>
          <t>GÄVLEBORGS LÄN</t>
        </is>
      </c>
      <c r="E5913" t="inlineStr">
        <is>
          <t>SÖDERHAMN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56188-2022</t>
        </is>
      </c>
      <c r="B5914" s="1" t="n">
        <v>44889</v>
      </c>
      <c r="C5914" s="1" t="n">
        <v>45677</v>
      </c>
      <c r="D5914" t="inlineStr">
        <is>
          <t>GÄVLEBORGS LÄN</t>
        </is>
      </c>
      <c r="E5914" t="inlineStr">
        <is>
          <t>SÖDERHAMN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56161-2022</t>
        </is>
      </c>
      <c r="B5915" s="1" t="n">
        <v>44889</v>
      </c>
      <c r="C5915" s="1" t="n">
        <v>45677</v>
      </c>
      <c r="D5915" t="inlineStr">
        <is>
          <t>GÄVLEBORGS LÄN</t>
        </is>
      </c>
      <c r="E5915" t="inlineStr">
        <is>
          <t>SÖDERHAMN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55952-2022</t>
        </is>
      </c>
      <c r="B5916" s="1" t="n">
        <v>44889</v>
      </c>
      <c r="C5916" s="1" t="n">
        <v>45677</v>
      </c>
      <c r="D5916" t="inlineStr">
        <is>
          <t>GÄVLEBORGS LÄN</t>
        </is>
      </c>
      <c r="E5916" t="inlineStr">
        <is>
          <t>OCKELBO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55962-2022</t>
        </is>
      </c>
      <c r="B5917" s="1" t="n">
        <v>44889</v>
      </c>
      <c r="C5917" s="1" t="n">
        <v>45677</v>
      </c>
      <c r="D5917" t="inlineStr">
        <is>
          <t>GÄVLEBORGS LÄN</t>
        </is>
      </c>
      <c r="E5917" t="inlineStr">
        <is>
          <t>LJUSDAL</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56232-2022</t>
        </is>
      </c>
      <c r="B5918" s="1" t="n">
        <v>44890</v>
      </c>
      <c r="C5918" s="1" t="n">
        <v>45677</v>
      </c>
      <c r="D5918" t="inlineStr">
        <is>
          <t>GÄVLEBORGS LÄN</t>
        </is>
      </c>
      <c r="E5918" t="inlineStr">
        <is>
          <t>OCKELBO</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56358-2022</t>
        </is>
      </c>
      <c r="B5919" s="1" t="n">
        <v>44890</v>
      </c>
      <c r="C5919" s="1" t="n">
        <v>45677</v>
      </c>
      <c r="D5919" t="inlineStr">
        <is>
          <t>GÄVLEBORGS LÄN</t>
        </is>
      </c>
      <c r="E5919" t="inlineStr">
        <is>
          <t>SÖDERHAMN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56455-2022</t>
        </is>
      </c>
      <c r="B5920" s="1" t="n">
        <v>44893</v>
      </c>
      <c r="C5920" s="1" t="n">
        <v>45677</v>
      </c>
      <c r="D5920" t="inlineStr">
        <is>
          <t>GÄVLEBORGS LÄN</t>
        </is>
      </c>
      <c r="E5920" t="inlineStr">
        <is>
          <t>OVANÅKER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56637-2022</t>
        </is>
      </c>
      <c r="B5921" s="1" t="n">
        <v>44893</v>
      </c>
      <c r="C5921" s="1" t="n">
        <v>45677</v>
      </c>
      <c r="D5921" t="inlineStr">
        <is>
          <t>GÄVLEBORGS LÄN</t>
        </is>
      </c>
      <c r="E5921" t="inlineStr">
        <is>
          <t>HUDIKSVALL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56682-2022</t>
        </is>
      </c>
      <c r="B5922" s="1" t="n">
        <v>44893</v>
      </c>
      <c r="C5922" s="1" t="n">
        <v>45677</v>
      </c>
      <c r="D5922" t="inlineStr">
        <is>
          <t>GÄVLEBORGS LÄN</t>
        </is>
      </c>
      <c r="E5922" t="inlineStr">
        <is>
          <t>NORDANSTIG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56478-2022</t>
        </is>
      </c>
      <c r="B5923" s="1" t="n">
        <v>44893</v>
      </c>
      <c r="C5923" s="1" t="n">
        <v>45677</v>
      </c>
      <c r="D5923" t="inlineStr">
        <is>
          <t>GÄVLEBORGS LÄN</t>
        </is>
      </c>
      <c r="E5923" t="inlineStr">
        <is>
          <t>LJUSDAL</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56477-2022</t>
        </is>
      </c>
      <c r="B5924" s="1" t="n">
        <v>44893</v>
      </c>
      <c r="C5924" s="1" t="n">
        <v>45677</v>
      </c>
      <c r="D5924" t="inlineStr">
        <is>
          <t>GÄVLEBORGS LÄN</t>
        </is>
      </c>
      <c r="E5924" t="inlineStr">
        <is>
          <t>HUDIKSVALL</t>
        </is>
      </c>
      <c r="F5924" t="inlineStr">
        <is>
          <t>Holmen skog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56516-2022</t>
        </is>
      </c>
      <c r="B5925" s="1" t="n">
        <v>44893</v>
      </c>
      <c r="C5925" s="1" t="n">
        <v>45677</v>
      </c>
      <c r="D5925" t="inlineStr">
        <is>
          <t>GÄVLEBORGS LÄN</t>
        </is>
      </c>
      <c r="E5925" t="inlineStr">
        <is>
          <t>HUDIKSVALL</t>
        </is>
      </c>
      <c r="F5925" t="inlineStr">
        <is>
          <t>Holmen skog AB</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56631-2022</t>
        </is>
      </c>
      <c r="B5926" s="1" t="n">
        <v>44893</v>
      </c>
      <c r="C5926" s="1" t="n">
        <v>45677</v>
      </c>
      <c r="D5926" t="inlineStr">
        <is>
          <t>GÄVLEBORGS LÄN</t>
        </is>
      </c>
      <c r="E5926" t="inlineStr">
        <is>
          <t>OCKELBO</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56677-2022</t>
        </is>
      </c>
      <c r="B5927" s="1" t="n">
        <v>44893</v>
      </c>
      <c r="C5927" s="1" t="n">
        <v>45677</v>
      </c>
      <c r="D5927" t="inlineStr">
        <is>
          <t>GÄVLEBORGS LÄN</t>
        </is>
      </c>
      <c r="E5927" t="inlineStr">
        <is>
          <t>NORDANSTIG</t>
        </is>
      </c>
      <c r="F5927" t="inlineStr">
        <is>
          <t>Holmen skog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56639-2022</t>
        </is>
      </c>
      <c r="B5928" s="1" t="n">
        <v>44893</v>
      </c>
      <c r="C5928" s="1" t="n">
        <v>45677</v>
      </c>
      <c r="D5928" t="inlineStr">
        <is>
          <t>GÄVLEBORGS LÄN</t>
        </is>
      </c>
      <c r="E5928" t="inlineStr">
        <is>
          <t>BOLLNÄS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56755-2022</t>
        </is>
      </c>
      <c r="B5929" s="1" t="n">
        <v>44894</v>
      </c>
      <c r="C5929" s="1" t="n">
        <v>45677</v>
      </c>
      <c r="D5929" t="inlineStr">
        <is>
          <t>GÄVLEBORGS LÄN</t>
        </is>
      </c>
      <c r="E5929" t="inlineStr">
        <is>
          <t>BOLLNÄS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56752-2022</t>
        </is>
      </c>
      <c r="B5930" s="1" t="n">
        <v>44894</v>
      </c>
      <c r="C5930" s="1" t="n">
        <v>45677</v>
      </c>
      <c r="D5930" t="inlineStr">
        <is>
          <t>GÄVLEBORGS LÄN</t>
        </is>
      </c>
      <c r="E5930" t="inlineStr">
        <is>
          <t>OVANÅKER</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56808-2022</t>
        </is>
      </c>
      <c r="B5931" s="1" t="n">
        <v>44894</v>
      </c>
      <c r="C5931" s="1" t="n">
        <v>45677</v>
      </c>
      <c r="D5931" t="inlineStr">
        <is>
          <t>GÄVLEBORGS LÄN</t>
        </is>
      </c>
      <c r="E5931" t="inlineStr">
        <is>
          <t>HUDIKSVALL</t>
        </is>
      </c>
      <c r="F5931" t="inlineStr">
        <is>
          <t>Kommuner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56813-2022</t>
        </is>
      </c>
      <c r="B5932" s="1" t="n">
        <v>44894</v>
      </c>
      <c r="C5932" s="1" t="n">
        <v>45677</v>
      </c>
      <c r="D5932" t="inlineStr">
        <is>
          <t>GÄVLEBORGS LÄN</t>
        </is>
      </c>
      <c r="E5932" t="inlineStr">
        <is>
          <t>HUDIKSVALL</t>
        </is>
      </c>
      <c r="F5932" t="inlineStr">
        <is>
          <t>Kommuner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56958-2022</t>
        </is>
      </c>
      <c r="B5933" s="1" t="n">
        <v>44894</v>
      </c>
      <c r="C5933" s="1" t="n">
        <v>45677</v>
      </c>
      <c r="D5933" t="inlineStr">
        <is>
          <t>GÄVLEBORGS LÄN</t>
        </is>
      </c>
      <c r="E5933" t="inlineStr">
        <is>
          <t>SANDVIKEN</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56766-2022</t>
        </is>
      </c>
      <c r="B5934" s="1" t="n">
        <v>44894</v>
      </c>
      <c r="C5934" s="1" t="n">
        <v>45677</v>
      </c>
      <c r="D5934" t="inlineStr">
        <is>
          <t>GÄVLEBORGS LÄN</t>
        </is>
      </c>
      <c r="E5934" t="inlineStr">
        <is>
          <t>LJUSDAL</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56820-2022</t>
        </is>
      </c>
      <c r="B5935" s="1" t="n">
        <v>44894</v>
      </c>
      <c r="C5935" s="1" t="n">
        <v>45677</v>
      </c>
      <c r="D5935" t="inlineStr">
        <is>
          <t>GÄVLEBORGS LÄN</t>
        </is>
      </c>
      <c r="E5935" t="inlineStr">
        <is>
          <t>HUDIKSVALL</t>
        </is>
      </c>
      <c r="F5935" t="inlineStr">
        <is>
          <t>Kommuner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56754-2022</t>
        </is>
      </c>
      <c r="B5936" s="1" t="n">
        <v>44894</v>
      </c>
      <c r="C5936" s="1" t="n">
        <v>45677</v>
      </c>
      <c r="D5936" t="inlineStr">
        <is>
          <t>GÄVLEBORGS LÄN</t>
        </is>
      </c>
      <c r="E5936" t="inlineStr">
        <is>
          <t>HUDIKSVALL</t>
        </is>
      </c>
      <c r="F5936" t="inlineStr">
        <is>
          <t>Holmen skog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56805-2022</t>
        </is>
      </c>
      <c r="B5937" s="1" t="n">
        <v>44894</v>
      </c>
      <c r="C5937" s="1" t="n">
        <v>45677</v>
      </c>
      <c r="D5937" t="inlineStr">
        <is>
          <t>GÄVLEBORGS LÄN</t>
        </is>
      </c>
      <c r="E5937" t="inlineStr">
        <is>
          <t>HUDIKSVALL</t>
        </is>
      </c>
      <c r="F5937" t="inlineStr">
        <is>
          <t>Holmen skog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56953-2022</t>
        </is>
      </c>
      <c r="B5938" s="1" t="n">
        <v>44894</v>
      </c>
      <c r="C5938" s="1" t="n">
        <v>45677</v>
      </c>
      <c r="D5938" t="inlineStr">
        <is>
          <t>GÄVLEBORGS LÄN</t>
        </is>
      </c>
      <c r="E5938" t="inlineStr">
        <is>
          <t>HUDIKSVALL</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56891-2022</t>
        </is>
      </c>
      <c r="B5939" s="1" t="n">
        <v>44894</v>
      </c>
      <c r="C5939" s="1" t="n">
        <v>45677</v>
      </c>
      <c r="D5939" t="inlineStr">
        <is>
          <t>GÄVLEBORGS LÄN</t>
        </is>
      </c>
      <c r="E5939" t="inlineStr">
        <is>
          <t>HUDIKSVALL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57013-2022</t>
        </is>
      </c>
      <c r="B5940" s="1" t="n">
        <v>44894</v>
      </c>
      <c r="C5940" s="1" t="n">
        <v>45677</v>
      </c>
      <c r="D5940" t="inlineStr">
        <is>
          <t>GÄVLEBORGS LÄN</t>
        </is>
      </c>
      <c r="E5940" t="inlineStr">
        <is>
          <t>NORDANSTIG</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56870-2022</t>
        </is>
      </c>
      <c r="B5941" s="1" t="n">
        <v>44894</v>
      </c>
      <c r="C5941" s="1" t="n">
        <v>45677</v>
      </c>
      <c r="D5941" t="inlineStr">
        <is>
          <t>GÄVLEBORGS LÄN</t>
        </is>
      </c>
      <c r="E5941" t="inlineStr">
        <is>
          <t>NORDANSTIG</t>
        </is>
      </c>
      <c r="F5941" t="inlineStr">
        <is>
          <t>Holmen skog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56924-2022</t>
        </is>
      </c>
      <c r="B5942" s="1" t="n">
        <v>44894</v>
      </c>
      <c r="C5942" s="1" t="n">
        <v>45677</v>
      </c>
      <c r="D5942" t="inlineStr">
        <is>
          <t>GÄVLEBORGS LÄN</t>
        </is>
      </c>
      <c r="E5942" t="inlineStr">
        <is>
          <t>BOLLNÄS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57041-2022</t>
        </is>
      </c>
      <c r="B5943" s="1" t="n">
        <v>44895</v>
      </c>
      <c r="C5943" s="1" t="n">
        <v>45677</v>
      </c>
      <c r="D5943" t="inlineStr">
        <is>
          <t>GÄVLEBORGS LÄN</t>
        </is>
      </c>
      <c r="E5943" t="inlineStr">
        <is>
          <t>BOLLNÄS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57044-2022</t>
        </is>
      </c>
      <c r="B5944" s="1" t="n">
        <v>44895</v>
      </c>
      <c r="C5944" s="1" t="n">
        <v>45677</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57040-2022</t>
        </is>
      </c>
      <c r="B5945" s="1" t="n">
        <v>44895</v>
      </c>
      <c r="C5945" s="1" t="n">
        <v>45677</v>
      </c>
      <c r="D5945" t="inlineStr">
        <is>
          <t>GÄVLEBORGS LÄN</t>
        </is>
      </c>
      <c r="E5945" t="inlineStr">
        <is>
          <t>GÄVLE</t>
        </is>
      </c>
      <c r="F5945" t="inlineStr">
        <is>
          <t>Kyrkan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57050-2022</t>
        </is>
      </c>
      <c r="B5946" s="1" t="n">
        <v>44895</v>
      </c>
      <c r="C5946" s="1" t="n">
        <v>45677</v>
      </c>
      <c r="D5946" t="inlineStr">
        <is>
          <t>GÄVLEBORGS LÄN</t>
        </is>
      </c>
      <c r="E5946" t="inlineStr">
        <is>
          <t>SÖDERHAMN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57110-2022</t>
        </is>
      </c>
      <c r="B5947" s="1" t="n">
        <v>44895</v>
      </c>
      <c r="C5947" s="1" t="n">
        <v>45677</v>
      </c>
      <c r="D5947" t="inlineStr">
        <is>
          <t>GÄVLEBORGS LÄN</t>
        </is>
      </c>
      <c r="E5947" t="inlineStr">
        <is>
          <t>LJUSDAL</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57104-2022</t>
        </is>
      </c>
      <c r="B5948" s="1" t="n">
        <v>44895</v>
      </c>
      <c r="C5948" s="1" t="n">
        <v>45677</v>
      </c>
      <c r="D5948" t="inlineStr">
        <is>
          <t>GÄVLEBORGS LÄN</t>
        </is>
      </c>
      <c r="E5948" t="inlineStr">
        <is>
          <t>SANDVIKEN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57179-2022</t>
        </is>
      </c>
      <c r="B5949" s="1" t="n">
        <v>44895</v>
      </c>
      <c r="C5949" s="1" t="n">
        <v>45677</v>
      </c>
      <c r="D5949" t="inlineStr">
        <is>
          <t>GÄVLEBORGS LÄN</t>
        </is>
      </c>
      <c r="E5949" t="inlineStr">
        <is>
          <t>GÄVLE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57196-2022</t>
        </is>
      </c>
      <c r="B5950" s="1" t="n">
        <v>44895</v>
      </c>
      <c r="C5950" s="1" t="n">
        <v>45677</v>
      </c>
      <c r="D5950" t="inlineStr">
        <is>
          <t>GÄVLEBORGS LÄN</t>
        </is>
      </c>
      <c r="E5950" t="inlineStr">
        <is>
          <t>NORDANSTIG</t>
        </is>
      </c>
      <c r="F5950" t="inlineStr">
        <is>
          <t>Holmen skog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57199-2022</t>
        </is>
      </c>
      <c r="B5951" s="1" t="n">
        <v>44895</v>
      </c>
      <c r="C5951" s="1" t="n">
        <v>45677</v>
      </c>
      <c r="D5951" t="inlineStr">
        <is>
          <t>GÄVLEBORGS LÄN</t>
        </is>
      </c>
      <c r="E5951" t="inlineStr">
        <is>
          <t>HUDIKSVALL</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57269-2022</t>
        </is>
      </c>
      <c r="B5952" s="1" t="n">
        <v>44895</v>
      </c>
      <c r="C5952" s="1" t="n">
        <v>45677</v>
      </c>
      <c r="D5952" t="inlineStr">
        <is>
          <t>GÄVLEBORGS LÄN</t>
        </is>
      </c>
      <c r="E5952" t="inlineStr">
        <is>
          <t>LJUSDAL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57338-2022</t>
        </is>
      </c>
      <c r="B5953" s="1" t="n">
        <v>44896</v>
      </c>
      <c r="C5953" s="1" t="n">
        <v>45677</v>
      </c>
      <c r="D5953" t="inlineStr">
        <is>
          <t>GÄVLEBORGS LÄN</t>
        </is>
      </c>
      <c r="E5953" t="inlineStr">
        <is>
          <t>OCKELBO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57343-2022</t>
        </is>
      </c>
      <c r="B5954" s="1" t="n">
        <v>44896</v>
      </c>
      <c r="C5954" s="1" t="n">
        <v>45677</v>
      </c>
      <c r="D5954" t="inlineStr">
        <is>
          <t>GÄVLEBORGS LÄN</t>
        </is>
      </c>
      <c r="E5954" t="inlineStr">
        <is>
          <t>GÄVLE</t>
        </is>
      </c>
      <c r="F5954" t="inlineStr">
        <is>
          <t>Bergvik skog öst AB</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57345-2022</t>
        </is>
      </c>
      <c r="B5955" s="1" t="n">
        <v>44896</v>
      </c>
      <c r="C5955" s="1" t="n">
        <v>45677</v>
      </c>
      <c r="D5955" t="inlineStr">
        <is>
          <t>GÄVLEBORGS LÄN</t>
        </is>
      </c>
      <c r="E5955" t="inlineStr">
        <is>
          <t>GÄVLE</t>
        </is>
      </c>
      <c r="F5955" t="inlineStr">
        <is>
          <t>Bergvik skog öst AB</t>
        </is>
      </c>
      <c r="G5955" t="n">
        <v>19.1</v>
      </c>
      <c r="H5955" t="n">
        <v>0</v>
      </c>
      <c r="I5955" t="n">
        <v>0</v>
      </c>
      <c r="J5955" t="n">
        <v>0</v>
      </c>
      <c r="K5955" t="n">
        <v>0</v>
      </c>
      <c r="L5955" t="n">
        <v>0</v>
      </c>
      <c r="M5955" t="n">
        <v>0</v>
      </c>
      <c r="N5955" t="n">
        <v>0</v>
      </c>
      <c r="O5955" t="n">
        <v>0</v>
      </c>
      <c r="P5955" t="n">
        <v>0</v>
      </c>
      <c r="Q5955" t="n">
        <v>0</v>
      </c>
      <c r="R5955" s="2" t="inlineStr"/>
    </row>
    <row r="5956" ht="15" customHeight="1">
      <c r="A5956" t="inlineStr">
        <is>
          <t>A 57508-2022</t>
        </is>
      </c>
      <c r="B5956" s="1" t="n">
        <v>44896</v>
      </c>
      <c r="C5956" s="1" t="n">
        <v>45677</v>
      </c>
      <c r="D5956" t="inlineStr">
        <is>
          <t>GÄVLEBORGS LÄN</t>
        </is>
      </c>
      <c r="E5956" t="inlineStr">
        <is>
          <t>NORDANSTIG</t>
        </is>
      </c>
      <c r="F5956" t="inlineStr">
        <is>
          <t>Holmen skog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57516-2022</t>
        </is>
      </c>
      <c r="B5957" s="1" t="n">
        <v>44896</v>
      </c>
      <c r="C5957" s="1" t="n">
        <v>45677</v>
      </c>
      <c r="D5957" t="inlineStr">
        <is>
          <t>GÄVLEBORGS LÄN</t>
        </is>
      </c>
      <c r="E5957" t="inlineStr">
        <is>
          <t>NORDANSTIG</t>
        </is>
      </c>
      <c r="F5957" t="inlineStr">
        <is>
          <t>Holmen skog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57573-2022</t>
        </is>
      </c>
      <c r="B5958" s="1" t="n">
        <v>44896</v>
      </c>
      <c r="C5958" s="1" t="n">
        <v>45677</v>
      </c>
      <c r="D5958" t="inlineStr">
        <is>
          <t>GÄVLEBORGS LÄN</t>
        </is>
      </c>
      <c r="E5958" t="inlineStr">
        <is>
          <t>NORDANSTIG</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57650-2022</t>
        </is>
      </c>
      <c r="B5959" s="1" t="n">
        <v>44897</v>
      </c>
      <c r="C5959" s="1" t="n">
        <v>45677</v>
      </c>
      <c r="D5959" t="inlineStr">
        <is>
          <t>GÄVLEBORGS LÄN</t>
        </is>
      </c>
      <c r="E5959" t="inlineStr">
        <is>
          <t>HUDIKSVALL</t>
        </is>
      </c>
      <c r="F5959" t="inlineStr">
        <is>
          <t>Naturvårdsverket</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57681-2022</t>
        </is>
      </c>
      <c r="B5960" s="1" t="n">
        <v>44897</v>
      </c>
      <c r="C5960" s="1" t="n">
        <v>45677</v>
      </c>
      <c r="D5960" t="inlineStr">
        <is>
          <t>GÄVLEBORGS LÄN</t>
        </is>
      </c>
      <c r="E5960" t="inlineStr">
        <is>
          <t>GÄVLE</t>
        </is>
      </c>
      <c r="F5960" t="inlineStr">
        <is>
          <t>Kyrkan</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57689-2022</t>
        </is>
      </c>
      <c r="B5961" s="1" t="n">
        <v>44897</v>
      </c>
      <c r="C5961" s="1" t="n">
        <v>45677</v>
      </c>
      <c r="D5961" t="inlineStr">
        <is>
          <t>GÄVLEBORGS LÄN</t>
        </is>
      </c>
      <c r="E5961" t="inlineStr">
        <is>
          <t>BOLLNÄS</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57695-2022</t>
        </is>
      </c>
      <c r="B5962" s="1" t="n">
        <v>44897</v>
      </c>
      <c r="C5962" s="1" t="n">
        <v>45677</v>
      </c>
      <c r="D5962" t="inlineStr">
        <is>
          <t>GÄVLEBORGS LÄN</t>
        </is>
      </c>
      <c r="E5962" t="inlineStr">
        <is>
          <t>NORDANSTIG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57716-2022</t>
        </is>
      </c>
      <c r="B5963" s="1" t="n">
        <v>44897</v>
      </c>
      <c r="C5963" s="1" t="n">
        <v>45677</v>
      </c>
      <c r="D5963" t="inlineStr">
        <is>
          <t>GÄVLEBORGS LÄN</t>
        </is>
      </c>
      <c r="E5963" t="inlineStr">
        <is>
          <t>HUDIKSVALL</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57679-2022</t>
        </is>
      </c>
      <c r="B5964" s="1" t="n">
        <v>44897</v>
      </c>
      <c r="C5964" s="1" t="n">
        <v>45677</v>
      </c>
      <c r="D5964" t="inlineStr">
        <is>
          <t>GÄVLEBORGS LÄN</t>
        </is>
      </c>
      <c r="E5964" t="inlineStr">
        <is>
          <t>HUDIKSVALL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57694-2022</t>
        </is>
      </c>
      <c r="B5965" s="1" t="n">
        <v>44897</v>
      </c>
      <c r="C5965" s="1" t="n">
        <v>45677</v>
      </c>
      <c r="D5965" t="inlineStr">
        <is>
          <t>GÄVLEBORGS LÄN</t>
        </is>
      </c>
      <c r="E5965" t="inlineStr">
        <is>
          <t>SÖDERHAMN</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57776-2022</t>
        </is>
      </c>
      <c r="B5966" s="1" t="n">
        <v>44897</v>
      </c>
      <c r="C5966" s="1" t="n">
        <v>45677</v>
      </c>
      <c r="D5966" t="inlineStr">
        <is>
          <t>GÄVLEBORGS LÄN</t>
        </is>
      </c>
      <c r="E5966" t="inlineStr">
        <is>
          <t>OVANÅKER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57814-2022</t>
        </is>
      </c>
      <c r="B5967" s="1" t="n">
        <v>44897</v>
      </c>
      <c r="C5967" s="1" t="n">
        <v>45677</v>
      </c>
      <c r="D5967" t="inlineStr">
        <is>
          <t>GÄVLEBORGS LÄN</t>
        </is>
      </c>
      <c r="E5967" t="inlineStr">
        <is>
          <t>SÖDERHAMN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57905-2022</t>
        </is>
      </c>
      <c r="B5968" s="1" t="n">
        <v>44900</v>
      </c>
      <c r="C5968" s="1" t="n">
        <v>45677</v>
      </c>
      <c r="D5968" t="inlineStr">
        <is>
          <t>GÄVLEBORGS LÄN</t>
        </is>
      </c>
      <c r="E5968" t="inlineStr">
        <is>
          <t>LJUSDAL</t>
        </is>
      </c>
      <c r="F5968" t="inlineStr">
        <is>
          <t>Allmännings- och besparingsskogar</t>
        </is>
      </c>
      <c r="G5968" t="n">
        <v>11.5</v>
      </c>
      <c r="H5968" t="n">
        <v>0</v>
      </c>
      <c r="I5968" t="n">
        <v>0</v>
      </c>
      <c r="J5968" t="n">
        <v>0</v>
      </c>
      <c r="K5968" t="n">
        <v>0</v>
      </c>
      <c r="L5968" t="n">
        <v>0</v>
      </c>
      <c r="M5968" t="n">
        <v>0</v>
      </c>
      <c r="N5968" t="n">
        <v>0</v>
      </c>
      <c r="O5968" t="n">
        <v>0</v>
      </c>
      <c r="P5968" t="n">
        <v>0</v>
      </c>
      <c r="Q5968" t="n">
        <v>0</v>
      </c>
      <c r="R5968" s="2" t="inlineStr"/>
    </row>
    <row r="5969" ht="15" customHeight="1">
      <c r="A5969" t="inlineStr">
        <is>
          <t>A 57924-2022</t>
        </is>
      </c>
      <c r="B5969" s="1" t="n">
        <v>44900</v>
      </c>
      <c r="C5969" s="1" t="n">
        <v>45677</v>
      </c>
      <c r="D5969" t="inlineStr">
        <is>
          <t>GÄVLEBORGS LÄN</t>
        </is>
      </c>
      <c r="E5969" t="inlineStr">
        <is>
          <t>SÖDERHAMN</t>
        </is>
      </c>
      <c r="F5969" t="inlineStr">
        <is>
          <t>Kyrkan</t>
        </is>
      </c>
      <c r="G5969" t="n">
        <v>36.7</v>
      </c>
      <c r="H5969" t="n">
        <v>0</v>
      </c>
      <c r="I5969" t="n">
        <v>0</v>
      </c>
      <c r="J5969" t="n">
        <v>0</v>
      </c>
      <c r="K5969" t="n">
        <v>0</v>
      </c>
      <c r="L5969" t="n">
        <v>0</v>
      </c>
      <c r="M5969" t="n">
        <v>0</v>
      </c>
      <c r="N5969" t="n">
        <v>0</v>
      </c>
      <c r="O5969" t="n">
        <v>0</v>
      </c>
      <c r="P5969" t="n">
        <v>0</v>
      </c>
      <c r="Q5969" t="n">
        <v>0</v>
      </c>
      <c r="R5969" s="2" t="inlineStr"/>
    </row>
    <row r="5970" ht="15" customHeight="1">
      <c r="A5970" t="inlineStr">
        <is>
          <t>A 57970-2022</t>
        </is>
      </c>
      <c r="B5970" s="1" t="n">
        <v>44900</v>
      </c>
      <c r="C5970" s="1" t="n">
        <v>45677</v>
      </c>
      <c r="D5970" t="inlineStr">
        <is>
          <t>GÄVLEBORGS LÄN</t>
        </is>
      </c>
      <c r="E5970" t="inlineStr">
        <is>
          <t>NORDANSTIG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57976-2022</t>
        </is>
      </c>
      <c r="B5971" s="1" t="n">
        <v>44900</v>
      </c>
      <c r="C5971" s="1" t="n">
        <v>45677</v>
      </c>
      <c r="D5971" t="inlineStr">
        <is>
          <t>GÄVLEBORGS LÄN</t>
        </is>
      </c>
      <c r="E5971" t="inlineStr">
        <is>
          <t>NORDANSTIG</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58083-2022</t>
        </is>
      </c>
      <c r="B5972" s="1" t="n">
        <v>44900</v>
      </c>
      <c r="C5972" s="1" t="n">
        <v>45677</v>
      </c>
      <c r="D5972" t="inlineStr">
        <is>
          <t>GÄVLEBORGS LÄN</t>
        </is>
      </c>
      <c r="E5972" t="inlineStr">
        <is>
          <t>OCKELBO</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58113-2022</t>
        </is>
      </c>
      <c r="B5973" s="1" t="n">
        <v>44900</v>
      </c>
      <c r="C5973" s="1" t="n">
        <v>45677</v>
      </c>
      <c r="D5973" t="inlineStr">
        <is>
          <t>GÄVLEBORGS LÄN</t>
        </is>
      </c>
      <c r="E5973" t="inlineStr">
        <is>
          <t>LJUSDAL</t>
        </is>
      </c>
      <c r="F5973" t="inlineStr">
        <is>
          <t>Sveaskog</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57983-2022</t>
        </is>
      </c>
      <c r="B5974" s="1" t="n">
        <v>44900</v>
      </c>
      <c r="C5974" s="1" t="n">
        <v>45677</v>
      </c>
      <c r="D5974" t="inlineStr">
        <is>
          <t>GÄVLEBORGS LÄN</t>
        </is>
      </c>
      <c r="E5974" t="inlineStr">
        <is>
          <t>NORDANSTIG</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57949-2022</t>
        </is>
      </c>
      <c r="B5975" s="1" t="n">
        <v>44900</v>
      </c>
      <c r="C5975" s="1" t="n">
        <v>45677</v>
      </c>
      <c r="D5975" t="inlineStr">
        <is>
          <t>GÄVLEBORGS LÄN</t>
        </is>
      </c>
      <c r="E5975" t="inlineStr">
        <is>
          <t>LJUSDAL</t>
        </is>
      </c>
      <c r="F5975" t="inlineStr">
        <is>
          <t>Holmen skog AB</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57967-2022</t>
        </is>
      </c>
      <c r="B5976" s="1" t="n">
        <v>44900</v>
      </c>
      <c r="C5976" s="1" t="n">
        <v>45677</v>
      </c>
      <c r="D5976" t="inlineStr">
        <is>
          <t>GÄVLEBORGS LÄN</t>
        </is>
      </c>
      <c r="E5976" t="inlineStr">
        <is>
          <t>HUDIKSVALL</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57971-2022</t>
        </is>
      </c>
      <c r="B5977" s="1" t="n">
        <v>44900</v>
      </c>
      <c r="C5977" s="1" t="n">
        <v>45677</v>
      </c>
      <c r="D5977" t="inlineStr">
        <is>
          <t>GÄVLEBORGS LÄN</t>
        </is>
      </c>
      <c r="E5977" t="inlineStr">
        <is>
          <t>HOFORS</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57977-2022</t>
        </is>
      </c>
      <c r="B5978" s="1" t="n">
        <v>44900</v>
      </c>
      <c r="C5978" s="1" t="n">
        <v>45677</v>
      </c>
      <c r="D5978" t="inlineStr">
        <is>
          <t>GÄVLEBORGS LÄN</t>
        </is>
      </c>
      <c r="E5978" t="inlineStr">
        <is>
          <t>LJUSDAL</t>
        </is>
      </c>
      <c r="F5978" t="inlineStr">
        <is>
          <t>Holmen skog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58088-2022</t>
        </is>
      </c>
      <c r="B5979" s="1" t="n">
        <v>44900</v>
      </c>
      <c r="C5979" s="1" t="n">
        <v>45677</v>
      </c>
      <c r="D5979" t="inlineStr">
        <is>
          <t>GÄVLEBORGS LÄN</t>
        </is>
      </c>
      <c r="E5979" t="inlineStr">
        <is>
          <t>HUDIKSVALL</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58184-2022</t>
        </is>
      </c>
      <c r="B5980" s="1" t="n">
        <v>44900</v>
      </c>
      <c r="C5980" s="1" t="n">
        <v>45677</v>
      </c>
      <c r="D5980" t="inlineStr">
        <is>
          <t>GÄVLEBORGS LÄN</t>
        </is>
      </c>
      <c r="E5980" t="inlineStr">
        <is>
          <t>NORDANSTIG</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58075-2022</t>
        </is>
      </c>
      <c r="B5981" s="1" t="n">
        <v>44900</v>
      </c>
      <c r="C5981" s="1" t="n">
        <v>45677</v>
      </c>
      <c r="D5981" t="inlineStr">
        <is>
          <t>GÄVLEBORGS LÄN</t>
        </is>
      </c>
      <c r="E5981" t="inlineStr">
        <is>
          <t>OVANÅKER</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58079-2022</t>
        </is>
      </c>
      <c r="B5982" s="1" t="n">
        <v>44900</v>
      </c>
      <c r="C5982" s="1" t="n">
        <v>45677</v>
      </c>
      <c r="D5982" t="inlineStr">
        <is>
          <t>GÄVLEBORGS LÄN</t>
        </is>
      </c>
      <c r="E5982" t="inlineStr">
        <is>
          <t>OCKELBO</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58307-2022</t>
        </is>
      </c>
      <c r="B5983" s="1" t="n">
        <v>44901</v>
      </c>
      <c r="C5983" s="1" t="n">
        <v>45677</v>
      </c>
      <c r="D5983" t="inlineStr">
        <is>
          <t>GÄVLEBORGS LÄN</t>
        </is>
      </c>
      <c r="E5983" t="inlineStr">
        <is>
          <t>OVANÅKER</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58350-2022</t>
        </is>
      </c>
      <c r="B5984" s="1" t="n">
        <v>44901</v>
      </c>
      <c r="C5984" s="1" t="n">
        <v>45677</v>
      </c>
      <c r="D5984" t="inlineStr">
        <is>
          <t>GÄVLEBORGS LÄN</t>
        </is>
      </c>
      <c r="E5984" t="inlineStr">
        <is>
          <t>SANDVIKEN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58363-2022</t>
        </is>
      </c>
      <c r="B5985" s="1" t="n">
        <v>44901</v>
      </c>
      <c r="C5985" s="1" t="n">
        <v>45677</v>
      </c>
      <c r="D5985" t="inlineStr">
        <is>
          <t>GÄVLEBORGS LÄN</t>
        </is>
      </c>
      <c r="E5985" t="inlineStr">
        <is>
          <t>SANDVIKEN</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58239-2022</t>
        </is>
      </c>
      <c r="B5986" s="1" t="n">
        <v>44901</v>
      </c>
      <c r="C5986" s="1" t="n">
        <v>45677</v>
      </c>
      <c r="D5986" t="inlineStr">
        <is>
          <t>GÄVLEBORGS LÄN</t>
        </is>
      </c>
      <c r="E5986" t="inlineStr">
        <is>
          <t>LJUSDAL</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58280-2022</t>
        </is>
      </c>
      <c r="B5987" s="1" t="n">
        <v>44901</v>
      </c>
      <c r="C5987" s="1" t="n">
        <v>45677</v>
      </c>
      <c r="D5987" t="inlineStr">
        <is>
          <t>GÄVLEBORGS LÄN</t>
        </is>
      </c>
      <c r="E5987" t="inlineStr">
        <is>
          <t>LJUSDAL</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58354-2022</t>
        </is>
      </c>
      <c r="B5988" s="1" t="n">
        <v>44901</v>
      </c>
      <c r="C5988" s="1" t="n">
        <v>45677</v>
      </c>
      <c r="D5988" t="inlineStr">
        <is>
          <t>GÄVLEBORGS LÄN</t>
        </is>
      </c>
      <c r="E5988" t="inlineStr">
        <is>
          <t>SANDVIKEN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58366-2022</t>
        </is>
      </c>
      <c r="B5989" s="1" t="n">
        <v>44901</v>
      </c>
      <c r="C5989" s="1" t="n">
        <v>45677</v>
      </c>
      <c r="D5989" t="inlineStr">
        <is>
          <t>GÄVLEBORGS LÄN</t>
        </is>
      </c>
      <c r="E5989" t="inlineStr">
        <is>
          <t>BOLLNÄS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58435-2022</t>
        </is>
      </c>
      <c r="B5990" s="1" t="n">
        <v>44901</v>
      </c>
      <c r="C5990" s="1" t="n">
        <v>45677</v>
      </c>
      <c r="D5990" t="inlineStr">
        <is>
          <t>GÄVLEBORGS LÄN</t>
        </is>
      </c>
      <c r="E5990" t="inlineStr">
        <is>
          <t>SÖDERHAMN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58371-2022</t>
        </is>
      </c>
      <c r="B5991" s="1" t="n">
        <v>44901</v>
      </c>
      <c r="C5991" s="1" t="n">
        <v>45677</v>
      </c>
      <c r="D5991" t="inlineStr">
        <is>
          <t>GÄVLEBORGS LÄN</t>
        </is>
      </c>
      <c r="E5991" t="inlineStr">
        <is>
          <t>SANDVIKEN</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58423-2022</t>
        </is>
      </c>
      <c r="B5992" s="1" t="n">
        <v>44901</v>
      </c>
      <c r="C5992" s="1" t="n">
        <v>45677</v>
      </c>
      <c r="D5992" t="inlineStr">
        <is>
          <t>GÄVLEBORGS LÄN</t>
        </is>
      </c>
      <c r="E5992" t="inlineStr">
        <is>
          <t>HUDIKSVALL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58450-2022</t>
        </is>
      </c>
      <c r="B5993" s="1" t="n">
        <v>44901</v>
      </c>
      <c r="C5993" s="1" t="n">
        <v>45677</v>
      </c>
      <c r="D5993" t="inlineStr">
        <is>
          <t>GÄVLEBORGS LÄN</t>
        </is>
      </c>
      <c r="E5993" t="inlineStr">
        <is>
          <t>NORDANSTIG</t>
        </is>
      </c>
      <c r="F5993" t="inlineStr">
        <is>
          <t>SCA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58550-2022</t>
        </is>
      </c>
      <c r="B5994" s="1" t="n">
        <v>44902</v>
      </c>
      <c r="C5994" s="1" t="n">
        <v>45677</v>
      </c>
      <c r="D5994" t="inlineStr">
        <is>
          <t>GÄVLEBORGS LÄN</t>
        </is>
      </c>
      <c r="E5994" t="inlineStr">
        <is>
          <t>SANDVIKEN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58530-2022</t>
        </is>
      </c>
      <c r="B5995" s="1" t="n">
        <v>44902</v>
      </c>
      <c r="C5995" s="1" t="n">
        <v>45677</v>
      </c>
      <c r="D5995" t="inlineStr">
        <is>
          <t>GÄVLEBORGS LÄN</t>
        </is>
      </c>
      <c r="E5995" t="inlineStr">
        <is>
          <t>LJUSDAL</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58467-2022</t>
        </is>
      </c>
      <c r="B5996" s="1" t="n">
        <v>44902</v>
      </c>
      <c r="C5996" s="1" t="n">
        <v>45677</v>
      </c>
      <c r="D5996" t="inlineStr">
        <is>
          <t>GÄVLEBORGS LÄN</t>
        </is>
      </c>
      <c r="E5996" t="inlineStr">
        <is>
          <t>OVANÅKER</t>
        </is>
      </c>
      <c r="F5996" t="inlineStr">
        <is>
          <t>Bergvik skog väst AB</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58602-2022</t>
        </is>
      </c>
      <c r="B5997" s="1" t="n">
        <v>44902</v>
      </c>
      <c r="C5997" s="1" t="n">
        <v>45677</v>
      </c>
      <c r="D5997" t="inlineStr">
        <is>
          <t>GÄVLEBORGS LÄN</t>
        </is>
      </c>
      <c r="E5997" t="inlineStr">
        <is>
          <t>OVANÅKER</t>
        </is>
      </c>
      <c r="F5997" t="inlineStr">
        <is>
          <t>Bergvik skog väst AB</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58600-2022</t>
        </is>
      </c>
      <c r="B5998" s="1" t="n">
        <v>44902</v>
      </c>
      <c r="C5998" s="1" t="n">
        <v>45677</v>
      </c>
      <c r="D5998" t="inlineStr">
        <is>
          <t>GÄVLEBORGS LÄN</t>
        </is>
      </c>
      <c r="E5998" t="inlineStr">
        <is>
          <t>LJUSDAL</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58611-2022</t>
        </is>
      </c>
      <c r="B5999" s="1" t="n">
        <v>44902</v>
      </c>
      <c r="C5999" s="1" t="n">
        <v>45677</v>
      </c>
      <c r="D5999" t="inlineStr">
        <is>
          <t>GÄVLEBORGS LÄN</t>
        </is>
      </c>
      <c r="E5999" t="inlineStr">
        <is>
          <t>LJUSDAL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58723-2022</t>
        </is>
      </c>
      <c r="B6000" s="1" t="n">
        <v>44902</v>
      </c>
      <c r="C6000" s="1" t="n">
        <v>45677</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58785-2022</t>
        </is>
      </c>
      <c r="B6001" s="1" t="n">
        <v>44903</v>
      </c>
      <c r="C6001" s="1" t="n">
        <v>45677</v>
      </c>
      <c r="D6001" t="inlineStr">
        <is>
          <t>GÄVLEBORGS LÄN</t>
        </is>
      </c>
      <c r="E6001" t="inlineStr">
        <is>
          <t>SANDVIKEN</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58918-2022</t>
        </is>
      </c>
      <c r="B6002" s="1" t="n">
        <v>44903</v>
      </c>
      <c r="C6002" s="1" t="n">
        <v>45677</v>
      </c>
      <c r="D6002" t="inlineStr">
        <is>
          <t>GÄVLEBORGS LÄN</t>
        </is>
      </c>
      <c r="E6002" t="inlineStr">
        <is>
          <t>OVANÅKER</t>
        </is>
      </c>
      <c r="F6002" t="inlineStr">
        <is>
          <t>Bergvik skog väst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58783-2022</t>
        </is>
      </c>
      <c r="B6003" s="1" t="n">
        <v>44903</v>
      </c>
      <c r="C6003" s="1" t="n">
        <v>45677</v>
      </c>
      <c r="D6003" t="inlineStr">
        <is>
          <t>GÄVLEBORGS LÄN</t>
        </is>
      </c>
      <c r="E6003" t="inlineStr">
        <is>
          <t>LJUSDAL</t>
        </is>
      </c>
      <c r="F6003" t="inlineStr">
        <is>
          <t>Kyrkan</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58796-2022</t>
        </is>
      </c>
      <c r="B6004" s="1" t="n">
        <v>44903</v>
      </c>
      <c r="C6004" s="1" t="n">
        <v>45677</v>
      </c>
      <c r="D6004" t="inlineStr">
        <is>
          <t>GÄVLEBORGS LÄN</t>
        </is>
      </c>
      <c r="E6004" t="inlineStr">
        <is>
          <t>LJUSDAL</t>
        </is>
      </c>
      <c r="F6004" t="inlineStr">
        <is>
          <t>Kyrkan</t>
        </is>
      </c>
      <c r="G6004" t="n">
        <v>6.8</v>
      </c>
      <c r="H6004" t="n">
        <v>0</v>
      </c>
      <c r="I6004" t="n">
        <v>0</v>
      </c>
      <c r="J6004" t="n">
        <v>0</v>
      </c>
      <c r="K6004" t="n">
        <v>0</v>
      </c>
      <c r="L6004" t="n">
        <v>0</v>
      </c>
      <c r="M6004" t="n">
        <v>0</v>
      </c>
      <c r="N6004" t="n">
        <v>0</v>
      </c>
      <c r="O6004" t="n">
        <v>0</v>
      </c>
      <c r="P6004" t="n">
        <v>0</v>
      </c>
      <c r="Q6004" t="n">
        <v>0</v>
      </c>
      <c r="R6004" s="2" t="inlineStr"/>
      <c r="U6004">
        <f>HYPERLINK("https://klasma.github.io/Logging_2161/knärot/A 58796-2022 karta knärot.png", "A 58796-2022")</f>
        <v/>
      </c>
      <c r="V6004">
        <f>HYPERLINK("https://klasma.github.io/Logging_2161/klagomål/A 58796-2022 FSC-klagomål.docx", "A 58796-2022")</f>
        <v/>
      </c>
      <c r="W6004">
        <f>HYPERLINK("https://klasma.github.io/Logging_2161/klagomålsmail/A 58796-2022 FSC-klagomål mail.docx", "A 58796-2022")</f>
        <v/>
      </c>
      <c r="X6004">
        <f>HYPERLINK("https://klasma.github.io/Logging_2161/tillsyn/A 58796-2022 tillsynsbegäran.docx", "A 58796-2022")</f>
        <v/>
      </c>
      <c r="Y6004">
        <f>HYPERLINK("https://klasma.github.io/Logging_2161/tillsynsmail/A 58796-2022 tillsynsbegäran mail.docx", "A 58796-2022")</f>
        <v/>
      </c>
    </row>
    <row r="6005" ht="15" customHeight="1">
      <c r="A6005" t="inlineStr">
        <is>
          <t>A 58942-2022</t>
        </is>
      </c>
      <c r="B6005" s="1" t="n">
        <v>44903</v>
      </c>
      <c r="C6005" s="1" t="n">
        <v>45677</v>
      </c>
      <c r="D6005" t="inlineStr">
        <is>
          <t>GÄVLEBORGS LÄN</t>
        </is>
      </c>
      <c r="E6005" t="inlineStr">
        <is>
          <t>HUDIKSVALL</t>
        </is>
      </c>
      <c r="F6005" t="inlineStr">
        <is>
          <t>Holmen skog AB</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58820-2022</t>
        </is>
      </c>
      <c r="B6006" s="1" t="n">
        <v>44903</v>
      </c>
      <c r="C6006" s="1" t="n">
        <v>45677</v>
      </c>
      <c r="D6006" t="inlineStr">
        <is>
          <t>GÄVLEBORGS LÄN</t>
        </is>
      </c>
      <c r="E6006" t="inlineStr">
        <is>
          <t>LJUSDAL</t>
        </is>
      </c>
      <c r="F6006" t="inlineStr">
        <is>
          <t>Kyrkan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58875-2022</t>
        </is>
      </c>
      <c r="B6007" s="1" t="n">
        <v>44903</v>
      </c>
      <c r="C6007" s="1" t="n">
        <v>45677</v>
      </c>
      <c r="D6007" t="inlineStr">
        <is>
          <t>GÄVLEBORGS LÄN</t>
        </is>
      </c>
      <c r="E6007" t="inlineStr">
        <is>
          <t>OVANÅKER</t>
        </is>
      </c>
      <c r="F6007" t="inlineStr">
        <is>
          <t>Bergvik skog väst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58900-2022</t>
        </is>
      </c>
      <c r="B6008" s="1" t="n">
        <v>44903</v>
      </c>
      <c r="C6008" s="1" t="n">
        <v>45677</v>
      </c>
      <c r="D6008" t="inlineStr">
        <is>
          <t>GÄVLEBORGS LÄN</t>
        </is>
      </c>
      <c r="E6008" t="inlineStr">
        <is>
          <t>OVANÅKER</t>
        </is>
      </c>
      <c r="F6008" t="inlineStr">
        <is>
          <t>Bergvik skog väst AB</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59077-2022</t>
        </is>
      </c>
      <c r="B6009" s="1" t="n">
        <v>44904</v>
      </c>
      <c r="C6009" s="1" t="n">
        <v>45677</v>
      </c>
      <c r="D6009" t="inlineStr">
        <is>
          <t>GÄVLEBORGS LÄN</t>
        </is>
      </c>
      <c r="E6009" t="inlineStr">
        <is>
          <t>LJUSDAL</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59118-2022</t>
        </is>
      </c>
      <c r="B6010" s="1" t="n">
        <v>44904</v>
      </c>
      <c r="C6010" s="1" t="n">
        <v>45677</v>
      </c>
      <c r="D6010" t="inlineStr">
        <is>
          <t>GÄVLEBORGS LÄN</t>
        </is>
      </c>
      <c r="E6010" t="inlineStr">
        <is>
          <t>HUDIKSVALL</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59064-2022</t>
        </is>
      </c>
      <c r="B6011" s="1" t="n">
        <v>44904</v>
      </c>
      <c r="C6011" s="1" t="n">
        <v>45677</v>
      </c>
      <c r="D6011" t="inlineStr">
        <is>
          <t>GÄVLEBORGS LÄN</t>
        </is>
      </c>
      <c r="E6011" t="inlineStr">
        <is>
          <t>HUDIKSVALL</t>
        </is>
      </c>
      <c r="F6011" t="inlineStr">
        <is>
          <t>Kyrkan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59261-2022</t>
        </is>
      </c>
      <c r="B6012" s="1" t="n">
        <v>44904</v>
      </c>
      <c r="C6012" s="1" t="n">
        <v>45677</v>
      </c>
      <c r="D6012" t="inlineStr">
        <is>
          <t>GÄVLEBORGS LÄN</t>
        </is>
      </c>
      <c r="E6012" t="inlineStr">
        <is>
          <t>GÄVLE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59211-2022</t>
        </is>
      </c>
      <c r="B6013" s="1" t="n">
        <v>44904</v>
      </c>
      <c r="C6013" s="1" t="n">
        <v>45677</v>
      </c>
      <c r="D6013" t="inlineStr">
        <is>
          <t>GÄVLEBORGS LÄN</t>
        </is>
      </c>
      <c r="E6013" t="inlineStr">
        <is>
          <t>NORDANSTIG</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59331-2022</t>
        </is>
      </c>
      <c r="B6014" s="1" t="n">
        <v>44904</v>
      </c>
      <c r="C6014" s="1" t="n">
        <v>45677</v>
      </c>
      <c r="D6014" t="inlineStr">
        <is>
          <t>GÄVLEBORGS LÄN</t>
        </is>
      </c>
      <c r="E6014" t="inlineStr">
        <is>
          <t>BOLLNÄS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59109-2022</t>
        </is>
      </c>
      <c r="B6015" s="1" t="n">
        <v>44904</v>
      </c>
      <c r="C6015" s="1" t="n">
        <v>45677</v>
      </c>
      <c r="D6015" t="inlineStr">
        <is>
          <t>GÄVLEBORGS LÄN</t>
        </is>
      </c>
      <c r="E6015" t="inlineStr">
        <is>
          <t>NORDANSTIG</t>
        </is>
      </c>
      <c r="F6015" t="inlineStr">
        <is>
          <t>Holmen skog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59120-2022</t>
        </is>
      </c>
      <c r="B6016" s="1" t="n">
        <v>44904</v>
      </c>
      <c r="C6016" s="1" t="n">
        <v>45677</v>
      </c>
      <c r="D6016" t="inlineStr">
        <is>
          <t>GÄVLEBORGS LÄN</t>
        </is>
      </c>
      <c r="E6016" t="inlineStr">
        <is>
          <t>LJUSDAL</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59186-2022</t>
        </is>
      </c>
      <c r="B6017" s="1" t="n">
        <v>44904</v>
      </c>
      <c r="C6017" s="1" t="n">
        <v>45677</v>
      </c>
      <c r="D6017" t="inlineStr">
        <is>
          <t>GÄVLEBORGS LÄN</t>
        </is>
      </c>
      <c r="E6017" t="inlineStr">
        <is>
          <t>OVANÅKER</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59213-2022</t>
        </is>
      </c>
      <c r="B6018" s="1" t="n">
        <v>44904</v>
      </c>
      <c r="C6018" s="1" t="n">
        <v>45677</v>
      </c>
      <c r="D6018" t="inlineStr">
        <is>
          <t>GÄVLEBORGS LÄN</t>
        </is>
      </c>
      <c r="E6018" t="inlineStr">
        <is>
          <t>NORDANSTIG</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59259-2022</t>
        </is>
      </c>
      <c r="B6019" s="1" t="n">
        <v>44904</v>
      </c>
      <c r="C6019" s="1" t="n">
        <v>45677</v>
      </c>
      <c r="D6019" t="inlineStr">
        <is>
          <t>GÄVLEBORGS LÄN</t>
        </is>
      </c>
      <c r="E6019" t="inlineStr">
        <is>
          <t>GÄVLE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59313-2022</t>
        </is>
      </c>
      <c r="B6020" s="1" t="n">
        <v>44904</v>
      </c>
      <c r="C6020" s="1" t="n">
        <v>45677</v>
      </c>
      <c r="D6020" t="inlineStr">
        <is>
          <t>GÄVLEBORGS LÄN</t>
        </is>
      </c>
      <c r="E6020" t="inlineStr">
        <is>
          <t>GÄVLE</t>
        </is>
      </c>
      <c r="F6020" t="inlineStr">
        <is>
          <t>Bergvik skog öst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59322-2022</t>
        </is>
      </c>
      <c r="B6021" s="1" t="n">
        <v>44904</v>
      </c>
      <c r="C6021" s="1" t="n">
        <v>45677</v>
      </c>
      <c r="D6021" t="inlineStr">
        <is>
          <t>GÄVLEBORGS LÄN</t>
        </is>
      </c>
      <c r="E6021" t="inlineStr">
        <is>
          <t>GÄVLE</t>
        </is>
      </c>
      <c r="F6021" t="inlineStr">
        <is>
          <t>Bergvik skog öst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60822-2022</t>
        </is>
      </c>
      <c r="B6022" s="1" t="n">
        <v>44904</v>
      </c>
      <c r="C6022" s="1" t="n">
        <v>45677</v>
      </c>
      <c r="D6022" t="inlineStr">
        <is>
          <t>GÄVLEBORGS LÄN</t>
        </is>
      </c>
      <c r="E6022" t="inlineStr">
        <is>
          <t>LJUSDAL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59451-2022</t>
        </is>
      </c>
      <c r="B6023" s="1" t="n">
        <v>44907</v>
      </c>
      <c r="C6023" s="1" t="n">
        <v>45677</v>
      </c>
      <c r="D6023" t="inlineStr">
        <is>
          <t>GÄVLEBORGS LÄN</t>
        </is>
      </c>
      <c r="E6023" t="inlineStr">
        <is>
          <t>SANDVIKEN</t>
        </is>
      </c>
      <c r="F6023" t="inlineStr">
        <is>
          <t>Bergvik skog öst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59425-2022</t>
        </is>
      </c>
      <c r="B6024" s="1" t="n">
        <v>44907</v>
      </c>
      <c r="C6024" s="1" t="n">
        <v>45677</v>
      </c>
      <c r="D6024" t="inlineStr">
        <is>
          <t>GÄVLEBORGS LÄN</t>
        </is>
      </c>
      <c r="E6024" t="inlineStr">
        <is>
          <t>NORDANSTIG</t>
        </is>
      </c>
      <c r="F6024" t="inlineStr">
        <is>
          <t>Holmen skog AB</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59459-2022</t>
        </is>
      </c>
      <c r="B6025" s="1" t="n">
        <v>44907</v>
      </c>
      <c r="C6025" s="1" t="n">
        <v>45677</v>
      </c>
      <c r="D6025" t="inlineStr">
        <is>
          <t>GÄVLEBORGS LÄN</t>
        </is>
      </c>
      <c r="E6025" t="inlineStr">
        <is>
          <t>SANDVIKEN</t>
        </is>
      </c>
      <c r="F6025" t="inlineStr">
        <is>
          <t>Bergvik skog öst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59476-2022</t>
        </is>
      </c>
      <c r="B6026" s="1" t="n">
        <v>44907</v>
      </c>
      <c r="C6026" s="1" t="n">
        <v>45677</v>
      </c>
      <c r="D6026" t="inlineStr">
        <is>
          <t>GÄVLEBORGS LÄN</t>
        </is>
      </c>
      <c r="E6026" t="inlineStr">
        <is>
          <t>SÖDERHAMN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59522-2022</t>
        </is>
      </c>
      <c r="B6027" s="1" t="n">
        <v>44907</v>
      </c>
      <c r="C6027" s="1" t="n">
        <v>45677</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59422-2022</t>
        </is>
      </c>
      <c r="B6028" s="1" t="n">
        <v>44907</v>
      </c>
      <c r="C6028" s="1" t="n">
        <v>45677</v>
      </c>
      <c r="D6028" t="inlineStr">
        <is>
          <t>GÄVLEBORGS LÄN</t>
        </is>
      </c>
      <c r="E6028" t="inlineStr">
        <is>
          <t>NORDANSTIG</t>
        </is>
      </c>
      <c r="F6028" t="inlineStr">
        <is>
          <t>Holmen skog AB</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59478-2022</t>
        </is>
      </c>
      <c r="B6029" s="1" t="n">
        <v>44907</v>
      </c>
      <c r="C6029" s="1" t="n">
        <v>45677</v>
      </c>
      <c r="D6029" t="inlineStr">
        <is>
          <t>GÄVLEBORGS LÄN</t>
        </is>
      </c>
      <c r="E6029" t="inlineStr">
        <is>
          <t>SANDVIKEN</t>
        </is>
      </c>
      <c r="F6029" t="inlineStr">
        <is>
          <t>Bergvik skog öst AB</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59567-2022</t>
        </is>
      </c>
      <c r="B6030" s="1" t="n">
        <v>44907</v>
      </c>
      <c r="C6030" s="1" t="n">
        <v>45677</v>
      </c>
      <c r="D6030" t="inlineStr">
        <is>
          <t>GÄVLEBORGS LÄN</t>
        </is>
      </c>
      <c r="E6030" t="inlineStr">
        <is>
          <t>HOFORS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59511-2022</t>
        </is>
      </c>
      <c r="B6031" s="1" t="n">
        <v>44907</v>
      </c>
      <c r="C6031" s="1" t="n">
        <v>45677</v>
      </c>
      <c r="D6031" t="inlineStr">
        <is>
          <t>GÄVLEBORGS LÄN</t>
        </is>
      </c>
      <c r="E6031" t="inlineStr">
        <is>
          <t>OVANÅKER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59546-2022</t>
        </is>
      </c>
      <c r="B6032" s="1" t="n">
        <v>44907</v>
      </c>
      <c r="C6032" s="1" t="n">
        <v>45677</v>
      </c>
      <c r="D6032" t="inlineStr">
        <is>
          <t>GÄVLEBORGS LÄN</t>
        </is>
      </c>
      <c r="E6032" t="inlineStr">
        <is>
          <t>GÄVLE</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59571-2022</t>
        </is>
      </c>
      <c r="B6033" s="1" t="n">
        <v>44907</v>
      </c>
      <c r="C6033" s="1" t="n">
        <v>45677</v>
      </c>
      <c r="D6033" t="inlineStr">
        <is>
          <t>GÄVLEBORGS LÄN</t>
        </is>
      </c>
      <c r="E6033" t="inlineStr">
        <is>
          <t>HUDIKSVALL</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60898-2022</t>
        </is>
      </c>
      <c r="B6034" s="1" t="n">
        <v>44907</v>
      </c>
      <c r="C6034" s="1" t="n">
        <v>45677</v>
      </c>
      <c r="D6034" t="inlineStr">
        <is>
          <t>GÄVLEBORGS LÄN</t>
        </is>
      </c>
      <c r="E6034" t="inlineStr">
        <is>
          <t>OCKELBO</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59729-2022</t>
        </is>
      </c>
      <c r="B6035" s="1" t="n">
        <v>44908</v>
      </c>
      <c r="C6035" s="1" t="n">
        <v>45677</v>
      </c>
      <c r="D6035" t="inlineStr">
        <is>
          <t>GÄVLEBORGS LÄN</t>
        </is>
      </c>
      <c r="E6035" t="inlineStr">
        <is>
          <t>BOLLNÄS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59738-2022</t>
        </is>
      </c>
      <c r="B6036" s="1" t="n">
        <v>44908</v>
      </c>
      <c r="C6036" s="1" t="n">
        <v>45677</v>
      </c>
      <c r="D6036" t="inlineStr">
        <is>
          <t>GÄVLEBORGS LÄN</t>
        </is>
      </c>
      <c r="E6036" t="inlineStr">
        <is>
          <t>SANDVIKEN</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59743-2022</t>
        </is>
      </c>
      <c r="B6037" s="1" t="n">
        <v>44908</v>
      </c>
      <c r="C6037" s="1" t="n">
        <v>45677</v>
      </c>
      <c r="D6037" t="inlineStr">
        <is>
          <t>GÄVLEBORGS LÄN</t>
        </is>
      </c>
      <c r="E6037" t="inlineStr">
        <is>
          <t>SANDVIKEN</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59672-2022</t>
        </is>
      </c>
      <c r="B6038" s="1" t="n">
        <v>44908</v>
      </c>
      <c r="C6038" s="1" t="n">
        <v>45677</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59742-2022</t>
        </is>
      </c>
      <c r="B6039" s="1" t="n">
        <v>44908</v>
      </c>
      <c r="C6039" s="1" t="n">
        <v>45677</v>
      </c>
      <c r="D6039" t="inlineStr">
        <is>
          <t>GÄVLEBORGS LÄN</t>
        </is>
      </c>
      <c r="E6039" t="inlineStr">
        <is>
          <t>HUDIKSVALL</t>
        </is>
      </c>
      <c r="F6039" t="inlineStr">
        <is>
          <t>Holmen skog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59710-2022</t>
        </is>
      </c>
      <c r="B6040" s="1" t="n">
        <v>44908</v>
      </c>
      <c r="C6040" s="1" t="n">
        <v>45677</v>
      </c>
      <c r="D6040" t="inlineStr">
        <is>
          <t>GÄVLEBORGS LÄN</t>
        </is>
      </c>
      <c r="E6040" t="inlineStr">
        <is>
          <t>LJUSDAL</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59741-2022</t>
        </is>
      </c>
      <c r="B6041" s="1" t="n">
        <v>44908</v>
      </c>
      <c r="C6041" s="1" t="n">
        <v>45677</v>
      </c>
      <c r="D6041" t="inlineStr">
        <is>
          <t>GÄVLEBORGS LÄN</t>
        </is>
      </c>
      <c r="E6041" t="inlineStr">
        <is>
          <t>HUDIKSVALL</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59759-2022</t>
        </is>
      </c>
      <c r="B6042" s="1" t="n">
        <v>44908</v>
      </c>
      <c r="C6042" s="1" t="n">
        <v>45677</v>
      </c>
      <c r="D6042" t="inlineStr">
        <is>
          <t>GÄVLEBORGS LÄN</t>
        </is>
      </c>
      <c r="E6042" t="inlineStr">
        <is>
          <t>HUDIKSVALL</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59772-2022</t>
        </is>
      </c>
      <c r="B6043" s="1" t="n">
        <v>44908</v>
      </c>
      <c r="C6043" s="1" t="n">
        <v>45677</v>
      </c>
      <c r="D6043" t="inlineStr">
        <is>
          <t>GÄVLEBORGS LÄN</t>
        </is>
      </c>
      <c r="E6043" t="inlineStr">
        <is>
          <t>SANDVIKEN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59790-2022</t>
        </is>
      </c>
      <c r="B6044" s="1" t="n">
        <v>44908</v>
      </c>
      <c r="C6044" s="1" t="n">
        <v>45677</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59799-2022</t>
        </is>
      </c>
      <c r="B6045" s="1" t="n">
        <v>44908</v>
      </c>
      <c r="C6045" s="1" t="n">
        <v>45677</v>
      </c>
      <c r="D6045" t="inlineStr">
        <is>
          <t>GÄVLEBORGS LÄN</t>
        </is>
      </c>
      <c r="E6045" t="inlineStr">
        <is>
          <t>NORDANSTIG</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59856-2022</t>
        </is>
      </c>
      <c r="B6046" s="1" t="n">
        <v>44908</v>
      </c>
      <c r="C6046" s="1" t="n">
        <v>45677</v>
      </c>
      <c r="D6046" t="inlineStr">
        <is>
          <t>GÄVLEBORGS LÄN</t>
        </is>
      </c>
      <c r="E6046" t="inlineStr">
        <is>
          <t>HUDIKSVALL</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59677-2022</t>
        </is>
      </c>
      <c r="B6047" s="1" t="n">
        <v>44908</v>
      </c>
      <c r="C6047" s="1" t="n">
        <v>45677</v>
      </c>
      <c r="D6047" t="inlineStr">
        <is>
          <t>GÄVLEBORGS LÄN</t>
        </is>
      </c>
      <c r="E6047" t="inlineStr">
        <is>
          <t>SANDVIKEN</t>
        </is>
      </c>
      <c r="F6047" t="inlineStr">
        <is>
          <t>Bergvik skog öst AB</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59901-2022</t>
        </is>
      </c>
      <c r="B6048" s="1" t="n">
        <v>44908</v>
      </c>
      <c r="C6048" s="1" t="n">
        <v>45677</v>
      </c>
      <c r="D6048" t="inlineStr">
        <is>
          <t>GÄVLEBORGS LÄN</t>
        </is>
      </c>
      <c r="E6048" t="inlineStr">
        <is>
          <t>LJUSDAL</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59798-2022</t>
        </is>
      </c>
      <c r="B6049" s="1" t="n">
        <v>44908</v>
      </c>
      <c r="C6049" s="1" t="n">
        <v>45677</v>
      </c>
      <c r="D6049" t="inlineStr">
        <is>
          <t>GÄVLEBORGS LÄN</t>
        </is>
      </c>
      <c r="E6049" t="inlineStr">
        <is>
          <t>HUDIKSVALL</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59808-2022</t>
        </is>
      </c>
      <c r="B6050" s="1" t="n">
        <v>44908</v>
      </c>
      <c r="C6050" s="1" t="n">
        <v>45677</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59826-2022</t>
        </is>
      </c>
      <c r="B6051" s="1" t="n">
        <v>44908</v>
      </c>
      <c r="C6051" s="1" t="n">
        <v>45677</v>
      </c>
      <c r="D6051" t="inlineStr">
        <is>
          <t>GÄVLEBORGS LÄN</t>
        </is>
      </c>
      <c r="E6051" t="inlineStr">
        <is>
          <t>LJUSDAL</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59906-2022</t>
        </is>
      </c>
      <c r="B6052" s="1" t="n">
        <v>44908</v>
      </c>
      <c r="C6052" s="1" t="n">
        <v>45677</v>
      </c>
      <c r="D6052" t="inlineStr">
        <is>
          <t>GÄVLEBORGS LÄN</t>
        </is>
      </c>
      <c r="E6052" t="inlineStr">
        <is>
          <t>SÖDERHAMN</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60099-2022</t>
        </is>
      </c>
      <c r="B6053" s="1" t="n">
        <v>44909</v>
      </c>
      <c r="C6053" s="1" t="n">
        <v>45677</v>
      </c>
      <c r="D6053" t="inlineStr">
        <is>
          <t>GÄVLEBORGS LÄN</t>
        </is>
      </c>
      <c r="E6053" t="inlineStr">
        <is>
          <t>LJUSDAL</t>
        </is>
      </c>
      <c r="F6053" t="inlineStr">
        <is>
          <t>Bergvik skog väst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60118-2022</t>
        </is>
      </c>
      <c r="B6054" s="1" t="n">
        <v>44909</v>
      </c>
      <c r="C6054" s="1" t="n">
        <v>45677</v>
      </c>
      <c r="D6054" t="inlineStr">
        <is>
          <t>GÄVLEBORGS LÄN</t>
        </is>
      </c>
      <c r="E6054" t="inlineStr">
        <is>
          <t>LJUSDAL</t>
        </is>
      </c>
      <c r="F6054" t="inlineStr">
        <is>
          <t>Bergvik skog väst AB</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60111-2022</t>
        </is>
      </c>
      <c r="B6055" s="1" t="n">
        <v>44909</v>
      </c>
      <c r="C6055" s="1" t="n">
        <v>45677</v>
      </c>
      <c r="D6055" t="inlineStr">
        <is>
          <t>GÄVLEBORGS LÄN</t>
        </is>
      </c>
      <c r="E6055" t="inlineStr">
        <is>
          <t>HUDIKSVALL</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60125-2022</t>
        </is>
      </c>
      <c r="B6056" s="1" t="n">
        <v>44909</v>
      </c>
      <c r="C6056" s="1" t="n">
        <v>45677</v>
      </c>
      <c r="D6056" t="inlineStr">
        <is>
          <t>GÄVLEBORGS LÄN</t>
        </is>
      </c>
      <c r="E6056" t="inlineStr">
        <is>
          <t>LJUSDAL</t>
        </is>
      </c>
      <c r="F6056" t="inlineStr">
        <is>
          <t>Bergvik skog väst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60032-2022</t>
        </is>
      </c>
      <c r="B6057" s="1" t="n">
        <v>44909</v>
      </c>
      <c r="C6057" s="1" t="n">
        <v>45677</v>
      </c>
      <c r="D6057" t="inlineStr">
        <is>
          <t>GÄVLEBORGS LÄN</t>
        </is>
      </c>
      <c r="E6057" t="inlineStr">
        <is>
          <t>BOLLNÄS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60142-2022</t>
        </is>
      </c>
      <c r="B6058" s="1" t="n">
        <v>44909</v>
      </c>
      <c r="C6058" s="1" t="n">
        <v>45677</v>
      </c>
      <c r="D6058" t="inlineStr">
        <is>
          <t>GÄVLEBORGS LÄN</t>
        </is>
      </c>
      <c r="E6058" t="inlineStr">
        <is>
          <t>SANDVIKEN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60121-2022</t>
        </is>
      </c>
      <c r="B6059" s="1" t="n">
        <v>44909</v>
      </c>
      <c r="C6059" s="1" t="n">
        <v>45677</v>
      </c>
      <c r="D6059" t="inlineStr">
        <is>
          <t>GÄVLEBORGS LÄN</t>
        </is>
      </c>
      <c r="E6059" t="inlineStr">
        <is>
          <t>LJUSDAL</t>
        </is>
      </c>
      <c r="F6059" t="inlineStr">
        <is>
          <t>Bergvik skog väst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60130-2022</t>
        </is>
      </c>
      <c r="B6060" s="1" t="n">
        <v>44909</v>
      </c>
      <c r="C6060" s="1" t="n">
        <v>45677</v>
      </c>
      <c r="D6060" t="inlineStr">
        <is>
          <t>GÄVLEBORGS LÄN</t>
        </is>
      </c>
      <c r="E6060" t="inlineStr">
        <is>
          <t>BOLLNÄS</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59973-2022</t>
        </is>
      </c>
      <c r="B6061" s="1" t="n">
        <v>44909</v>
      </c>
      <c r="C6061" s="1" t="n">
        <v>45677</v>
      </c>
      <c r="D6061" t="inlineStr">
        <is>
          <t>GÄVLEBORGS LÄN</t>
        </is>
      </c>
      <c r="E6061" t="inlineStr">
        <is>
          <t>HUDIKSVALL</t>
        </is>
      </c>
      <c r="F6061" t="inlineStr">
        <is>
          <t>Kyrkan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59998-2022</t>
        </is>
      </c>
      <c r="B6062" s="1" t="n">
        <v>44909</v>
      </c>
      <c r="C6062" s="1" t="n">
        <v>45677</v>
      </c>
      <c r="D6062" t="inlineStr">
        <is>
          <t>GÄVLEBORGS LÄN</t>
        </is>
      </c>
      <c r="E6062" t="inlineStr">
        <is>
          <t>OVANÅKER</t>
        </is>
      </c>
      <c r="F6062" t="inlineStr">
        <is>
          <t>Bergvik skog väst AB</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60197-2022</t>
        </is>
      </c>
      <c r="B6063" s="1" t="n">
        <v>44910</v>
      </c>
      <c r="C6063" s="1" t="n">
        <v>45677</v>
      </c>
      <c r="D6063" t="inlineStr">
        <is>
          <t>GÄVLEBORGS LÄN</t>
        </is>
      </c>
      <c r="E6063" t="inlineStr">
        <is>
          <t>HUDIKSVALL</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60229-2022</t>
        </is>
      </c>
      <c r="B6064" s="1" t="n">
        <v>44910</v>
      </c>
      <c r="C6064" s="1" t="n">
        <v>45677</v>
      </c>
      <c r="D6064" t="inlineStr">
        <is>
          <t>GÄVLEBORGS LÄN</t>
        </is>
      </c>
      <c r="E6064" t="inlineStr">
        <is>
          <t>HUDIKSVALL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60183-2022</t>
        </is>
      </c>
      <c r="B6065" s="1" t="n">
        <v>44910</v>
      </c>
      <c r="C6065" s="1" t="n">
        <v>45677</v>
      </c>
      <c r="D6065" t="inlineStr">
        <is>
          <t>GÄVLEBORGS LÄN</t>
        </is>
      </c>
      <c r="E6065" t="inlineStr">
        <is>
          <t>LJUSDAL</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60209-2022</t>
        </is>
      </c>
      <c r="B6066" s="1" t="n">
        <v>44910</v>
      </c>
      <c r="C6066" s="1" t="n">
        <v>45677</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60208-2022</t>
        </is>
      </c>
      <c r="B6067" s="1" t="n">
        <v>44910</v>
      </c>
      <c r="C6067" s="1" t="n">
        <v>45677</v>
      </c>
      <c r="D6067" t="inlineStr">
        <is>
          <t>GÄVLEBORGS LÄN</t>
        </is>
      </c>
      <c r="E6067" t="inlineStr">
        <is>
          <t>HUDIKSVALL</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60275-2022</t>
        </is>
      </c>
      <c r="B6068" s="1" t="n">
        <v>44910</v>
      </c>
      <c r="C6068" s="1" t="n">
        <v>45677</v>
      </c>
      <c r="D6068" t="inlineStr">
        <is>
          <t>GÄVLEBORGS LÄN</t>
        </is>
      </c>
      <c r="E6068" t="inlineStr">
        <is>
          <t>OVANÅKER</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60273-2022</t>
        </is>
      </c>
      <c r="B6069" s="1" t="n">
        <v>44910</v>
      </c>
      <c r="C6069" s="1" t="n">
        <v>45677</v>
      </c>
      <c r="D6069" t="inlineStr">
        <is>
          <t>GÄVLEBORGS LÄN</t>
        </is>
      </c>
      <c r="E6069" t="inlineStr">
        <is>
          <t>LJUSDAL</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60283-2022</t>
        </is>
      </c>
      <c r="B6070" s="1" t="n">
        <v>44910</v>
      </c>
      <c r="C6070" s="1" t="n">
        <v>45677</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60335-2022</t>
        </is>
      </c>
      <c r="B6071" s="1" t="n">
        <v>44910</v>
      </c>
      <c r="C6071" s="1" t="n">
        <v>45677</v>
      </c>
      <c r="D6071" t="inlineStr">
        <is>
          <t>GÄVLEBORGS LÄN</t>
        </is>
      </c>
      <c r="E6071" t="inlineStr">
        <is>
          <t>BOLLNÄS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60371-2022</t>
        </is>
      </c>
      <c r="B6072" s="1" t="n">
        <v>44910</v>
      </c>
      <c r="C6072" s="1" t="n">
        <v>45677</v>
      </c>
      <c r="D6072" t="inlineStr">
        <is>
          <t>GÄVLEBORGS LÄN</t>
        </is>
      </c>
      <c r="E6072" t="inlineStr">
        <is>
          <t>GÄVLE</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60375-2022</t>
        </is>
      </c>
      <c r="B6073" s="1" t="n">
        <v>44910</v>
      </c>
      <c r="C6073" s="1" t="n">
        <v>45677</v>
      </c>
      <c r="D6073" t="inlineStr">
        <is>
          <t>GÄVLEBORGS LÄN</t>
        </is>
      </c>
      <c r="E6073" t="inlineStr">
        <is>
          <t>HUDIKSVALL</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60396-2022</t>
        </is>
      </c>
      <c r="B6074" s="1" t="n">
        <v>44910</v>
      </c>
      <c r="C6074" s="1" t="n">
        <v>45677</v>
      </c>
      <c r="D6074" t="inlineStr">
        <is>
          <t>GÄVLEBORGS LÄN</t>
        </is>
      </c>
      <c r="E6074" t="inlineStr">
        <is>
          <t>GÄVLE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60291-2022</t>
        </is>
      </c>
      <c r="B6075" s="1" t="n">
        <v>44910</v>
      </c>
      <c r="C6075" s="1" t="n">
        <v>45677</v>
      </c>
      <c r="D6075" t="inlineStr">
        <is>
          <t>GÄVLEBORGS LÄN</t>
        </is>
      </c>
      <c r="E6075" t="inlineStr">
        <is>
          <t>OVANÅKER</t>
        </is>
      </c>
      <c r="F6075" t="inlineStr">
        <is>
          <t>Sveaskog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60349-2022</t>
        </is>
      </c>
      <c r="B6076" s="1" t="n">
        <v>44910</v>
      </c>
      <c r="C6076" s="1" t="n">
        <v>45677</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60376-2022</t>
        </is>
      </c>
      <c r="B6077" s="1" t="n">
        <v>44910</v>
      </c>
      <c r="C6077" s="1" t="n">
        <v>45677</v>
      </c>
      <c r="D6077" t="inlineStr">
        <is>
          <t>GÄVLEBORGS LÄN</t>
        </is>
      </c>
      <c r="E6077" t="inlineStr">
        <is>
          <t>GÄVLE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60370-2022</t>
        </is>
      </c>
      <c r="B6078" s="1" t="n">
        <v>44910</v>
      </c>
      <c r="C6078" s="1" t="n">
        <v>45677</v>
      </c>
      <c r="D6078" t="inlineStr">
        <is>
          <t>GÄVLEBORGS LÄN</t>
        </is>
      </c>
      <c r="E6078" t="inlineStr">
        <is>
          <t>HUDIKSVALL</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60442-2022</t>
        </is>
      </c>
      <c r="B6079" s="1" t="n">
        <v>44911</v>
      </c>
      <c r="C6079" s="1" t="n">
        <v>45677</v>
      </c>
      <c r="D6079" t="inlineStr">
        <is>
          <t>GÄVLEBORGS LÄN</t>
        </is>
      </c>
      <c r="E6079" t="inlineStr">
        <is>
          <t>GÄVLE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60588-2022</t>
        </is>
      </c>
      <c r="B6080" s="1" t="n">
        <v>44911</v>
      </c>
      <c r="C6080" s="1" t="n">
        <v>45677</v>
      </c>
      <c r="D6080" t="inlineStr">
        <is>
          <t>GÄVLEBORGS LÄN</t>
        </is>
      </c>
      <c r="E6080" t="inlineStr">
        <is>
          <t>HUDIKSVALL</t>
        </is>
      </c>
      <c r="F6080" t="inlineStr">
        <is>
          <t>Holmen skog AB</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60517-2022</t>
        </is>
      </c>
      <c r="B6081" s="1" t="n">
        <v>44911</v>
      </c>
      <c r="C6081" s="1" t="n">
        <v>45677</v>
      </c>
      <c r="D6081" t="inlineStr">
        <is>
          <t>GÄVLEBORGS LÄN</t>
        </is>
      </c>
      <c r="E6081" t="inlineStr">
        <is>
          <t>HUDIKSVALL</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60541-2022</t>
        </is>
      </c>
      <c r="B6082" s="1" t="n">
        <v>44911</v>
      </c>
      <c r="C6082" s="1" t="n">
        <v>45677</v>
      </c>
      <c r="D6082" t="inlineStr">
        <is>
          <t>GÄVLEBORGS LÄN</t>
        </is>
      </c>
      <c r="E6082" t="inlineStr">
        <is>
          <t>LJUSDAL</t>
        </is>
      </c>
      <c r="F6082" t="inlineStr">
        <is>
          <t>Bergvik skog väst AB</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60500-2022</t>
        </is>
      </c>
      <c r="B6083" s="1" t="n">
        <v>44911</v>
      </c>
      <c r="C6083" s="1" t="n">
        <v>45677</v>
      </c>
      <c r="D6083" t="inlineStr">
        <is>
          <t>GÄVLEBORGS LÄN</t>
        </is>
      </c>
      <c r="E6083" t="inlineStr">
        <is>
          <t>HUDIKSVALL</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60449-2022</t>
        </is>
      </c>
      <c r="B6084" s="1" t="n">
        <v>44911</v>
      </c>
      <c r="C6084" s="1" t="n">
        <v>45677</v>
      </c>
      <c r="D6084" t="inlineStr">
        <is>
          <t>GÄVLEBORGS LÄN</t>
        </is>
      </c>
      <c r="E6084" t="inlineStr">
        <is>
          <t>OVANÅKER</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60553-2022</t>
        </is>
      </c>
      <c r="B6085" s="1" t="n">
        <v>44911</v>
      </c>
      <c r="C6085" s="1" t="n">
        <v>45677</v>
      </c>
      <c r="D6085" t="inlineStr">
        <is>
          <t>GÄVLEBORGS LÄN</t>
        </is>
      </c>
      <c r="E6085" t="inlineStr">
        <is>
          <t>LJUSDAL</t>
        </is>
      </c>
      <c r="F6085" t="inlineStr">
        <is>
          <t>Bergvik skog väst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60778-2022</t>
        </is>
      </c>
      <c r="B6086" s="1" t="n">
        <v>44914</v>
      </c>
      <c r="C6086" s="1" t="n">
        <v>45677</v>
      </c>
      <c r="D6086" t="inlineStr">
        <is>
          <t>GÄVLEBORGS LÄN</t>
        </is>
      </c>
      <c r="E6086" t="inlineStr">
        <is>
          <t>OVANÅKER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60839-2022</t>
        </is>
      </c>
      <c r="B6087" s="1" t="n">
        <v>44914</v>
      </c>
      <c r="C6087" s="1" t="n">
        <v>45677</v>
      </c>
      <c r="D6087" t="inlineStr">
        <is>
          <t>GÄVLEBORGS LÄN</t>
        </is>
      </c>
      <c r="E6087" t="inlineStr">
        <is>
          <t>HUDIKSVALL</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60779-2022</t>
        </is>
      </c>
      <c r="B6088" s="1" t="n">
        <v>44914</v>
      </c>
      <c r="C6088" s="1" t="n">
        <v>45677</v>
      </c>
      <c r="D6088" t="inlineStr">
        <is>
          <t>GÄVLEBORGS LÄN</t>
        </is>
      </c>
      <c r="E6088" t="inlineStr">
        <is>
          <t>OVANÅKER</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60847-2022</t>
        </is>
      </c>
      <c r="B6089" s="1" t="n">
        <v>44914</v>
      </c>
      <c r="C6089" s="1" t="n">
        <v>45677</v>
      </c>
      <c r="D6089" t="inlineStr">
        <is>
          <t>GÄVLEBORGS LÄN</t>
        </is>
      </c>
      <c r="E6089" t="inlineStr">
        <is>
          <t>HUDIKSVALL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60872-2022</t>
        </is>
      </c>
      <c r="B6090" s="1" t="n">
        <v>44914</v>
      </c>
      <c r="C6090" s="1" t="n">
        <v>45677</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60884-2022</t>
        </is>
      </c>
      <c r="B6091" s="1" t="n">
        <v>44914</v>
      </c>
      <c r="C6091" s="1" t="n">
        <v>45677</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60908-2022</t>
        </is>
      </c>
      <c r="B6092" s="1" t="n">
        <v>44914</v>
      </c>
      <c r="C6092" s="1" t="n">
        <v>45677</v>
      </c>
      <c r="D6092" t="inlineStr">
        <is>
          <t>GÄVLEBORGS LÄN</t>
        </is>
      </c>
      <c r="E6092" t="inlineStr">
        <is>
          <t>SANDVIKEN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60945-2022</t>
        </is>
      </c>
      <c r="B6093" s="1" t="n">
        <v>44914</v>
      </c>
      <c r="C6093" s="1" t="n">
        <v>45677</v>
      </c>
      <c r="D6093" t="inlineStr">
        <is>
          <t>GÄVLEBORGS LÄN</t>
        </is>
      </c>
      <c r="E6093" t="inlineStr">
        <is>
          <t>HUDIKSVALL</t>
        </is>
      </c>
      <c r="F6093" t="inlineStr">
        <is>
          <t>Holmen skog AB</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60956-2022</t>
        </is>
      </c>
      <c r="B6094" s="1" t="n">
        <v>44914</v>
      </c>
      <c r="C6094" s="1" t="n">
        <v>45677</v>
      </c>
      <c r="D6094" t="inlineStr">
        <is>
          <t>GÄVLEBORGS LÄN</t>
        </is>
      </c>
      <c r="E6094" t="inlineStr">
        <is>
          <t>BOLLNÄS</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60886-2022</t>
        </is>
      </c>
      <c r="B6095" s="1" t="n">
        <v>44914</v>
      </c>
      <c r="C6095" s="1" t="n">
        <v>45677</v>
      </c>
      <c r="D6095" t="inlineStr">
        <is>
          <t>GÄVLEBORGS LÄN</t>
        </is>
      </c>
      <c r="E6095" t="inlineStr">
        <is>
          <t>HUDIKSVALL</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60893-2022</t>
        </is>
      </c>
      <c r="B6096" s="1" t="n">
        <v>44914</v>
      </c>
      <c r="C6096" s="1" t="n">
        <v>45677</v>
      </c>
      <c r="D6096" t="inlineStr">
        <is>
          <t>GÄVLEBORGS LÄN</t>
        </is>
      </c>
      <c r="E6096" t="inlineStr">
        <is>
          <t>BOLLNÄS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60936-2022</t>
        </is>
      </c>
      <c r="B6097" s="1" t="n">
        <v>44914</v>
      </c>
      <c r="C6097" s="1" t="n">
        <v>45677</v>
      </c>
      <c r="D6097" t="inlineStr">
        <is>
          <t>GÄVLEBORGS LÄN</t>
        </is>
      </c>
      <c r="E6097" t="inlineStr">
        <is>
          <t>SANDVIKEN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60903-2022</t>
        </is>
      </c>
      <c r="B6098" s="1" t="n">
        <v>44914</v>
      </c>
      <c r="C6098" s="1" t="n">
        <v>45677</v>
      </c>
      <c r="D6098" t="inlineStr">
        <is>
          <t>GÄVLEBORGS LÄN</t>
        </is>
      </c>
      <c r="E6098" t="inlineStr">
        <is>
          <t>HUDIKSVALL</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60912-2022</t>
        </is>
      </c>
      <c r="B6099" s="1" t="n">
        <v>44914</v>
      </c>
      <c r="C6099" s="1" t="n">
        <v>45677</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61065-2022</t>
        </is>
      </c>
      <c r="B6100" s="1" t="n">
        <v>44915</v>
      </c>
      <c r="C6100" s="1" t="n">
        <v>45677</v>
      </c>
      <c r="D6100" t="inlineStr">
        <is>
          <t>GÄVLEBORGS LÄN</t>
        </is>
      </c>
      <c r="E6100" t="inlineStr">
        <is>
          <t>OVANÅKER</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61157-2022</t>
        </is>
      </c>
      <c r="B6101" s="1" t="n">
        <v>44915</v>
      </c>
      <c r="C6101" s="1" t="n">
        <v>45677</v>
      </c>
      <c r="D6101" t="inlineStr">
        <is>
          <t>GÄVLEBORGS LÄN</t>
        </is>
      </c>
      <c r="E6101" t="inlineStr">
        <is>
          <t>LJUSDAL</t>
        </is>
      </c>
      <c r="F6101" t="inlineStr">
        <is>
          <t>Kommuner</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61207-2022</t>
        </is>
      </c>
      <c r="B6102" s="1" t="n">
        <v>44915</v>
      </c>
      <c r="C6102" s="1" t="n">
        <v>45677</v>
      </c>
      <c r="D6102" t="inlineStr">
        <is>
          <t>GÄVLEBORGS LÄN</t>
        </is>
      </c>
      <c r="E6102" t="inlineStr">
        <is>
          <t>HUDIKSVALL</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61224-2022</t>
        </is>
      </c>
      <c r="B6103" s="1" t="n">
        <v>44915</v>
      </c>
      <c r="C6103" s="1" t="n">
        <v>45677</v>
      </c>
      <c r="D6103" t="inlineStr">
        <is>
          <t>GÄVLEBORGS LÄN</t>
        </is>
      </c>
      <c r="E6103" t="inlineStr">
        <is>
          <t>NORDANSTIG</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61166-2022</t>
        </is>
      </c>
      <c r="B6104" s="1" t="n">
        <v>44915</v>
      </c>
      <c r="C6104" s="1" t="n">
        <v>45677</v>
      </c>
      <c r="D6104" t="inlineStr">
        <is>
          <t>GÄVLEBORGS LÄN</t>
        </is>
      </c>
      <c r="E6104" t="inlineStr">
        <is>
          <t>SANDVIKEN</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61227-2022</t>
        </is>
      </c>
      <c r="B6105" s="1" t="n">
        <v>44915</v>
      </c>
      <c r="C6105" s="1" t="n">
        <v>45677</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61258-2022</t>
        </is>
      </c>
      <c r="B6106" s="1" t="n">
        <v>44915</v>
      </c>
      <c r="C6106" s="1" t="n">
        <v>45677</v>
      </c>
      <c r="D6106" t="inlineStr">
        <is>
          <t>GÄVLEBORGS LÄN</t>
        </is>
      </c>
      <c r="E6106" t="inlineStr">
        <is>
          <t>HUDIKSVALL</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61276-2022</t>
        </is>
      </c>
      <c r="B6107" s="1" t="n">
        <v>44915</v>
      </c>
      <c r="C6107" s="1" t="n">
        <v>45677</v>
      </c>
      <c r="D6107" t="inlineStr">
        <is>
          <t>GÄVLEBORGS LÄN</t>
        </is>
      </c>
      <c r="E6107" t="inlineStr">
        <is>
          <t>NORDANSTIG</t>
        </is>
      </c>
      <c r="F6107" t="inlineStr">
        <is>
          <t>Holmen skog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61124-2022</t>
        </is>
      </c>
      <c r="B6108" s="1" t="n">
        <v>44915</v>
      </c>
      <c r="C6108" s="1" t="n">
        <v>45677</v>
      </c>
      <c r="D6108" t="inlineStr">
        <is>
          <t>GÄVLEBORGS LÄN</t>
        </is>
      </c>
      <c r="E6108" t="inlineStr">
        <is>
          <t>LJUSDAL</t>
        </is>
      </c>
      <c r="F6108" t="inlineStr">
        <is>
          <t>Holmen skog AB</t>
        </is>
      </c>
      <c r="G6108" t="n">
        <v>12.1</v>
      </c>
      <c r="H6108" t="n">
        <v>0</v>
      </c>
      <c r="I6108" t="n">
        <v>0</v>
      </c>
      <c r="J6108" t="n">
        <v>0</v>
      </c>
      <c r="K6108" t="n">
        <v>0</v>
      </c>
      <c r="L6108" t="n">
        <v>0</v>
      </c>
      <c r="M6108" t="n">
        <v>0</v>
      </c>
      <c r="N6108" t="n">
        <v>0</v>
      </c>
      <c r="O6108" t="n">
        <v>0</v>
      </c>
      <c r="P6108" t="n">
        <v>0</v>
      </c>
      <c r="Q6108" t="n">
        <v>0</v>
      </c>
      <c r="R6108" s="2" t="inlineStr"/>
    </row>
    <row r="6109" ht="15" customHeight="1">
      <c r="A6109" t="inlineStr">
        <is>
          <t>A 61120-2022</t>
        </is>
      </c>
      <c r="B6109" s="1" t="n">
        <v>44915</v>
      </c>
      <c r="C6109" s="1" t="n">
        <v>45677</v>
      </c>
      <c r="D6109" t="inlineStr">
        <is>
          <t>GÄVLEBORGS LÄN</t>
        </is>
      </c>
      <c r="E6109" t="inlineStr">
        <is>
          <t>NORDANSTIG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61214-2022</t>
        </is>
      </c>
      <c r="B6110" s="1" t="n">
        <v>44915</v>
      </c>
      <c r="C6110" s="1" t="n">
        <v>45677</v>
      </c>
      <c r="D6110" t="inlineStr">
        <is>
          <t>GÄVLEBORGS LÄN</t>
        </is>
      </c>
      <c r="E6110" t="inlineStr">
        <is>
          <t>BOLLNÄS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61280-2022</t>
        </is>
      </c>
      <c r="B6111" s="1" t="n">
        <v>44915</v>
      </c>
      <c r="C6111" s="1" t="n">
        <v>45677</v>
      </c>
      <c r="D6111" t="inlineStr">
        <is>
          <t>GÄVLEBORGS LÄN</t>
        </is>
      </c>
      <c r="E6111" t="inlineStr">
        <is>
          <t>NORDANSTIG</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61366-2022</t>
        </is>
      </c>
      <c r="B6112" s="1" t="n">
        <v>44915</v>
      </c>
      <c r="C6112" s="1" t="n">
        <v>45677</v>
      </c>
      <c r="D6112" t="inlineStr">
        <is>
          <t>GÄVLEBORGS LÄN</t>
        </is>
      </c>
      <c r="E6112" t="inlineStr">
        <is>
          <t>NORDANSTIG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61130-2022</t>
        </is>
      </c>
      <c r="B6113" s="1" t="n">
        <v>44915</v>
      </c>
      <c r="C6113" s="1" t="n">
        <v>45677</v>
      </c>
      <c r="D6113" t="inlineStr">
        <is>
          <t>GÄVLEBORGS LÄN</t>
        </is>
      </c>
      <c r="E6113" t="inlineStr">
        <is>
          <t>OCKELBO</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61141-2022</t>
        </is>
      </c>
      <c r="B6114" s="1" t="n">
        <v>44915</v>
      </c>
      <c r="C6114" s="1" t="n">
        <v>45677</v>
      </c>
      <c r="D6114" t="inlineStr">
        <is>
          <t>GÄVLEBORGS LÄN</t>
        </is>
      </c>
      <c r="E6114" t="inlineStr">
        <is>
          <t>NORDANSTIG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61167-2022</t>
        </is>
      </c>
      <c r="B6115" s="1" t="n">
        <v>44915</v>
      </c>
      <c r="C6115" s="1" t="n">
        <v>45677</v>
      </c>
      <c r="D6115" t="inlineStr">
        <is>
          <t>GÄVLEBORGS LÄN</t>
        </is>
      </c>
      <c r="E6115" t="inlineStr">
        <is>
          <t>SANDVIKEN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61220-2022</t>
        </is>
      </c>
      <c r="B6116" s="1" t="n">
        <v>44915</v>
      </c>
      <c r="C6116" s="1" t="n">
        <v>45677</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61335-2022</t>
        </is>
      </c>
      <c r="B6117" s="1" t="n">
        <v>44915</v>
      </c>
      <c r="C6117" s="1" t="n">
        <v>45677</v>
      </c>
      <c r="D6117" t="inlineStr">
        <is>
          <t>GÄVLEBORGS LÄN</t>
        </is>
      </c>
      <c r="E6117" t="inlineStr">
        <is>
          <t>OCKELBO</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61561-2022</t>
        </is>
      </c>
      <c r="B6118" s="1" t="n">
        <v>44916</v>
      </c>
      <c r="C6118" s="1" t="n">
        <v>45677</v>
      </c>
      <c r="D6118" t="inlineStr">
        <is>
          <t>GÄVLEBORGS LÄN</t>
        </is>
      </c>
      <c r="E6118" t="inlineStr">
        <is>
          <t>NORDANSTIG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61512-2022</t>
        </is>
      </c>
      <c r="B6119" s="1" t="n">
        <v>44916</v>
      </c>
      <c r="C6119" s="1" t="n">
        <v>45677</v>
      </c>
      <c r="D6119" t="inlineStr">
        <is>
          <t>GÄVLEBORGS LÄN</t>
        </is>
      </c>
      <c r="E6119" t="inlineStr">
        <is>
          <t>GÄVLE</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61592-2022</t>
        </is>
      </c>
      <c r="B6120" s="1" t="n">
        <v>44916</v>
      </c>
      <c r="C6120" s="1" t="n">
        <v>45677</v>
      </c>
      <c r="D6120" t="inlineStr">
        <is>
          <t>GÄVLEBORGS LÄN</t>
        </is>
      </c>
      <c r="E6120" t="inlineStr">
        <is>
          <t>BOLLNÄS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61536-2022</t>
        </is>
      </c>
      <c r="B6121" s="1" t="n">
        <v>44916</v>
      </c>
      <c r="C6121" s="1" t="n">
        <v>45677</v>
      </c>
      <c r="D6121" t="inlineStr">
        <is>
          <t>GÄVLEBORGS LÄN</t>
        </is>
      </c>
      <c r="E6121" t="inlineStr">
        <is>
          <t>HUDIKSVALL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61603-2022</t>
        </is>
      </c>
      <c r="B6122" s="1" t="n">
        <v>44916</v>
      </c>
      <c r="C6122" s="1" t="n">
        <v>45677</v>
      </c>
      <c r="D6122" t="inlineStr">
        <is>
          <t>GÄVLEBORGS LÄN</t>
        </is>
      </c>
      <c r="E6122" t="inlineStr">
        <is>
          <t>LJUSDAL</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61639-2022</t>
        </is>
      </c>
      <c r="B6123" s="1" t="n">
        <v>44916</v>
      </c>
      <c r="C6123" s="1" t="n">
        <v>45677</v>
      </c>
      <c r="D6123" t="inlineStr">
        <is>
          <t>GÄVLEBORGS LÄN</t>
        </is>
      </c>
      <c r="E6123" t="inlineStr">
        <is>
          <t>NORDANSTIG</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61827-2022</t>
        </is>
      </c>
      <c r="B6124" s="1" t="n">
        <v>44917</v>
      </c>
      <c r="C6124" s="1" t="n">
        <v>45677</v>
      </c>
      <c r="D6124" t="inlineStr">
        <is>
          <t>GÄVLEBORGS LÄN</t>
        </is>
      </c>
      <c r="E6124" t="inlineStr">
        <is>
          <t>OVANÅKER</t>
        </is>
      </c>
      <c r="G6124" t="n">
        <v>15.9</v>
      </c>
      <c r="H6124" t="n">
        <v>0</v>
      </c>
      <c r="I6124" t="n">
        <v>0</v>
      </c>
      <c r="J6124" t="n">
        <v>0</v>
      </c>
      <c r="K6124" t="n">
        <v>0</v>
      </c>
      <c r="L6124" t="n">
        <v>0</v>
      </c>
      <c r="M6124" t="n">
        <v>0</v>
      </c>
      <c r="N6124" t="n">
        <v>0</v>
      </c>
      <c r="O6124" t="n">
        <v>0</v>
      </c>
      <c r="P6124" t="n">
        <v>0</v>
      </c>
      <c r="Q6124" t="n">
        <v>0</v>
      </c>
      <c r="R6124" s="2" t="inlineStr"/>
    </row>
    <row r="6125" ht="15" customHeight="1">
      <c r="A6125" t="inlineStr">
        <is>
          <t>A 61754-2022</t>
        </is>
      </c>
      <c r="B6125" s="1" t="n">
        <v>44917</v>
      </c>
      <c r="C6125" s="1" t="n">
        <v>45677</v>
      </c>
      <c r="D6125" t="inlineStr">
        <is>
          <t>GÄVLEBORGS LÄN</t>
        </is>
      </c>
      <c r="E6125" t="inlineStr">
        <is>
          <t>OCKELBO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61928-2022</t>
        </is>
      </c>
      <c r="B6126" s="1" t="n">
        <v>44917</v>
      </c>
      <c r="C6126" s="1" t="n">
        <v>45677</v>
      </c>
      <c r="D6126" t="inlineStr">
        <is>
          <t>GÄVLEBORGS LÄN</t>
        </is>
      </c>
      <c r="E6126" t="inlineStr">
        <is>
          <t>SÖDERHAMN</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61900-2022</t>
        </is>
      </c>
      <c r="B6127" s="1" t="n">
        <v>44917</v>
      </c>
      <c r="C6127" s="1" t="n">
        <v>45677</v>
      </c>
      <c r="D6127" t="inlineStr">
        <is>
          <t>GÄVLEBORGS LÄN</t>
        </is>
      </c>
      <c r="E6127" t="inlineStr">
        <is>
          <t>BOLLNÄS</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61927-2022</t>
        </is>
      </c>
      <c r="B6128" s="1" t="n">
        <v>44917</v>
      </c>
      <c r="C6128" s="1" t="n">
        <v>45677</v>
      </c>
      <c r="D6128" t="inlineStr">
        <is>
          <t>GÄVLEBORGS LÄN</t>
        </is>
      </c>
      <c r="E6128" t="inlineStr">
        <is>
          <t>SÖDERHAMN</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62024-2022</t>
        </is>
      </c>
      <c r="B6129" s="1" t="n">
        <v>44918</v>
      </c>
      <c r="C6129" s="1" t="n">
        <v>45677</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62056-2022</t>
        </is>
      </c>
      <c r="B6130" s="1" t="n">
        <v>44918</v>
      </c>
      <c r="C6130" s="1" t="n">
        <v>45677</v>
      </c>
      <c r="D6130" t="inlineStr">
        <is>
          <t>GÄVLEBORGS LÄN</t>
        </is>
      </c>
      <c r="E6130" t="inlineStr">
        <is>
          <t>SANDVIKEN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62047-2022</t>
        </is>
      </c>
      <c r="B6131" s="1" t="n">
        <v>44918</v>
      </c>
      <c r="C6131" s="1" t="n">
        <v>45677</v>
      </c>
      <c r="D6131" t="inlineStr">
        <is>
          <t>GÄVLEBORGS LÄN</t>
        </is>
      </c>
      <c r="E6131" t="inlineStr">
        <is>
          <t>SANDVIKEN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61938-2022</t>
        </is>
      </c>
      <c r="B6132" s="1" t="n">
        <v>44918</v>
      </c>
      <c r="C6132" s="1" t="n">
        <v>45677</v>
      </c>
      <c r="D6132" t="inlineStr">
        <is>
          <t>GÄVLEBORGS LÄN</t>
        </is>
      </c>
      <c r="E6132" t="inlineStr">
        <is>
          <t>HUDIKSVALL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61977-2022</t>
        </is>
      </c>
      <c r="B6133" s="1" t="n">
        <v>44918</v>
      </c>
      <c r="C6133" s="1" t="n">
        <v>45677</v>
      </c>
      <c r="D6133" t="inlineStr">
        <is>
          <t>GÄVLEBORGS LÄN</t>
        </is>
      </c>
      <c r="E6133" t="inlineStr">
        <is>
          <t>HUDIKSVALL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62030-2022</t>
        </is>
      </c>
      <c r="B6134" s="1" t="n">
        <v>44918</v>
      </c>
      <c r="C6134" s="1" t="n">
        <v>45677</v>
      </c>
      <c r="D6134" t="inlineStr">
        <is>
          <t>GÄVLEBORGS LÄN</t>
        </is>
      </c>
      <c r="E6134" t="inlineStr">
        <is>
          <t>LJUSDAL</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62130-2022</t>
        </is>
      </c>
      <c r="B6135" s="1" t="n">
        <v>44922</v>
      </c>
      <c r="C6135" s="1" t="n">
        <v>45677</v>
      </c>
      <c r="D6135" t="inlineStr">
        <is>
          <t>GÄVLEBORGS LÄN</t>
        </is>
      </c>
      <c r="E6135" t="inlineStr">
        <is>
          <t>GÄVLE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62255-2022</t>
        </is>
      </c>
      <c r="B6136" s="1" t="n">
        <v>44922</v>
      </c>
      <c r="C6136" s="1" t="n">
        <v>45677</v>
      </c>
      <c r="D6136" t="inlineStr">
        <is>
          <t>GÄVLEBORGS LÄN</t>
        </is>
      </c>
      <c r="E6136" t="inlineStr">
        <is>
          <t>GÄVLE</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62128-2022</t>
        </is>
      </c>
      <c r="B6137" s="1" t="n">
        <v>44922</v>
      </c>
      <c r="C6137" s="1" t="n">
        <v>45677</v>
      </c>
      <c r="D6137" t="inlineStr">
        <is>
          <t>GÄVLEBORGS LÄN</t>
        </is>
      </c>
      <c r="E6137" t="inlineStr">
        <is>
          <t>GÄVLE</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62215-2022</t>
        </is>
      </c>
      <c r="B6138" s="1" t="n">
        <v>44922</v>
      </c>
      <c r="C6138" s="1" t="n">
        <v>45677</v>
      </c>
      <c r="D6138" t="inlineStr">
        <is>
          <t>GÄVLEBORGS LÄN</t>
        </is>
      </c>
      <c r="E6138" t="inlineStr">
        <is>
          <t>OVANÅKER</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62200-2022</t>
        </is>
      </c>
      <c r="B6139" s="1" t="n">
        <v>44922</v>
      </c>
      <c r="C6139" s="1" t="n">
        <v>45677</v>
      </c>
      <c r="D6139" t="inlineStr">
        <is>
          <t>GÄVLEBORGS LÄN</t>
        </is>
      </c>
      <c r="E6139" t="inlineStr">
        <is>
          <t>LJUSDAL</t>
        </is>
      </c>
      <c r="F6139" t="inlineStr">
        <is>
          <t>Holmen skog AB</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62213-2022</t>
        </is>
      </c>
      <c r="B6140" s="1" t="n">
        <v>44922</v>
      </c>
      <c r="C6140" s="1" t="n">
        <v>45677</v>
      </c>
      <c r="D6140" t="inlineStr">
        <is>
          <t>GÄVLEBORGS LÄN</t>
        </is>
      </c>
      <c r="E6140" t="inlineStr">
        <is>
          <t>HUDIKSVALL</t>
        </is>
      </c>
      <c r="F6140" t="inlineStr">
        <is>
          <t>Holmen skog AB</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62362-2022</t>
        </is>
      </c>
      <c r="B6141" s="1" t="n">
        <v>44923</v>
      </c>
      <c r="C6141" s="1" t="n">
        <v>45677</v>
      </c>
      <c r="D6141" t="inlineStr">
        <is>
          <t>GÄVLEBORGS LÄN</t>
        </is>
      </c>
      <c r="E6141" t="inlineStr">
        <is>
          <t>OVANÅKER</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62420-2022</t>
        </is>
      </c>
      <c r="B6142" s="1" t="n">
        <v>44924</v>
      </c>
      <c r="C6142" s="1" t="n">
        <v>45677</v>
      </c>
      <c r="D6142" t="inlineStr">
        <is>
          <t>GÄVLEBORGS LÄN</t>
        </is>
      </c>
      <c r="E6142" t="inlineStr">
        <is>
          <t>LJUSDAL</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62489-2022</t>
        </is>
      </c>
      <c r="B6143" s="1" t="n">
        <v>44924</v>
      </c>
      <c r="C6143" s="1" t="n">
        <v>45677</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62620-2022</t>
        </is>
      </c>
      <c r="B6144" s="1" t="n">
        <v>44925</v>
      </c>
      <c r="C6144" s="1" t="n">
        <v>45677</v>
      </c>
      <c r="D6144" t="inlineStr">
        <is>
          <t>GÄVLEBORGS LÄN</t>
        </is>
      </c>
      <c r="E6144" t="inlineStr">
        <is>
          <t>LJUSDAL</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62631-2022</t>
        </is>
      </c>
      <c r="B6145" s="1" t="n">
        <v>44925</v>
      </c>
      <c r="C6145" s="1" t="n">
        <v>45677</v>
      </c>
      <c r="D6145" t="inlineStr">
        <is>
          <t>GÄVLEBORGS LÄN</t>
        </is>
      </c>
      <c r="E6145" t="inlineStr">
        <is>
          <t>LJUSDAL</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62602-2022</t>
        </is>
      </c>
      <c r="B6146" s="1" t="n">
        <v>44925</v>
      </c>
      <c r="C6146" s="1" t="n">
        <v>45677</v>
      </c>
      <c r="D6146" t="inlineStr">
        <is>
          <t>GÄVLEBORGS LÄN</t>
        </is>
      </c>
      <c r="E6146" t="inlineStr">
        <is>
          <t>SÖDERHAMN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11-2023</t>
        </is>
      </c>
      <c r="B6147" s="1" t="n">
        <v>44927</v>
      </c>
      <c r="C6147" s="1" t="n">
        <v>45677</v>
      </c>
      <c r="D6147" t="inlineStr">
        <is>
          <t>GÄVLEBORGS LÄN</t>
        </is>
      </c>
      <c r="E6147" t="inlineStr">
        <is>
          <t>GÄVLE</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104-2023</t>
        </is>
      </c>
      <c r="B6148" s="1" t="n">
        <v>44928</v>
      </c>
      <c r="C6148" s="1" t="n">
        <v>45677</v>
      </c>
      <c r="D6148" t="inlineStr">
        <is>
          <t>GÄVLEBORGS LÄN</t>
        </is>
      </c>
      <c r="E6148" t="inlineStr">
        <is>
          <t>HUDIKSVALL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138-2023</t>
        </is>
      </c>
      <c r="B6149" s="1" t="n">
        <v>44928</v>
      </c>
      <c r="C6149" s="1" t="n">
        <v>45677</v>
      </c>
      <c r="D6149" t="inlineStr">
        <is>
          <t>GÄVLEBORGS LÄN</t>
        </is>
      </c>
      <c r="E6149" t="inlineStr">
        <is>
          <t>GÄVLE</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300-2023</t>
        </is>
      </c>
      <c r="B6150" s="1" t="n">
        <v>44929</v>
      </c>
      <c r="C6150" s="1" t="n">
        <v>45677</v>
      </c>
      <c r="D6150" t="inlineStr">
        <is>
          <t>GÄVLEBORGS LÄN</t>
        </is>
      </c>
      <c r="E6150" t="inlineStr">
        <is>
          <t>NORDANSTIG</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313-2023</t>
        </is>
      </c>
      <c r="B6151" s="1" t="n">
        <v>44929</v>
      </c>
      <c r="C6151" s="1" t="n">
        <v>45677</v>
      </c>
      <c r="D6151" t="inlineStr">
        <is>
          <t>GÄVLEBORGS LÄN</t>
        </is>
      </c>
      <c r="E6151" t="inlineStr">
        <is>
          <t>HUDIKSVALL</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317-2023</t>
        </is>
      </c>
      <c r="B6152" s="1" t="n">
        <v>44929</v>
      </c>
      <c r="C6152" s="1" t="n">
        <v>45677</v>
      </c>
      <c r="D6152" t="inlineStr">
        <is>
          <t>GÄVLEBORGS LÄN</t>
        </is>
      </c>
      <c r="E6152" t="inlineStr">
        <is>
          <t>OCKELBO</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314-2023</t>
        </is>
      </c>
      <c r="B6153" s="1" t="n">
        <v>44929</v>
      </c>
      <c r="C6153" s="1" t="n">
        <v>45677</v>
      </c>
      <c r="D6153" t="inlineStr">
        <is>
          <t>GÄVLEBORGS LÄN</t>
        </is>
      </c>
      <c r="E6153" t="inlineStr">
        <is>
          <t>HUDIKSVALL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298-2023</t>
        </is>
      </c>
      <c r="B6154" s="1" t="n">
        <v>44929</v>
      </c>
      <c r="C6154" s="1" t="n">
        <v>45677</v>
      </c>
      <c r="D6154" t="inlineStr">
        <is>
          <t>GÄVLEBORGS LÄN</t>
        </is>
      </c>
      <c r="E6154" t="inlineStr">
        <is>
          <t>NORDANSTIG</t>
        </is>
      </c>
      <c r="F6154" t="inlineStr">
        <is>
          <t>Holmen skog AB</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310-2023</t>
        </is>
      </c>
      <c r="B6155" s="1" t="n">
        <v>44929</v>
      </c>
      <c r="C6155" s="1" t="n">
        <v>45677</v>
      </c>
      <c r="D6155" t="inlineStr">
        <is>
          <t>GÄVLEBORGS LÄN</t>
        </is>
      </c>
      <c r="E6155" t="inlineStr">
        <is>
          <t>HUDIKSVALL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327-2023</t>
        </is>
      </c>
      <c r="B6156" s="1" t="n">
        <v>44929</v>
      </c>
      <c r="C6156" s="1" t="n">
        <v>45677</v>
      </c>
      <c r="D6156" t="inlineStr">
        <is>
          <t>GÄVLEBORGS LÄN</t>
        </is>
      </c>
      <c r="E6156" t="inlineStr">
        <is>
          <t>NORDANSTIG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386-2023</t>
        </is>
      </c>
      <c r="B6157" s="1" t="n">
        <v>44929</v>
      </c>
      <c r="C6157" s="1" t="n">
        <v>45677</v>
      </c>
      <c r="D6157" t="inlineStr">
        <is>
          <t>GÄVLEBORGS LÄN</t>
        </is>
      </c>
      <c r="E6157" t="inlineStr">
        <is>
          <t>HUDIKSVALL</t>
        </is>
      </c>
      <c r="F6157" t="inlineStr">
        <is>
          <t>Holmen skog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468-2023</t>
        </is>
      </c>
      <c r="B6158" s="1" t="n">
        <v>44929</v>
      </c>
      <c r="C6158" s="1" t="n">
        <v>45677</v>
      </c>
      <c r="D6158" t="inlineStr">
        <is>
          <t>GÄVLEBORGS LÄN</t>
        </is>
      </c>
      <c r="E6158" t="inlineStr">
        <is>
          <t>BOLLNÄS</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474-2023</t>
        </is>
      </c>
      <c r="B6159" s="1" t="n">
        <v>44929</v>
      </c>
      <c r="C6159" s="1" t="n">
        <v>45677</v>
      </c>
      <c r="D6159" t="inlineStr">
        <is>
          <t>GÄVLEBORGS LÄN</t>
        </is>
      </c>
      <c r="E6159" t="inlineStr">
        <is>
          <t>LJUSDAL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533-2023</t>
        </is>
      </c>
      <c r="B6160" s="1" t="n">
        <v>44930</v>
      </c>
      <c r="C6160" s="1" t="n">
        <v>45677</v>
      </c>
      <c r="D6160" t="inlineStr">
        <is>
          <t>GÄVLEBORGS LÄN</t>
        </is>
      </c>
      <c r="E6160" t="inlineStr">
        <is>
          <t>OVANÅKER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540-2023</t>
        </is>
      </c>
      <c r="B6161" s="1" t="n">
        <v>44930</v>
      </c>
      <c r="C6161" s="1" t="n">
        <v>45677</v>
      </c>
      <c r="D6161" t="inlineStr">
        <is>
          <t>GÄVLEBORGS LÄN</t>
        </is>
      </c>
      <c r="E6161" t="inlineStr">
        <is>
          <t>OVANÅKER</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619-2023</t>
        </is>
      </c>
      <c r="B6162" s="1" t="n">
        <v>44930</v>
      </c>
      <c r="C6162" s="1" t="n">
        <v>45677</v>
      </c>
      <c r="D6162" t="inlineStr">
        <is>
          <t>GÄVLEBORGS LÄN</t>
        </is>
      </c>
      <c r="E6162" t="inlineStr">
        <is>
          <t>LJUSDAL</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673-2023</t>
        </is>
      </c>
      <c r="B6163" s="1" t="n">
        <v>44930</v>
      </c>
      <c r="C6163" s="1" t="n">
        <v>45677</v>
      </c>
      <c r="D6163" t="inlineStr">
        <is>
          <t>GÄVLEBORGS LÄN</t>
        </is>
      </c>
      <c r="E6163" t="inlineStr">
        <is>
          <t>NORDANSTIG</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599-2023</t>
        </is>
      </c>
      <c r="B6164" s="1" t="n">
        <v>44930</v>
      </c>
      <c r="C6164" s="1" t="n">
        <v>45677</v>
      </c>
      <c r="D6164" t="inlineStr">
        <is>
          <t>GÄVLEBORGS LÄN</t>
        </is>
      </c>
      <c r="E6164" t="inlineStr">
        <is>
          <t>LJUSDAL</t>
        </is>
      </c>
      <c r="F6164" t="inlineStr">
        <is>
          <t>Holmen skog AB</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565-2023</t>
        </is>
      </c>
      <c r="B6165" s="1" t="n">
        <v>44930</v>
      </c>
      <c r="C6165" s="1" t="n">
        <v>45677</v>
      </c>
      <c r="D6165" t="inlineStr">
        <is>
          <t>GÄVLEBORGS LÄN</t>
        </is>
      </c>
      <c r="E6165" t="inlineStr">
        <is>
          <t>OCKELBO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572-2023</t>
        </is>
      </c>
      <c r="B6166" s="1" t="n">
        <v>44930</v>
      </c>
      <c r="C6166" s="1" t="n">
        <v>45677</v>
      </c>
      <c r="D6166" t="inlineStr">
        <is>
          <t>GÄVLEBORGS LÄN</t>
        </is>
      </c>
      <c r="E6166" t="inlineStr">
        <is>
          <t>HUDIKSVALL</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675-2023</t>
        </is>
      </c>
      <c r="B6167" s="1" t="n">
        <v>44930</v>
      </c>
      <c r="C6167" s="1" t="n">
        <v>45677</v>
      </c>
      <c r="D6167" t="inlineStr">
        <is>
          <t>GÄVLEBORGS LÄN</t>
        </is>
      </c>
      <c r="E6167" t="inlineStr">
        <is>
          <t>NORDANSTIG</t>
        </is>
      </c>
      <c r="F6167" t="inlineStr">
        <is>
          <t>Holmen skog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766-2023</t>
        </is>
      </c>
      <c r="B6168" s="1" t="n">
        <v>44931</v>
      </c>
      <c r="C6168" s="1" t="n">
        <v>45677</v>
      </c>
      <c r="D6168" t="inlineStr">
        <is>
          <t>GÄVLEBORGS LÄN</t>
        </is>
      </c>
      <c r="E6168" t="inlineStr">
        <is>
          <t>LJUSDAL</t>
        </is>
      </c>
      <c r="F6168" t="inlineStr">
        <is>
          <t>Bergvik skog väst AB</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835-2023</t>
        </is>
      </c>
      <c r="B6169" s="1" t="n">
        <v>44931</v>
      </c>
      <c r="C6169" s="1" t="n">
        <v>45677</v>
      </c>
      <c r="D6169" t="inlineStr">
        <is>
          <t>GÄVLEBORGS LÄN</t>
        </is>
      </c>
      <c r="E6169" t="inlineStr">
        <is>
          <t>LJUSDAL</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846-2023</t>
        </is>
      </c>
      <c r="B6170" s="1" t="n">
        <v>44931</v>
      </c>
      <c r="C6170" s="1" t="n">
        <v>45677</v>
      </c>
      <c r="D6170" t="inlineStr">
        <is>
          <t>GÄVLEBORGS LÄN</t>
        </is>
      </c>
      <c r="E6170" t="inlineStr">
        <is>
          <t>LJUSDAL</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1007-2023</t>
        </is>
      </c>
      <c r="B6171" s="1" t="n">
        <v>44935</v>
      </c>
      <c r="C6171" s="1" t="n">
        <v>45677</v>
      </c>
      <c r="D6171" t="inlineStr">
        <is>
          <t>GÄVLEBORGS LÄN</t>
        </is>
      </c>
      <c r="E6171" t="inlineStr">
        <is>
          <t>GÄVLE</t>
        </is>
      </c>
      <c r="F6171" t="inlineStr">
        <is>
          <t>Bergvik skog väst AB</t>
        </is>
      </c>
      <c r="G6171" t="n">
        <v>19.3</v>
      </c>
      <c r="H6171" t="n">
        <v>0</v>
      </c>
      <c r="I6171" t="n">
        <v>0</v>
      </c>
      <c r="J6171" t="n">
        <v>0</v>
      </c>
      <c r="K6171" t="n">
        <v>0</v>
      </c>
      <c r="L6171" t="n">
        <v>0</v>
      </c>
      <c r="M6171" t="n">
        <v>0</v>
      </c>
      <c r="N6171" t="n">
        <v>0</v>
      </c>
      <c r="O6171" t="n">
        <v>0</v>
      </c>
      <c r="P6171" t="n">
        <v>0</v>
      </c>
      <c r="Q6171" t="n">
        <v>0</v>
      </c>
      <c r="R6171" s="2" t="inlineStr"/>
    </row>
    <row r="6172" ht="15" customHeight="1">
      <c r="A6172" t="inlineStr">
        <is>
          <t>A 989-2023</t>
        </is>
      </c>
      <c r="B6172" s="1" t="n">
        <v>44935</v>
      </c>
      <c r="C6172" s="1" t="n">
        <v>45677</v>
      </c>
      <c r="D6172" t="inlineStr">
        <is>
          <t>GÄVLEBORGS LÄN</t>
        </is>
      </c>
      <c r="E6172" t="inlineStr">
        <is>
          <t>GÄVLE</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1019-2023</t>
        </is>
      </c>
      <c r="B6173" s="1" t="n">
        <v>44935</v>
      </c>
      <c r="C6173" s="1" t="n">
        <v>45677</v>
      </c>
      <c r="D6173" t="inlineStr">
        <is>
          <t>GÄVLEBORGS LÄN</t>
        </is>
      </c>
      <c r="E6173" t="inlineStr">
        <is>
          <t>GÄVLE</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1078-2023</t>
        </is>
      </c>
      <c r="B6174" s="1" t="n">
        <v>44935</v>
      </c>
      <c r="C6174" s="1" t="n">
        <v>45677</v>
      </c>
      <c r="D6174" t="inlineStr">
        <is>
          <t>GÄVLEBORGS LÄN</t>
        </is>
      </c>
      <c r="E6174" t="inlineStr">
        <is>
          <t>BOLLNÄS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1067-2023</t>
        </is>
      </c>
      <c r="B6175" s="1" t="n">
        <v>44935</v>
      </c>
      <c r="C6175" s="1" t="n">
        <v>45677</v>
      </c>
      <c r="D6175" t="inlineStr">
        <is>
          <t>GÄVLEBORGS LÄN</t>
        </is>
      </c>
      <c r="E6175" t="inlineStr">
        <is>
          <t>LJUSDAL</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1005-2023</t>
        </is>
      </c>
      <c r="B6176" s="1" t="n">
        <v>44935</v>
      </c>
      <c r="C6176" s="1" t="n">
        <v>45677</v>
      </c>
      <c r="D6176" t="inlineStr">
        <is>
          <t>GÄVLEBORGS LÄN</t>
        </is>
      </c>
      <c r="E6176" t="inlineStr">
        <is>
          <t>LJUSDAL</t>
        </is>
      </c>
      <c r="F6176" t="inlineStr">
        <is>
          <t>Holmen skog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1139-2023</t>
        </is>
      </c>
      <c r="B6177" s="1" t="n">
        <v>44935</v>
      </c>
      <c r="C6177" s="1" t="n">
        <v>45677</v>
      </c>
      <c r="D6177" t="inlineStr">
        <is>
          <t>GÄVLEBORGS LÄN</t>
        </is>
      </c>
      <c r="E6177" t="inlineStr">
        <is>
          <t>BOLLNÄS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1085-2023</t>
        </is>
      </c>
      <c r="B6178" s="1" t="n">
        <v>44935</v>
      </c>
      <c r="C6178" s="1" t="n">
        <v>45677</v>
      </c>
      <c r="D6178" t="inlineStr">
        <is>
          <t>GÄVLEBORGS LÄN</t>
        </is>
      </c>
      <c r="E6178" t="inlineStr">
        <is>
          <t>BOLLNÄS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1150-2023</t>
        </is>
      </c>
      <c r="B6179" s="1" t="n">
        <v>44935</v>
      </c>
      <c r="C6179" s="1" t="n">
        <v>45677</v>
      </c>
      <c r="D6179" t="inlineStr">
        <is>
          <t>GÄVLEBORGS LÄN</t>
        </is>
      </c>
      <c r="E6179" t="inlineStr">
        <is>
          <t>OVANÅKER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1259-2023</t>
        </is>
      </c>
      <c r="B6180" s="1" t="n">
        <v>44936</v>
      </c>
      <c r="C6180" s="1" t="n">
        <v>45677</v>
      </c>
      <c r="D6180" t="inlineStr">
        <is>
          <t>GÄVLEBORGS LÄN</t>
        </is>
      </c>
      <c r="E6180" t="inlineStr">
        <is>
          <t>LJUSDAL</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1238-2023</t>
        </is>
      </c>
      <c r="B6181" s="1" t="n">
        <v>44936</v>
      </c>
      <c r="C6181" s="1" t="n">
        <v>45677</v>
      </c>
      <c r="D6181" t="inlineStr">
        <is>
          <t>GÄVLEBORGS LÄN</t>
        </is>
      </c>
      <c r="E6181" t="inlineStr">
        <is>
          <t>GÄVLE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1244-2023</t>
        </is>
      </c>
      <c r="B6182" s="1" t="n">
        <v>44936</v>
      </c>
      <c r="C6182" s="1" t="n">
        <v>45677</v>
      </c>
      <c r="D6182" t="inlineStr">
        <is>
          <t>GÄVLEBORGS LÄN</t>
        </is>
      </c>
      <c r="E6182" t="inlineStr">
        <is>
          <t>GÄVLE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1253-2023</t>
        </is>
      </c>
      <c r="B6183" s="1" t="n">
        <v>44936</v>
      </c>
      <c r="C6183" s="1" t="n">
        <v>45677</v>
      </c>
      <c r="D6183" t="inlineStr">
        <is>
          <t>GÄVLEBORGS LÄN</t>
        </is>
      </c>
      <c r="E6183" t="inlineStr">
        <is>
          <t>LJUSDAL</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1406-2023</t>
        </is>
      </c>
      <c r="B6184" s="1" t="n">
        <v>44936</v>
      </c>
      <c r="C6184" s="1" t="n">
        <v>45677</v>
      </c>
      <c r="D6184" t="inlineStr">
        <is>
          <t>GÄVLEBORGS LÄN</t>
        </is>
      </c>
      <c r="E6184" t="inlineStr">
        <is>
          <t>HUDIKSVALL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1404-2023</t>
        </is>
      </c>
      <c r="B6185" s="1" t="n">
        <v>44936</v>
      </c>
      <c r="C6185" s="1" t="n">
        <v>45677</v>
      </c>
      <c r="D6185" t="inlineStr">
        <is>
          <t>GÄVLEBORGS LÄN</t>
        </is>
      </c>
      <c r="E6185" t="inlineStr">
        <is>
          <t>HUDIKSVALL</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1812-2023</t>
        </is>
      </c>
      <c r="B6186" s="1" t="n">
        <v>44936</v>
      </c>
      <c r="C6186" s="1" t="n">
        <v>45677</v>
      </c>
      <c r="D6186" t="inlineStr">
        <is>
          <t>GÄVLEBORGS LÄN</t>
        </is>
      </c>
      <c r="E6186" t="inlineStr">
        <is>
          <t>SANDVIKEN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1453-2023</t>
        </is>
      </c>
      <c r="B6187" s="1" t="n">
        <v>44937</v>
      </c>
      <c r="C6187" s="1" t="n">
        <v>45677</v>
      </c>
      <c r="D6187" t="inlineStr">
        <is>
          <t>GÄVLEBORGS LÄN</t>
        </is>
      </c>
      <c r="E6187" t="inlineStr">
        <is>
          <t>HUDIKSVALL</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1458-2023</t>
        </is>
      </c>
      <c r="B6188" s="1" t="n">
        <v>44937</v>
      </c>
      <c r="C6188" s="1" t="n">
        <v>45677</v>
      </c>
      <c r="D6188" t="inlineStr">
        <is>
          <t>GÄVLEBORGS LÄN</t>
        </is>
      </c>
      <c r="E6188" t="inlineStr">
        <is>
          <t>SÖDERHAMN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1441-2023</t>
        </is>
      </c>
      <c r="B6189" s="1" t="n">
        <v>44937</v>
      </c>
      <c r="C6189" s="1" t="n">
        <v>45677</v>
      </c>
      <c r="D6189" t="inlineStr">
        <is>
          <t>GÄVLEBORGS LÄN</t>
        </is>
      </c>
      <c r="E6189" t="inlineStr">
        <is>
          <t>GÄVLE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1471-2023</t>
        </is>
      </c>
      <c r="B6190" s="1" t="n">
        <v>44937</v>
      </c>
      <c r="C6190" s="1" t="n">
        <v>45677</v>
      </c>
      <c r="D6190" t="inlineStr">
        <is>
          <t>GÄVLEBORGS LÄN</t>
        </is>
      </c>
      <c r="E6190" t="inlineStr">
        <is>
          <t>LJUSDAL</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1452-2023</t>
        </is>
      </c>
      <c r="B6191" s="1" t="n">
        <v>44937</v>
      </c>
      <c r="C6191" s="1" t="n">
        <v>45677</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1507-2023</t>
        </is>
      </c>
      <c r="B6192" s="1" t="n">
        <v>44937</v>
      </c>
      <c r="C6192" s="1" t="n">
        <v>45677</v>
      </c>
      <c r="D6192" t="inlineStr">
        <is>
          <t>GÄVLEBORGS LÄN</t>
        </is>
      </c>
      <c r="E6192" t="inlineStr">
        <is>
          <t>BOLLNÄS</t>
        </is>
      </c>
      <c r="F6192" t="inlineStr">
        <is>
          <t>Holmen skog AB</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1485-2023</t>
        </is>
      </c>
      <c r="B6193" s="1" t="n">
        <v>44937</v>
      </c>
      <c r="C6193" s="1" t="n">
        <v>45677</v>
      </c>
      <c r="D6193" t="inlineStr">
        <is>
          <t>GÄVLEBORGS LÄN</t>
        </is>
      </c>
      <c r="E6193" t="inlineStr">
        <is>
          <t>HUDIKSVALL</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1436-2023</t>
        </is>
      </c>
      <c r="B6194" s="1" t="n">
        <v>44937</v>
      </c>
      <c r="C6194" s="1" t="n">
        <v>45677</v>
      </c>
      <c r="D6194" t="inlineStr">
        <is>
          <t>GÄVLEBORGS LÄN</t>
        </is>
      </c>
      <c r="E6194" t="inlineStr">
        <is>
          <t>GÄVLE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1445-2023</t>
        </is>
      </c>
      <c r="B6195" s="1" t="n">
        <v>44937</v>
      </c>
      <c r="C6195" s="1" t="n">
        <v>45677</v>
      </c>
      <c r="D6195" t="inlineStr">
        <is>
          <t>GÄVLEBORGS LÄN</t>
        </is>
      </c>
      <c r="E6195" t="inlineStr">
        <is>
          <t>LJUSDAL</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1508-2023</t>
        </is>
      </c>
      <c r="B6196" s="1" t="n">
        <v>44937</v>
      </c>
      <c r="C6196" s="1" t="n">
        <v>45677</v>
      </c>
      <c r="D6196" t="inlineStr">
        <is>
          <t>GÄVLEBORGS LÄN</t>
        </is>
      </c>
      <c r="E6196" t="inlineStr">
        <is>
          <t>NORDANSTIG</t>
        </is>
      </c>
      <c r="F6196" t="inlineStr">
        <is>
          <t>Holmen skog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1584-2023</t>
        </is>
      </c>
      <c r="B6197" s="1" t="n">
        <v>44937</v>
      </c>
      <c r="C6197" s="1" t="n">
        <v>45677</v>
      </c>
      <c r="D6197" t="inlineStr">
        <is>
          <t>GÄVLEBORGS LÄN</t>
        </is>
      </c>
      <c r="E6197" t="inlineStr">
        <is>
          <t>LJUSDAL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1537-2023</t>
        </is>
      </c>
      <c r="B6198" s="1" t="n">
        <v>44937</v>
      </c>
      <c r="C6198" s="1" t="n">
        <v>45677</v>
      </c>
      <c r="D6198" t="inlineStr">
        <is>
          <t>GÄVLEBORGS LÄN</t>
        </is>
      </c>
      <c r="E6198" t="inlineStr">
        <is>
          <t>HUDIKSVALL</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1654-2023</t>
        </is>
      </c>
      <c r="B6199" s="1" t="n">
        <v>44938</v>
      </c>
      <c r="C6199" s="1" t="n">
        <v>45677</v>
      </c>
      <c r="D6199" t="inlineStr">
        <is>
          <t>GÄVLEBORGS LÄN</t>
        </is>
      </c>
      <c r="E6199" t="inlineStr">
        <is>
          <t>OCKELBO</t>
        </is>
      </c>
      <c r="F6199" t="inlineStr">
        <is>
          <t>Bergvik skog väst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1708-2023</t>
        </is>
      </c>
      <c r="B6200" s="1" t="n">
        <v>44938</v>
      </c>
      <c r="C6200" s="1" t="n">
        <v>45677</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1782-2023</t>
        </is>
      </c>
      <c r="B6201" s="1" t="n">
        <v>44938</v>
      </c>
      <c r="C6201" s="1" t="n">
        <v>45677</v>
      </c>
      <c r="D6201" t="inlineStr">
        <is>
          <t>GÄVLEBORGS LÄN</t>
        </is>
      </c>
      <c r="E6201" t="inlineStr">
        <is>
          <t>SÖDERHAMN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1809-2023</t>
        </is>
      </c>
      <c r="B6202" s="1" t="n">
        <v>44938</v>
      </c>
      <c r="C6202" s="1" t="n">
        <v>45677</v>
      </c>
      <c r="D6202" t="inlineStr">
        <is>
          <t>GÄVLEBORGS LÄN</t>
        </is>
      </c>
      <c r="E6202" t="inlineStr">
        <is>
          <t>HUDIKSVALL</t>
        </is>
      </c>
      <c r="F6202" t="inlineStr">
        <is>
          <t>Holmen skog AB</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1802-2023</t>
        </is>
      </c>
      <c r="B6203" s="1" t="n">
        <v>44938</v>
      </c>
      <c r="C6203" s="1" t="n">
        <v>45677</v>
      </c>
      <c r="D6203" t="inlineStr">
        <is>
          <t>GÄVLEBORGS LÄN</t>
        </is>
      </c>
      <c r="E6203" t="inlineStr">
        <is>
          <t>NORDANSTIG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2010-2023</t>
        </is>
      </c>
      <c r="B6204" s="1" t="n">
        <v>44939</v>
      </c>
      <c r="C6204" s="1" t="n">
        <v>45677</v>
      </c>
      <c r="D6204" t="inlineStr">
        <is>
          <t>GÄVLEBORGS LÄN</t>
        </is>
      </c>
      <c r="E6204" t="inlineStr">
        <is>
          <t>HUDIKSVALL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1891-2023</t>
        </is>
      </c>
      <c r="B6205" s="1" t="n">
        <v>44939</v>
      </c>
      <c r="C6205" s="1" t="n">
        <v>45677</v>
      </c>
      <c r="D6205" t="inlineStr">
        <is>
          <t>GÄVLEBORGS LÄN</t>
        </is>
      </c>
      <c r="E6205" t="inlineStr">
        <is>
          <t>HUDIKSVALL</t>
        </is>
      </c>
      <c r="F6205" t="inlineStr">
        <is>
          <t>Holmen skog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1902-2023</t>
        </is>
      </c>
      <c r="B6206" s="1" t="n">
        <v>44939</v>
      </c>
      <c r="C6206" s="1" t="n">
        <v>45677</v>
      </c>
      <c r="D6206" t="inlineStr">
        <is>
          <t>GÄVLEBORGS LÄN</t>
        </is>
      </c>
      <c r="E6206" t="inlineStr">
        <is>
          <t>NORDANSTIG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2013-2023</t>
        </is>
      </c>
      <c r="B6207" s="1" t="n">
        <v>44939</v>
      </c>
      <c r="C6207" s="1" t="n">
        <v>45677</v>
      </c>
      <c r="D6207" t="inlineStr">
        <is>
          <t>GÄVLEBORGS LÄN</t>
        </is>
      </c>
      <c r="E6207" t="inlineStr">
        <is>
          <t>LJUSDAL</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2035-2023</t>
        </is>
      </c>
      <c r="B6208" s="1" t="n">
        <v>44939</v>
      </c>
      <c r="C6208" s="1" t="n">
        <v>45677</v>
      </c>
      <c r="D6208" t="inlineStr">
        <is>
          <t>GÄVLEBORGS LÄN</t>
        </is>
      </c>
      <c r="E6208" t="inlineStr">
        <is>
          <t>NORDANSTIG</t>
        </is>
      </c>
      <c r="F6208" t="inlineStr">
        <is>
          <t>Holmen skog AB</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2105-2023</t>
        </is>
      </c>
      <c r="B6209" s="1" t="n">
        <v>44939</v>
      </c>
      <c r="C6209" s="1" t="n">
        <v>45677</v>
      </c>
      <c r="D6209" t="inlineStr">
        <is>
          <t>GÄVLEBORGS LÄN</t>
        </is>
      </c>
      <c r="E6209" t="inlineStr">
        <is>
          <t>NORDANSTIG</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2215-2023</t>
        </is>
      </c>
      <c r="B6210" s="1" t="n">
        <v>44942</v>
      </c>
      <c r="C6210" s="1" t="n">
        <v>45677</v>
      </c>
      <c r="D6210" t="inlineStr">
        <is>
          <t>GÄVLEBORGS LÄN</t>
        </is>
      </c>
      <c r="E6210" t="inlineStr">
        <is>
          <t>HUDIKSVALL</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2226-2023</t>
        </is>
      </c>
      <c r="B6211" s="1" t="n">
        <v>44942</v>
      </c>
      <c r="C6211" s="1" t="n">
        <v>45677</v>
      </c>
      <c r="D6211" t="inlineStr">
        <is>
          <t>GÄVLEBORGS LÄN</t>
        </is>
      </c>
      <c r="E6211" t="inlineStr">
        <is>
          <t>HUDIKSVALL</t>
        </is>
      </c>
      <c r="F6211" t="inlineStr">
        <is>
          <t>Holmen skog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2217-2023</t>
        </is>
      </c>
      <c r="B6212" s="1" t="n">
        <v>44942</v>
      </c>
      <c r="C6212" s="1" t="n">
        <v>45677</v>
      </c>
      <c r="D6212" t="inlineStr">
        <is>
          <t>GÄVLEBORGS LÄN</t>
        </is>
      </c>
      <c r="E6212" t="inlineStr">
        <is>
          <t>NORDANSTIG</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2247-2023</t>
        </is>
      </c>
      <c r="B6213" s="1" t="n">
        <v>44942</v>
      </c>
      <c r="C6213" s="1" t="n">
        <v>45677</v>
      </c>
      <c r="D6213" t="inlineStr">
        <is>
          <t>GÄVLEBORGS LÄN</t>
        </is>
      </c>
      <c r="E6213" t="inlineStr">
        <is>
          <t>GÄVLE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2248-2023</t>
        </is>
      </c>
      <c r="B6214" s="1" t="n">
        <v>44942</v>
      </c>
      <c r="C6214" s="1" t="n">
        <v>45677</v>
      </c>
      <c r="D6214" t="inlineStr">
        <is>
          <t>GÄVLEBORGS LÄN</t>
        </is>
      </c>
      <c r="E6214" t="inlineStr">
        <is>
          <t>LJUSDAL</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2330-2023</t>
        </is>
      </c>
      <c r="B6215" s="1" t="n">
        <v>44942</v>
      </c>
      <c r="C6215" s="1" t="n">
        <v>45677</v>
      </c>
      <c r="D6215" t="inlineStr">
        <is>
          <t>GÄVLEBORGS LÄN</t>
        </is>
      </c>
      <c r="E6215" t="inlineStr">
        <is>
          <t>LJUSDAL</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2378-2023</t>
        </is>
      </c>
      <c r="B6216" s="1" t="n">
        <v>44942</v>
      </c>
      <c r="C6216" s="1" t="n">
        <v>45677</v>
      </c>
      <c r="D6216" t="inlineStr">
        <is>
          <t>GÄVLEBORGS LÄN</t>
        </is>
      </c>
      <c r="E6216" t="inlineStr">
        <is>
          <t>LJUSDAL</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2249-2023</t>
        </is>
      </c>
      <c r="B6217" s="1" t="n">
        <v>44942</v>
      </c>
      <c r="C6217" s="1" t="n">
        <v>45677</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2370-2023</t>
        </is>
      </c>
      <c r="B6218" s="1" t="n">
        <v>44942</v>
      </c>
      <c r="C6218" s="1" t="n">
        <v>45677</v>
      </c>
      <c r="D6218" t="inlineStr">
        <is>
          <t>GÄVLEBORGS LÄN</t>
        </is>
      </c>
      <c r="E6218" t="inlineStr">
        <is>
          <t>LJUSDAL</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2400-2023</t>
        </is>
      </c>
      <c r="B6219" s="1" t="n">
        <v>44942</v>
      </c>
      <c r="C6219" s="1" t="n">
        <v>45677</v>
      </c>
      <c r="D6219" t="inlineStr">
        <is>
          <t>GÄVLEBORGS LÄN</t>
        </is>
      </c>
      <c r="E6219" t="inlineStr">
        <is>
          <t>GÄVLE</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2425-2023</t>
        </is>
      </c>
      <c r="B6220" s="1" t="n">
        <v>44943</v>
      </c>
      <c r="C6220" s="1" t="n">
        <v>45677</v>
      </c>
      <c r="D6220" t="inlineStr">
        <is>
          <t>GÄVLEBORGS LÄN</t>
        </is>
      </c>
      <c r="E6220" t="inlineStr">
        <is>
          <t>GÄVLE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2478-2023</t>
        </is>
      </c>
      <c r="B6221" s="1" t="n">
        <v>44943</v>
      </c>
      <c r="C6221" s="1" t="n">
        <v>45677</v>
      </c>
      <c r="D6221" t="inlineStr">
        <is>
          <t>GÄVLEBORGS LÄN</t>
        </is>
      </c>
      <c r="E6221" t="inlineStr">
        <is>
          <t>OVANÅKER</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2467-2023</t>
        </is>
      </c>
      <c r="B6222" s="1" t="n">
        <v>44943</v>
      </c>
      <c r="C6222" s="1" t="n">
        <v>45677</v>
      </c>
      <c r="D6222" t="inlineStr">
        <is>
          <t>GÄVLEBORGS LÄN</t>
        </is>
      </c>
      <c r="E6222" t="inlineStr">
        <is>
          <t>OVANÅKER</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2465-2023</t>
        </is>
      </c>
      <c r="B6223" s="1" t="n">
        <v>44943</v>
      </c>
      <c r="C6223" s="1" t="n">
        <v>45677</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2546-2023</t>
        </is>
      </c>
      <c r="B6224" s="1" t="n">
        <v>44943</v>
      </c>
      <c r="C6224" s="1" t="n">
        <v>45677</v>
      </c>
      <c r="D6224" t="inlineStr">
        <is>
          <t>GÄVLEBORGS LÄN</t>
        </is>
      </c>
      <c r="E6224" t="inlineStr">
        <is>
          <t>OVANÅKER</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2592-2023</t>
        </is>
      </c>
      <c r="B6225" s="1" t="n">
        <v>44943</v>
      </c>
      <c r="C6225" s="1" t="n">
        <v>45677</v>
      </c>
      <c r="D6225" t="inlineStr">
        <is>
          <t>GÄVLEBORGS LÄN</t>
        </is>
      </c>
      <c r="E6225" t="inlineStr">
        <is>
          <t>NORDANSTIG</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2591-2023</t>
        </is>
      </c>
      <c r="B6226" s="1" t="n">
        <v>44943</v>
      </c>
      <c r="C6226" s="1" t="n">
        <v>45677</v>
      </c>
      <c r="D6226" t="inlineStr">
        <is>
          <t>GÄVLEBORGS LÄN</t>
        </is>
      </c>
      <c r="E6226" t="inlineStr">
        <is>
          <t>HUDIKSVALL</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2539-2023</t>
        </is>
      </c>
      <c r="B6227" s="1" t="n">
        <v>44943</v>
      </c>
      <c r="C6227" s="1" t="n">
        <v>45677</v>
      </c>
      <c r="D6227" t="inlineStr">
        <is>
          <t>GÄVLEBORGS LÄN</t>
        </is>
      </c>
      <c r="E6227" t="inlineStr">
        <is>
          <t>BOLLNÄS</t>
        </is>
      </c>
      <c r="G6227" t="n">
        <v>14.6</v>
      </c>
      <c r="H6227" t="n">
        <v>0</v>
      </c>
      <c r="I6227" t="n">
        <v>0</v>
      </c>
      <c r="J6227" t="n">
        <v>0</v>
      </c>
      <c r="K6227" t="n">
        <v>0</v>
      </c>
      <c r="L6227" t="n">
        <v>0</v>
      </c>
      <c r="M6227" t="n">
        <v>0</v>
      </c>
      <c r="N6227" t="n">
        <v>0</v>
      </c>
      <c r="O6227" t="n">
        <v>0</v>
      </c>
      <c r="P6227" t="n">
        <v>0</v>
      </c>
      <c r="Q6227" t="n">
        <v>0</v>
      </c>
      <c r="R6227" s="2" t="inlineStr"/>
    </row>
    <row r="6228" ht="15" customHeight="1">
      <c r="A6228" t="inlineStr">
        <is>
          <t>A 2557-2023</t>
        </is>
      </c>
      <c r="B6228" s="1" t="n">
        <v>44943</v>
      </c>
      <c r="C6228" s="1" t="n">
        <v>45677</v>
      </c>
      <c r="D6228" t="inlineStr">
        <is>
          <t>GÄVLEBORGS LÄN</t>
        </is>
      </c>
      <c r="E6228" t="inlineStr">
        <is>
          <t>NORDANSTIG</t>
        </is>
      </c>
      <c r="F6228" t="inlineStr">
        <is>
          <t>Holmen skog AB</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2760-2023</t>
        </is>
      </c>
      <c r="B6229" s="1" t="n">
        <v>44944</v>
      </c>
      <c r="C6229" s="1" t="n">
        <v>45677</v>
      </c>
      <c r="D6229" t="inlineStr">
        <is>
          <t>GÄVLEBORGS LÄN</t>
        </is>
      </c>
      <c r="E6229" t="inlineStr">
        <is>
          <t>SANDVIKEN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2696-2023</t>
        </is>
      </c>
      <c r="B6230" s="1" t="n">
        <v>44944</v>
      </c>
      <c r="C6230" s="1" t="n">
        <v>45677</v>
      </c>
      <c r="D6230" t="inlineStr">
        <is>
          <t>GÄVLEBORGS LÄN</t>
        </is>
      </c>
      <c r="E6230" t="inlineStr">
        <is>
          <t>GÄVLE</t>
        </is>
      </c>
      <c r="F6230" t="inlineStr">
        <is>
          <t>Kyrkan</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2811-2023</t>
        </is>
      </c>
      <c r="B6231" s="1" t="n">
        <v>44944</v>
      </c>
      <c r="C6231" s="1" t="n">
        <v>45677</v>
      </c>
      <c r="D6231" t="inlineStr">
        <is>
          <t>GÄVLEBORGS LÄN</t>
        </is>
      </c>
      <c r="E6231" t="inlineStr">
        <is>
          <t>HUDIKSVALL</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2935-2023</t>
        </is>
      </c>
      <c r="B6232" s="1" t="n">
        <v>44944</v>
      </c>
      <c r="C6232" s="1" t="n">
        <v>45677</v>
      </c>
      <c r="D6232" t="inlineStr">
        <is>
          <t>GÄVLEBORGS LÄN</t>
        </is>
      </c>
      <c r="E6232" t="inlineStr">
        <is>
          <t>BOLLNÄS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2833-2023</t>
        </is>
      </c>
      <c r="B6233" s="1" t="n">
        <v>44945</v>
      </c>
      <c r="C6233" s="1" t="n">
        <v>45677</v>
      </c>
      <c r="D6233" t="inlineStr">
        <is>
          <t>GÄVLEBORGS LÄN</t>
        </is>
      </c>
      <c r="E6233" t="inlineStr">
        <is>
          <t>HUDIKSVALL</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2861-2023</t>
        </is>
      </c>
      <c r="B6234" s="1" t="n">
        <v>44945</v>
      </c>
      <c r="C6234" s="1" t="n">
        <v>45677</v>
      </c>
      <c r="D6234" t="inlineStr">
        <is>
          <t>GÄVLEBORGS LÄN</t>
        </is>
      </c>
      <c r="E6234" t="inlineStr">
        <is>
          <t>NORDANSTIG</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2885-2023</t>
        </is>
      </c>
      <c r="B6235" s="1" t="n">
        <v>44945</v>
      </c>
      <c r="C6235" s="1" t="n">
        <v>45677</v>
      </c>
      <c r="D6235" t="inlineStr">
        <is>
          <t>GÄVLEBORGS LÄN</t>
        </is>
      </c>
      <c r="E6235" t="inlineStr">
        <is>
          <t>BOLLNÄS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2986-2023</t>
        </is>
      </c>
      <c r="B6236" s="1" t="n">
        <v>44945</v>
      </c>
      <c r="C6236" s="1" t="n">
        <v>45677</v>
      </c>
      <c r="D6236" t="inlineStr">
        <is>
          <t>GÄVLEBORGS LÄN</t>
        </is>
      </c>
      <c r="E6236" t="inlineStr">
        <is>
          <t>NORDANSTIG</t>
        </is>
      </c>
      <c r="F6236" t="inlineStr">
        <is>
          <t>Holmen skog AB</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3063-2023</t>
        </is>
      </c>
      <c r="B6237" s="1" t="n">
        <v>44946</v>
      </c>
      <c r="C6237" s="1" t="n">
        <v>45677</v>
      </c>
      <c r="D6237" t="inlineStr">
        <is>
          <t>GÄVLEBORGS LÄN</t>
        </is>
      </c>
      <c r="E6237" t="inlineStr">
        <is>
          <t>GÄVLE</t>
        </is>
      </c>
      <c r="F6237" t="inlineStr">
        <is>
          <t>Bergvik skog öst AB</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3044-2023</t>
        </is>
      </c>
      <c r="B6238" s="1" t="n">
        <v>44946</v>
      </c>
      <c r="C6238" s="1" t="n">
        <v>45677</v>
      </c>
      <c r="D6238" t="inlineStr">
        <is>
          <t>GÄVLEBORGS LÄN</t>
        </is>
      </c>
      <c r="E6238" t="inlineStr">
        <is>
          <t>OVANÅKER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3162-2023</t>
        </is>
      </c>
      <c r="B6239" s="1" t="n">
        <v>44946</v>
      </c>
      <c r="C6239" s="1" t="n">
        <v>45677</v>
      </c>
      <c r="D6239" t="inlineStr">
        <is>
          <t>GÄVLEBORGS LÄN</t>
        </is>
      </c>
      <c r="E6239" t="inlineStr">
        <is>
          <t>HUDIKSVALL</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3193-2023</t>
        </is>
      </c>
      <c r="B6240" s="1" t="n">
        <v>44946</v>
      </c>
      <c r="C6240" s="1" t="n">
        <v>45677</v>
      </c>
      <c r="D6240" t="inlineStr">
        <is>
          <t>GÄVLEBORGS LÄN</t>
        </is>
      </c>
      <c r="E6240" t="inlineStr">
        <is>
          <t>LJUSDAL</t>
        </is>
      </c>
      <c r="F6240" t="inlineStr">
        <is>
          <t>Holmen skog AB</t>
        </is>
      </c>
      <c r="G6240" t="n">
        <v>25.7</v>
      </c>
      <c r="H6240" t="n">
        <v>0</v>
      </c>
      <c r="I6240" t="n">
        <v>0</v>
      </c>
      <c r="J6240" t="n">
        <v>0</v>
      </c>
      <c r="K6240" t="n">
        <v>0</v>
      </c>
      <c r="L6240" t="n">
        <v>0</v>
      </c>
      <c r="M6240" t="n">
        <v>0</v>
      </c>
      <c r="N6240" t="n">
        <v>0</v>
      </c>
      <c r="O6240" t="n">
        <v>0</v>
      </c>
      <c r="P6240" t="n">
        <v>0</v>
      </c>
      <c r="Q6240" t="n">
        <v>0</v>
      </c>
      <c r="R6240" s="2" t="inlineStr"/>
    </row>
    <row r="6241" ht="15" customHeight="1">
      <c r="A6241" t="inlineStr">
        <is>
          <t>A 3188-2023</t>
        </is>
      </c>
      <c r="B6241" s="1" t="n">
        <v>44946</v>
      </c>
      <c r="C6241" s="1" t="n">
        <v>45677</v>
      </c>
      <c r="D6241" t="inlineStr">
        <is>
          <t>GÄVLEBORGS LÄN</t>
        </is>
      </c>
      <c r="E6241" t="inlineStr">
        <is>
          <t>LJUSDAL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3143-2023</t>
        </is>
      </c>
      <c r="B6242" s="1" t="n">
        <v>44946</v>
      </c>
      <c r="C6242" s="1" t="n">
        <v>45677</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3215-2023</t>
        </is>
      </c>
      <c r="B6243" s="1" t="n">
        <v>44946</v>
      </c>
      <c r="C6243" s="1" t="n">
        <v>45677</v>
      </c>
      <c r="D6243" t="inlineStr">
        <is>
          <t>GÄVLEBORGS LÄN</t>
        </is>
      </c>
      <c r="E6243" t="inlineStr">
        <is>
          <t>BOLLNÄS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3211-2023</t>
        </is>
      </c>
      <c r="B6244" s="1" t="n">
        <v>44946</v>
      </c>
      <c r="C6244" s="1" t="n">
        <v>45677</v>
      </c>
      <c r="D6244" t="inlineStr">
        <is>
          <t>GÄVLEBORGS LÄN</t>
        </is>
      </c>
      <c r="E6244" t="inlineStr">
        <is>
          <t>BOLLNÄS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3217-2023</t>
        </is>
      </c>
      <c r="B6245" s="1" t="n">
        <v>44946</v>
      </c>
      <c r="C6245" s="1" t="n">
        <v>45677</v>
      </c>
      <c r="D6245" t="inlineStr">
        <is>
          <t>GÄVLEBORGS LÄN</t>
        </is>
      </c>
      <c r="E6245" t="inlineStr">
        <is>
          <t>BOLLNÄS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3304-2023</t>
        </is>
      </c>
      <c r="B6246" s="1" t="n">
        <v>44949</v>
      </c>
      <c r="C6246" s="1" t="n">
        <v>45677</v>
      </c>
      <c r="D6246" t="inlineStr">
        <is>
          <t>GÄVLEBORGS LÄN</t>
        </is>
      </c>
      <c r="E6246" t="inlineStr">
        <is>
          <t>SANDVIKEN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3363-2023</t>
        </is>
      </c>
      <c r="B6247" s="1" t="n">
        <v>44949</v>
      </c>
      <c r="C6247" s="1" t="n">
        <v>45677</v>
      </c>
      <c r="D6247" t="inlineStr">
        <is>
          <t>GÄVLEBORGS LÄN</t>
        </is>
      </c>
      <c r="E6247" t="inlineStr">
        <is>
          <t>BOLLNÄS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3365-2023</t>
        </is>
      </c>
      <c r="B6248" s="1" t="n">
        <v>44949</v>
      </c>
      <c r="C6248" s="1" t="n">
        <v>45677</v>
      </c>
      <c r="D6248" t="inlineStr">
        <is>
          <t>GÄVLEBORGS LÄN</t>
        </is>
      </c>
      <c r="E6248" t="inlineStr">
        <is>
          <t>LJUSDAL</t>
        </is>
      </c>
      <c r="F6248" t="inlineStr">
        <is>
          <t>Holmen skog AB</t>
        </is>
      </c>
      <c r="G6248" t="n">
        <v>21.6</v>
      </c>
      <c r="H6248" t="n">
        <v>0</v>
      </c>
      <c r="I6248" t="n">
        <v>0</v>
      </c>
      <c r="J6248" t="n">
        <v>0</v>
      </c>
      <c r="K6248" t="n">
        <v>0</v>
      </c>
      <c r="L6248" t="n">
        <v>0</v>
      </c>
      <c r="M6248" t="n">
        <v>0</v>
      </c>
      <c r="N6248" t="n">
        <v>0</v>
      </c>
      <c r="O6248" t="n">
        <v>0</v>
      </c>
      <c r="P6248" t="n">
        <v>0</v>
      </c>
      <c r="Q6248" t="n">
        <v>0</v>
      </c>
      <c r="R6248" s="2" t="inlineStr"/>
    </row>
    <row r="6249" ht="15" customHeight="1">
      <c r="A6249" t="inlineStr">
        <is>
          <t>A 3289-2023</t>
        </is>
      </c>
      <c r="B6249" s="1" t="n">
        <v>44949</v>
      </c>
      <c r="C6249" s="1" t="n">
        <v>45677</v>
      </c>
      <c r="D6249" t="inlineStr">
        <is>
          <t>GÄVLEBORGS LÄN</t>
        </is>
      </c>
      <c r="E6249" t="inlineStr">
        <is>
          <t>LJUSDAL</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3313-2023</t>
        </is>
      </c>
      <c r="B6250" s="1" t="n">
        <v>44949</v>
      </c>
      <c r="C6250" s="1" t="n">
        <v>45677</v>
      </c>
      <c r="D6250" t="inlineStr">
        <is>
          <t>GÄVLEBORGS LÄN</t>
        </is>
      </c>
      <c r="E6250" t="inlineStr">
        <is>
          <t>LJUSDAL</t>
        </is>
      </c>
      <c r="F6250" t="inlineStr">
        <is>
          <t>Holmen skog AB</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3316-2023</t>
        </is>
      </c>
      <c r="B6251" s="1" t="n">
        <v>44949</v>
      </c>
      <c r="C6251" s="1" t="n">
        <v>45677</v>
      </c>
      <c r="D6251" t="inlineStr">
        <is>
          <t>GÄVLEBORGS LÄN</t>
        </is>
      </c>
      <c r="E6251" t="inlineStr">
        <is>
          <t>SANDVIKEN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3361-2023</t>
        </is>
      </c>
      <c r="B6252" s="1" t="n">
        <v>44949</v>
      </c>
      <c r="C6252" s="1" t="n">
        <v>45677</v>
      </c>
      <c r="D6252" t="inlineStr">
        <is>
          <t>GÄVLEBORGS LÄN</t>
        </is>
      </c>
      <c r="E6252" t="inlineStr">
        <is>
          <t>BOLLNÄS</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3370-2023</t>
        </is>
      </c>
      <c r="B6253" s="1" t="n">
        <v>44949</v>
      </c>
      <c r="C6253" s="1" t="n">
        <v>45677</v>
      </c>
      <c r="D6253" t="inlineStr">
        <is>
          <t>GÄVLEBORGS LÄN</t>
        </is>
      </c>
      <c r="E6253" t="inlineStr">
        <is>
          <t>LJUSDAL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3384-2023</t>
        </is>
      </c>
      <c r="B6254" s="1" t="n">
        <v>44949</v>
      </c>
      <c r="C6254" s="1" t="n">
        <v>45677</v>
      </c>
      <c r="D6254" t="inlineStr">
        <is>
          <t>GÄVLEBORGS LÄN</t>
        </is>
      </c>
      <c r="E6254" t="inlineStr">
        <is>
          <t>OCKELBO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3464-2023</t>
        </is>
      </c>
      <c r="B6255" s="1" t="n">
        <v>44949</v>
      </c>
      <c r="C6255" s="1" t="n">
        <v>45677</v>
      </c>
      <c r="D6255" t="inlineStr">
        <is>
          <t>GÄVLEBORGS LÄN</t>
        </is>
      </c>
      <c r="E6255" t="inlineStr">
        <is>
          <t>LJUSDAL</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3386-2023</t>
        </is>
      </c>
      <c r="B6256" s="1" t="n">
        <v>44949</v>
      </c>
      <c r="C6256" s="1" t="n">
        <v>45677</v>
      </c>
      <c r="D6256" t="inlineStr">
        <is>
          <t>GÄVLEBORGS LÄN</t>
        </is>
      </c>
      <c r="E6256" t="inlineStr">
        <is>
          <t>NORDANSTIG</t>
        </is>
      </c>
      <c r="F6256" t="inlineStr">
        <is>
          <t>Holmen skog AB</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3442-2023</t>
        </is>
      </c>
      <c r="B6257" s="1" t="n">
        <v>44949</v>
      </c>
      <c r="C6257" s="1" t="n">
        <v>45677</v>
      </c>
      <c r="D6257" t="inlineStr">
        <is>
          <t>GÄVLEBORGS LÄN</t>
        </is>
      </c>
      <c r="E6257" t="inlineStr">
        <is>
          <t>SANDVIKEN</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3453-2023</t>
        </is>
      </c>
      <c r="B6258" s="1" t="n">
        <v>44949</v>
      </c>
      <c r="C6258" s="1" t="n">
        <v>45677</v>
      </c>
      <c r="D6258" t="inlineStr">
        <is>
          <t>GÄVLEBORGS LÄN</t>
        </is>
      </c>
      <c r="E6258" t="inlineStr">
        <is>
          <t>OVANÅKER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3532-2023</t>
        </is>
      </c>
      <c r="B6259" s="1" t="n">
        <v>44950</v>
      </c>
      <c r="C6259" s="1" t="n">
        <v>45677</v>
      </c>
      <c r="D6259" t="inlineStr">
        <is>
          <t>GÄVLEBORGS LÄN</t>
        </is>
      </c>
      <c r="E6259" t="inlineStr">
        <is>
          <t>LJUSDAL</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3620-2023</t>
        </is>
      </c>
      <c r="B6260" s="1" t="n">
        <v>44950</v>
      </c>
      <c r="C6260" s="1" t="n">
        <v>45677</v>
      </c>
      <c r="D6260" t="inlineStr">
        <is>
          <t>GÄVLEBORGS LÄN</t>
        </is>
      </c>
      <c r="E6260" t="inlineStr">
        <is>
          <t>OCKELBO</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3593-2023</t>
        </is>
      </c>
      <c r="B6261" s="1" t="n">
        <v>44950</v>
      </c>
      <c r="C6261" s="1" t="n">
        <v>45677</v>
      </c>
      <c r="D6261" t="inlineStr">
        <is>
          <t>GÄVLEBORGS LÄN</t>
        </is>
      </c>
      <c r="E6261" t="inlineStr">
        <is>
          <t>OCKELBO</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3628-2023</t>
        </is>
      </c>
      <c r="B6262" s="1" t="n">
        <v>44950</v>
      </c>
      <c r="C6262" s="1" t="n">
        <v>45677</v>
      </c>
      <c r="D6262" t="inlineStr">
        <is>
          <t>GÄVLEBORGS LÄN</t>
        </is>
      </c>
      <c r="E6262" t="inlineStr">
        <is>
          <t>OCKELBO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3617-2023</t>
        </is>
      </c>
      <c r="B6263" s="1" t="n">
        <v>44950</v>
      </c>
      <c r="C6263" s="1" t="n">
        <v>45677</v>
      </c>
      <c r="D6263" t="inlineStr">
        <is>
          <t>GÄVLEBORGS LÄN</t>
        </is>
      </c>
      <c r="E6263" t="inlineStr">
        <is>
          <t>OCKELBO</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3626-2023</t>
        </is>
      </c>
      <c r="B6264" s="1" t="n">
        <v>44950</v>
      </c>
      <c r="C6264" s="1" t="n">
        <v>45677</v>
      </c>
      <c r="D6264" t="inlineStr">
        <is>
          <t>GÄVLEBORGS LÄN</t>
        </is>
      </c>
      <c r="E6264" t="inlineStr">
        <is>
          <t>OCKELBO</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3635-2023</t>
        </is>
      </c>
      <c r="B6265" s="1" t="n">
        <v>44950</v>
      </c>
      <c r="C6265" s="1" t="n">
        <v>45677</v>
      </c>
      <c r="D6265" t="inlineStr">
        <is>
          <t>GÄVLEBORGS LÄN</t>
        </is>
      </c>
      <c r="E6265" t="inlineStr">
        <is>
          <t>LJUSDAL</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3715-2023</t>
        </is>
      </c>
      <c r="B6266" s="1" t="n">
        <v>44951</v>
      </c>
      <c r="C6266" s="1" t="n">
        <v>45677</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3714-2023</t>
        </is>
      </c>
      <c r="B6267" s="1" t="n">
        <v>44951</v>
      </c>
      <c r="C6267" s="1" t="n">
        <v>45677</v>
      </c>
      <c r="D6267" t="inlineStr">
        <is>
          <t>GÄVLEBORGS LÄN</t>
        </is>
      </c>
      <c r="E6267" t="inlineStr">
        <is>
          <t>GÄVLE</t>
        </is>
      </c>
      <c r="F6267" t="inlineStr">
        <is>
          <t>Bergvik skog väst AB</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3712-2023</t>
        </is>
      </c>
      <c r="B6268" s="1" t="n">
        <v>44951</v>
      </c>
      <c r="C6268" s="1" t="n">
        <v>45677</v>
      </c>
      <c r="D6268" t="inlineStr">
        <is>
          <t>GÄVLEBORGS LÄN</t>
        </is>
      </c>
      <c r="E6268" t="inlineStr">
        <is>
          <t>GÄVLE</t>
        </is>
      </c>
      <c r="F6268" t="inlineStr">
        <is>
          <t>Bergvik skog väst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3891-2023</t>
        </is>
      </c>
      <c r="B6269" s="1" t="n">
        <v>44951</v>
      </c>
      <c r="C6269" s="1" t="n">
        <v>45677</v>
      </c>
      <c r="D6269" t="inlineStr">
        <is>
          <t>GÄVLEBORGS LÄN</t>
        </is>
      </c>
      <c r="E6269" t="inlineStr">
        <is>
          <t>GÄVLE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3942-2023</t>
        </is>
      </c>
      <c r="B6270" s="1" t="n">
        <v>44952</v>
      </c>
      <c r="C6270" s="1" t="n">
        <v>45677</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4001-2023</t>
        </is>
      </c>
      <c r="B6271" s="1" t="n">
        <v>44952</v>
      </c>
      <c r="C6271" s="1" t="n">
        <v>45677</v>
      </c>
      <c r="D6271" t="inlineStr">
        <is>
          <t>GÄVLEBORGS LÄN</t>
        </is>
      </c>
      <c r="E6271" t="inlineStr">
        <is>
          <t>NORDANSTIG</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4024-2023</t>
        </is>
      </c>
      <c r="B6272" s="1" t="n">
        <v>44952</v>
      </c>
      <c r="C6272" s="1" t="n">
        <v>45677</v>
      </c>
      <c r="D6272" t="inlineStr">
        <is>
          <t>GÄVLEBORGS LÄN</t>
        </is>
      </c>
      <c r="E6272" t="inlineStr">
        <is>
          <t>NORDANSTIG</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4039-2023</t>
        </is>
      </c>
      <c r="B6273" s="1" t="n">
        <v>44952</v>
      </c>
      <c r="C6273" s="1" t="n">
        <v>45677</v>
      </c>
      <c r="D6273" t="inlineStr">
        <is>
          <t>GÄVLEBORGS LÄN</t>
        </is>
      </c>
      <c r="E6273" t="inlineStr">
        <is>
          <t>LJUSDAL</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4044-2023</t>
        </is>
      </c>
      <c r="B6274" s="1" t="n">
        <v>44952</v>
      </c>
      <c r="C6274" s="1" t="n">
        <v>45677</v>
      </c>
      <c r="D6274" t="inlineStr">
        <is>
          <t>GÄVLEBORGS LÄN</t>
        </is>
      </c>
      <c r="E6274" t="inlineStr">
        <is>
          <t>LJUSDAL</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4053-2023</t>
        </is>
      </c>
      <c r="B6275" s="1" t="n">
        <v>44952</v>
      </c>
      <c r="C6275" s="1" t="n">
        <v>45677</v>
      </c>
      <c r="D6275" t="inlineStr">
        <is>
          <t>GÄVLEBORGS LÄN</t>
        </is>
      </c>
      <c r="E6275" t="inlineStr">
        <is>
          <t>LJUSDAL</t>
        </is>
      </c>
      <c r="F6275" t="inlineStr">
        <is>
          <t>Bergvik skog väst AB</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3957-2023</t>
        </is>
      </c>
      <c r="B6276" s="1" t="n">
        <v>44952</v>
      </c>
      <c r="C6276" s="1" t="n">
        <v>45677</v>
      </c>
      <c r="D6276" t="inlineStr">
        <is>
          <t>GÄVLEBORGS LÄN</t>
        </is>
      </c>
      <c r="E6276" t="inlineStr">
        <is>
          <t>NORDANSTIG</t>
        </is>
      </c>
      <c r="F6276" t="inlineStr">
        <is>
          <t>Holmen skog AB</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3976-2023</t>
        </is>
      </c>
      <c r="B6277" s="1" t="n">
        <v>44952</v>
      </c>
      <c r="C6277" s="1" t="n">
        <v>45677</v>
      </c>
      <c r="D6277" t="inlineStr">
        <is>
          <t>GÄVLEBORGS LÄN</t>
        </is>
      </c>
      <c r="E6277" t="inlineStr">
        <is>
          <t>BOLLNÄS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3983-2023</t>
        </is>
      </c>
      <c r="B6278" s="1" t="n">
        <v>44952</v>
      </c>
      <c r="C6278" s="1" t="n">
        <v>45677</v>
      </c>
      <c r="D6278" t="inlineStr">
        <is>
          <t>GÄVLEBORGS LÄN</t>
        </is>
      </c>
      <c r="E6278" t="inlineStr">
        <is>
          <t>NORDANSTIG</t>
        </is>
      </c>
      <c r="F6278" t="inlineStr">
        <is>
          <t>Holmen skog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4019-2023</t>
        </is>
      </c>
      <c r="B6279" s="1" t="n">
        <v>44952</v>
      </c>
      <c r="C6279" s="1" t="n">
        <v>45677</v>
      </c>
      <c r="D6279" t="inlineStr">
        <is>
          <t>GÄVLEBORGS LÄN</t>
        </is>
      </c>
      <c r="E6279" t="inlineStr">
        <is>
          <t>HUDIKSVALL</t>
        </is>
      </c>
      <c r="F6279" t="inlineStr">
        <is>
          <t>Holmen skog AB</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4021-2023</t>
        </is>
      </c>
      <c r="B6280" s="1" t="n">
        <v>44952</v>
      </c>
      <c r="C6280" s="1" t="n">
        <v>45677</v>
      </c>
      <c r="D6280" t="inlineStr">
        <is>
          <t>GÄVLEBORGS LÄN</t>
        </is>
      </c>
      <c r="E6280" t="inlineStr">
        <is>
          <t>NORDANSTIG</t>
        </is>
      </c>
      <c r="F6280" t="inlineStr">
        <is>
          <t>Holmen skog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3969-2023</t>
        </is>
      </c>
      <c r="B6281" s="1" t="n">
        <v>44952</v>
      </c>
      <c r="C6281" s="1" t="n">
        <v>45677</v>
      </c>
      <c r="D6281" t="inlineStr">
        <is>
          <t>GÄVLEBORGS LÄN</t>
        </is>
      </c>
      <c r="E6281" t="inlineStr">
        <is>
          <t>NORDANSTIG</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4034-2023</t>
        </is>
      </c>
      <c r="B6282" s="1" t="n">
        <v>44952</v>
      </c>
      <c r="C6282" s="1" t="n">
        <v>45677</v>
      </c>
      <c r="D6282" t="inlineStr">
        <is>
          <t>GÄVLEBORGS LÄN</t>
        </is>
      </c>
      <c r="E6282" t="inlineStr">
        <is>
          <t>LJUSDAL</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4074-2023</t>
        </is>
      </c>
      <c r="B6283" s="1" t="n">
        <v>44952</v>
      </c>
      <c r="C6283" s="1" t="n">
        <v>45677</v>
      </c>
      <c r="D6283" t="inlineStr">
        <is>
          <t>GÄVLEBORGS LÄN</t>
        </is>
      </c>
      <c r="E6283" t="inlineStr">
        <is>
          <t>OVANÅKER</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4184-2023</t>
        </is>
      </c>
      <c r="B6284" s="1" t="n">
        <v>44953</v>
      </c>
      <c r="C6284" s="1" t="n">
        <v>45677</v>
      </c>
      <c r="D6284" t="inlineStr">
        <is>
          <t>GÄVLEBORGS LÄN</t>
        </is>
      </c>
      <c r="E6284" t="inlineStr">
        <is>
          <t>BOLLNÄS</t>
        </is>
      </c>
      <c r="F6284" t="inlineStr">
        <is>
          <t>Holmen skog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4235-2023</t>
        </is>
      </c>
      <c r="B6285" s="1" t="n">
        <v>44953</v>
      </c>
      <c r="C6285" s="1" t="n">
        <v>45677</v>
      </c>
      <c r="D6285" t="inlineStr">
        <is>
          <t>GÄVLEBORGS LÄN</t>
        </is>
      </c>
      <c r="E6285" t="inlineStr">
        <is>
          <t>BOLLNÄS</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4142-2023</t>
        </is>
      </c>
      <c r="B6286" s="1" t="n">
        <v>44953</v>
      </c>
      <c r="C6286" s="1" t="n">
        <v>45677</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4197-2023</t>
        </is>
      </c>
      <c r="B6287" s="1" t="n">
        <v>44953</v>
      </c>
      <c r="C6287" s="1" t="n">
        <v>45677</v>
      </c>
      <c r="D6287" t="inlineStr">
        <is>
          <t>GÄVLEBORGS LÄN</t>
        </is>
      </c>
      <c r="E6287" t="inlineStr">
        <is>
          <t>LJUSDAL</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4195-2023</t>
        </is>
      </c>
      <c r="B6288" s="1" t="n">
        <v>44953</v>
      </c>
      <c r="C6288" s="1" t="n">
        <v>45677</v>
      </c>
      <c r="D6288" t="inlineStr">
        <is>
          <t>GÄVLEBORGS LÄN</t>
        </is>
      </c>
      <c r="E6288" t="inlineStr">
        <is>
          <t>LJUSDAL</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4148-2023</t>
        </is>
      </c>
      <c r="B6289" s="1" t="n">
        <v>44953</v>
      </c>
      <c r="C6289" s="1" t="n">
        <v>45677</v>
      </c>
      <c r="D6289" t="inlineStr">
        <is>
          <t>GÄVLEBORGS LÄN</t>
        </is>
      </c>
      <c r="E6289" t="inlineStr">
        <is>
          <t>LJUSDAL</t>
        </is>
      </c>
      <c r="F6289" t="inlineStr">
        <is>
          <t>Holmen skog AB</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4226-2023</t>
        </is>
      </c>
      <c r="B6290" s="1" t="n">
        <v>44953</v>
      </c>
      <c r="C6290" s="1" t="n">
        <v>45677</v>
      </c>
      <c r="D6290" t="inlineStr">
        <is>
          <t>GÄVLEBORGS LÄN</t>
        </is>
      </c>
      <c r="E6290" t="inlineStr">
        <is>
          <t>OCKELBO</t>
        </is>
      </c>
      <c r="F6290" t="inlineStr">
        <is>
          <t>Bergvik skog väst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4301-2023</t>
        </is>
      </c>
      <c r="B6291" s="1" t="n">
        <v>44953</v>
      </c>
      <c r="C6291" s="1" t="n">
        <v>45677</v>
      </c>
      <c r="D6291" t="inlineStr">
        <is>
          <t>GÄVLEBORGS LÄN</t>
        </is>
      </c>
      <c r="E6291" t="inlineStr">
        <is>
          <t>HUDIKSVALL</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4275-2023</t>
        </is>
      </c>
      <c r="B6292" s="1" t="n">
        <v>44953</v>
      </c>
      <c r="C6292" s="1" t="n">
        <v>45677</v>
      </c>
      <c r="D6292" t="inlineStr">
        <is>
          <t>GÄVLEBORGS LÄN</t>
        </is>
      </c>
      <c r="E6292" t="inlineStr">
        <is>
          <t>LJUSDAL</t>
        </is>
      </c>
      <c r="F6292" t="inlineStr">
        <is>
          <t>Holmen skog AB</t>
        </is>
      </c>
      <c r="G6292" t="n">
        <v>16.4</v>
      </c>
      <c r="H6292" t="n">
        <v>0</v>
      </c>
      <c r="I6292" t="n">
        <v>0</v>
      </c>
      <c r="J6292" t="n">
        <v>0</v>
      </c>
      <c r="K6292" t="n">
        <v>0</v>
      </c>
      <c r="L6292" t="n">
        <v>0</v>
      </c>
      <c r="M6292" t="n">
        <v>0</v>
      </c>
      <c r="N6292" t="n">
        <v>0</v>
      </c>
      <c r="O6292" t="n">
        <v>0</v>
      </c>
      <c r="P6292" t="n">
        <v>0</v>
      </c>
      <c r="Q6292" t="n">
        <v>0</v>
      </c>
      <c r="R6292" s="2" t="inlineStr"/>
    </row>
    <row r="6293" ht="15" customHeight="1">
      <c r="A6293" t="inlineStr">
        <is>
          <t>A 4384-2023</t>
        </is>
      </c>
      <c r="B6293" s="1" t="n">
        <v>44955</v>
      </c>
      <c r="C6293" s="1" t="n">
        <v>45677</v>
      </c>
      <c r="D6293" t="inlineStr">
        <is>
          <t>GÄVLEBORGS LÄN</t>
        </is>
      </c>
      <c r="E6293" t="inlineStr">
        <is>
          <t>SANDVIKEN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4461-2023</t>
        </is>
      </c>
      <c r="B6294" s="1" t="n">
        <v>44956</v>
      </c>
      <c r="C6294" s="1" t="n">
        <v>45677</v>
      </c>
      <c r="D6294" t="inlineStr">
        <is>
          <t>GÄVLEBORGS LÄN</t>
        </is>
      </c>
      <c r="E6294" t="inlineStr">
        <is>
          <t>SANDVIKEN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4482-2023</t>
        </is>
      </c>
      <c r="B6295" s="1" t="n">
        <v>44956</v>
      </c>
      <c r="C6295" s="1" t="n">
        <v>45677</v>
      </c>
      <c r="D6295" t="inlineStr">
        <is>
          <t>GÄVLEBORGS LÄN</t>
        </is>
      </c>
      <c r="E6295" t="inlineStr">
        <is>
          <t>BOLLNÄS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4451-2023</t>
        </is>
      </c>
      <c r="B6296" s="1" t="n">
        <v>44956</v>
      </c>
      <c r="C6296" s="1" t="n">
        <v>45677</v>
      </c>
      <c r="D6296" t="inlineStr">
        <is>
          <t>GÄVLEBORGS LÄN</t>
        </is>
      </c>
      <c r="E6296" t="inlineStr">
        <is>
          <t>HOFORS</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4457-2023</t>
        </is>
      </c>
      <c r="B6297" s="1" t="n">
        <v>44956</v>
      </c>
      <c r="C6297" s="1" t="n">
        <v>45677</v>
      </c>
      <c r="D6297" t="inlineStr">
        <is>
          <t>GÄVLEBORGS LÄN</t>
        </is>
      </c>
      <c r="E6297" t="inlineStr">
        <is>
          <t>SANDVIKEN</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4476-2023</t>
        </is>
      </c>
      <c r="B6298" s="1" t="n">
        <v>44956</v>
      </c>
      <c r="C6298" s="1" t="n">
        <v>45677</v>
      </c>
      <c r="D6298" t="inlineStr">
        <is>
          <t>GÄVLEBORGS LÄN</t>
        </is>
      </c>
      <c r="E6298" t="inlineStr">
        <is>
          <t>LJUSDAL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4534-2023</t>
        </is>
      </c>
      <c r="B6299" s="1" t="n">
        <v>44956</v>
      </c>
      <c r="C6299" s="1" t="n">
        <v>45677</v>
      </c>
      <c r="D6299" t="inlineStr">
        <is>
          <t>GÄVLEBORGS LÄN</t>
        </is>
      </c>
      <c r="E6299" t="inlineStr">
        <is>
          <t>OVANÅKER</t>
        </is>
      </c>
      <c r="F6299" t="inlineStr">
        <is>
          <t>Bergvik skog väst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4563-2023</t>
        </is>
      </c>
      <c r="B6300" s="1" t="n">
        <v>44956</v>
      </c>
      <c r="C6300" s="1" t="n">
        <v>45677</v>
      </c>
      <c r="D6300" t="inlineStr">
        <is>
          <t>GÄVLEBORGS LÄN</t>
        </is>
      </c>
      <c r="E6300" t="inlineStr">
        <is>
          <t>SÖDERHAMN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4432-2023</t>
        </is>
      </c>
      <c r="B6301" s="1" t="n">
        <v>44956</v>
      </c>
      <c r="C6301" s="1" t="n">
        <v>45677</v>
      </c>
      <c r="D6301" t="inlineStr">
        <is>
          <t>GÄVLEBORGS LÄN</t>
        </is>
      </c>
      <c r="E6301" t="inlineStr">
        <is>
          <t>BOLLNÄS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4525-2023</t>
        </is>
      </c>
      <c r="B6302" s="1" t="n">
        <v>44956</v>
      </c>
      <c r="C6302" s="1" t="n">
        <v>45677</v>
      </c>
      <c r="D6302" t="inlineStr">
        <is>
          <t>GÄVLEBORGS LÄN</t>
        </is>
      </c>
      <c r="E6302" t="inlineStr">
        <is>
          <t>LJUSDAL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4540-2023</t>
        </is>
      </c>
      <c r="B6303" s="1" t="n">
        <v>44956</v>
      </c>
      <c r="C6303" s="1" t="n">
        <v>45677</v>
      </c>
      <c r="D6303" t="inlineStr">
        <is>
          <t>GÄVLEBORGS LÄN</t>
        </is>
      </c>
      <c r="E6303" t="inlineStr">
        <is>
          <t>OVANÅKER</t>
        </is>
      </c>
      <c r="F6303" t="inlineStr">
        <is>
          <t>Bergvik skog väst AB</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4605-2023</t>
        </is>
      </c>
      <c r="B6304" s="1" t="n">
        <v>44956</v>
      </c>
      <c r="C6304" s="1" t="n">
        <v>45677</v>
      </c>
      <c r="D6304" t="inlineStr">
        <is>
          <t>GÄVLEBORGS LÄN</t>
        </is>
      </c>
      <c r="E6304" t="inlineStr">
        <is>
          <t>HUDIKSVALL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4660-2023</t>
        </is>
      </c>
      <c r="B6305" s="1" t="n">
        <v>44957</v>
      </c>
      <c r="C6305" s="1" t="n">
        <v>45677</v>
      </c>
      <c r="D6305" t="inlineStr">
        <is>
          <t>GÄVLEBORGS LÄN</t>
        </is>
      </c>
      <c r="E6305" t="inlineStr">
        <is>
          <t>LJUSDAL</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4818-2023</t>
        </is>
      </c>
      <c r="B6306" s="1" t="n">
        <v>44957</v>
      </c>
      <c r="C6306" s="1" t="n">
        <v>45677</v>
      </c>
      <c r="D6306" t="inlineStr">
        <is>
          <t>GÄVLEBORGS LÄN</t>
        </is>
      </c>
      <c r="E6306" t="inlineStr">
        <is>
          <t>LJUSDAL</t>
        </is>
      </c>
      <c r="F6306" t="inlineStr">
        <is>
          <t>Holmen skog AB</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4843-2023</t>
        </is>
      </c>
      <c r="B6307" s="1" t="n">
        <v>44957</v>
      </c>
      <c r="C6307" s="1" t="n">
        <v>45677</v>
      </c>
      <c r="D6307" t="inlineStr">
        <is>
          <t>GÄVLEBORGS LÄN</t>
        </is>
      </c>
      <c r="E6307" t="inlineStr">
        <is>
          <t>SÖDERHAMN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4865-2023</t>
        </is>
      </c>
      <c r="B6308" s="1" t="n">
        <v>44957</v>
      </c>
      <c r="C6308" s="1" t="n">
        <v>45677</v>
      </c>
      <c r="D6308" t="inlineStr">
        <is>
          <t>GÄVLEBORGS LÄN</t>
        </is>
      </c>
      <c r="E6308" t="inlineStr">
        <is>
          <t>LJUSDAL</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4672-2023</t>
        </is>
      </c>
      <c r="B6309" s="1" t="n">
        <v>44957</v>
      </c>
      <c r="C6309" s="1" t="n">
        <v>45677</v>
      </c>
      <c r="D6309" t="inlineStr">
        <is>
          <t>GÄVLEBORGS LÄN</t>
        </is>
      </c>
      <c r="E6309" t="inlineStr">
        <is>
          <t>OVANÅKER</t>
        </is>
      </c>
      <c r="F6309" t="inlineStr">
        <is>
          <t>Bergvik skog väst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4761-2023</t>
        </is>
      </c>
      <c r="B6310" s="1" t="n">
        <v>44957</v>
      </c>
      <c r="C6310" s="1" t="n">
        <v>45677</v>
      </c>
      <c r="D6310" t="inlineStr">
        <is>
          <t>GÄVLEBORGS LÄN</t>
        </is>
      </c>
      <c r="E6310" t="inlineStr">
        <is>
          <t>OVANÅKER</t>
        </is>
      </c>
      <c r="F6310" t="inlineStr">
        <is>
          <t>Bergvik skog väst AB</t>
        </is>
      </c>
      <c r="G6310" t="n">
        <v>22.6</v>
      </c>
      <c r="H6310" t="n">
        <v>0</v>
      </c>
      <c r="I6310" t="n">
        <v>0</v>
      </c>
      <c r="J6310" t="n">
        <v>0</v>
      </c>
      <c r="K6310" t="n">
        <v>0</v>
      </c>
      <c r="L6310" t="n">
        <v>0</v>
      </c>
      <c r="M6310" t="n">
        <v>0</v>
      </c>
      <c r="N6310" t="n">
        <v>0</v>
      </c>
      <c r="O6310" t="n">
        <v>0</v>
      </c>
      <c r="P6310" t="n">
        <v>0</v>
      </c>
      <c r="Q6310" t="n">
        <v>0</v>
      </c>
      <c r="R6310" s="2" t="inlineStr"/>
    </row>
    <row r="6311" ht="15" customHeight="1">
      <c r="A6311" t="inlineStr">
        <is>
          <t>A 4824-2023</t>
        </is>
      </c>
      <c r="B6311" s="1" t="n">
        <v>44957</v>
      </c>
      <c r="C6311" s="1" t="n">
        <v>45677</v>
      </c>
      <c r="D6311" t="inlineStr">
        <is>
          <t>GÄVLEBORGS LÄN</t>
        </is>
      </c>
      <c r="E6311" t="inlineStr">
        <is>
          <t>LJUSDAL</t>
        </is>
      </c>
      <c r="F6311" t="inlineStr">
        <is>
          <t>Holmen skog AB</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4642-2023</t>
        </is>
      </c>
      <c r="B6312" s="1" t="n">
        <v>44957</v>
      </c>
      <c r="C6312" s="1" t="n">
        <v>45677</v>
      </c>
      <c r="D6312" t="inlineStr">
        <is>
          <t>GÄVLEBORGS LÄN</t>
        </is>
      </c>
      <c r="E6312" t="inlineStr">
        <is>
          <t>LJUSDAL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4686-2023</t>
        </is>
      </c>
      <c r="B6313" s="1" t="n">
        <v>44957</v>
      </c>
      <c r="C6313" s="1" t="n">
        <v>45677</v>
      </c>
      <c r="D6313" t="inlineStr">
        <is>
          <t>GÄVLEBORGS LÄN</t>
        </is>
      </c>
      <c r="E6313" t="inlineStr">
        <is>
          <t>LJUSDAL</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4693-2023</t>
        </is>
      </c>
      <c r="B6314" s="1" t="n">
        <v>44957</v>
      </c>
      <c r="C6314" s="1" t="n">
        <v>45677</v>
      </c>
      <c r="D6314" t="inlineStr">
        <is>
          <t>GÄVLEBORGS LÄN</t>
        </is>
      </c>
      <c r="E6314" t="inlineStr">
        <is>
          <t>HUDIKSVALL</t>
        </is>
      </c>
      <c r="F6314" t="inlineStr">
        <is>
          <t>Holmen skog AB</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4805-2023</t>
        </is>
      </c>
      <c r="B6315" s="1" t="n">
        <v>44957</v>
      </c>
      <c r="C6315" s="1" t="n">
        <v>45677</v>
      </c>
      <c r="D6315" t="inlineStr">
        <is>
          <t>GÄVLEBORGS LÄN</t>
        </is>
      </c>
      <c r="E6315" t="inlineStr">
        <is>
          <t>LJUSDAL</t>
        </is>
      </c>
      <c r="F6315" t="inlineStr">
        <is>
          <t>Holmen skog AB</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4646-2023</t>
        </is>
      </c>
      <c r="B6316" s="1" t="n">
        <v>44957</v>
      </c>
      <c r="C6316" s="1" t="n">
        <v>45677</v>
      </c>
      <c r="D6316" t="inlineStr">
        <is>
          <t>GÄVLEBORGS LÄN</t>
        </is>
      </c>
      <c r="E6316" t="inlineStr">
        <is>
          <t>LJUSDAL</t>
        </is>
      </c>
      <c r="F6316" t="inlineStr">
        <is>
          <t>Holmen skog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4667-2023</t>
        </is>
      </c>
      <c r="B6317" s="1" t="n">
        <v>44957</v>
      </c>
      <c r="C6317" s="1" t="n">
        <v>45677</v>
      </c>
      <c r="D6317" t="inlineStr">
        <is>
          <t>GÄVLEBORGS LÄN</t>
        </is>
      </c>
      <c r="E6317" t="inlineStr">
        <is>
          <t>LJUSDAL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4862-2023</t>
        </is>
      </c>
      <c r="B6318" s="1" t="n">
        <v>44957</v>
      </c>
      <c r="C6318" s="1" t="n">
        <v>45677</v>
      </c>
      <c r="D6318" t="inlineStr">
        <is>
          <t>GÄVLEBORGS LÄN</t>
        </is>
      </c>
      <c r="E6318" t="inlineStr">
        <is>
          <t>LJUSDAL</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4755-2023</t>
        </is>
      </c>
      <c r="B6319" s="1" t="n">
        <v>44957</v>
      </c>
      <c r="C6319" s="1" t="n">
        <v>45677</v>
      </c>
      <c r="D6319" t="inlineStr">
        <is>
          <t>GÄVLEBORGS LÄN</t>
        </is>
      </c>
      <c r="E6319" t="inlineStr">
        <is>
          <t>OVANÅKER</t>
        </is>
      </c>
      <c r="F6319" t="inlineStr">
        <is>
          <t>Bergvik skog väst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4776-2023</t>
        </is>
      </c>
      <c r="B6320" s="1" t="n">
        <v>44957</v>
      </c>
      <c r="C6320" s="1" t="n">
        <v>45677</v>
      </c>
      <c r="D6320" t="inlineStr">
        <is>
          <t>GÄVLEBORGS LÄN</t>
        </is>
      </c>
      <c r="E6320" t="inlineStr">
        <is>
          <t>HUDIKSVALL</t>
        </is>
      </c>
      <c r="F6320" t="inlineStr">
        <is>
          <t>Holmen skog AB</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4823-2023</t>
        </is>
      </c>
      <c r="B6321" s="1" t="n">
        <v>44957</v>
      </c>
      <c r="C6321" s="1" t="n">
        <v>45677</v>
      </c>
      <c r="D6321" t="inlineStr">
        <is>
          <t>GÄVLEBORGS LÄN</t>
        </is>
      </c>
      <c r="E6321" t="inlineStr">
        <is>
          <t>LJUSDAL</t>
        </is>
      </c>
      <c r="F6321" t="inlineStr">
        <is>
          <t>Holmen skog AB</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4864-2023</t>
        </is>
      </c>
      <c r="B6322" s="1" t="n">
        <v>44957</v>
      </c>
      <c r="C6322" s="1" t="n">
        <v>45677</v>
      </c>
      <c r="D6322" t="inlineStr">
        <is>
          <t>GÄVLEBORGS LÄN</t>
        </is>
      </c>
      <c r="E6322" t="inlineStr">
        <is>
          <t>LJUSDAL</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4962-2023</t>
        </is>
      </c>
      <c r="B6323" s="1" t="n">
        <v>44958</v>
      </c>
      <c r="C6323" s="1" t="n">
        <v>45677</v>
      </c>
      <c r="D6323" t="inlineStr">
        <is>
          <t>GÄVLEBORGS LÄN</t>
        </is>
      </c>
      <c r="E6323" t="inlineStr">
        <is>
          <t>NORDANSTIG</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4984-2023</t>
        </is>
      </c>
      <c r="B6324" s="1" t="n">
        <v>44958</v>
      </c>
      <c r="C6324" s="1" t="n">
        <v>45677</v>
      </c>
      <c r="D6324" t="inlineStr">
        <is>
          <t>GÄVLEBORGS LÄN</t>
        </is>
      </c>
      <c r="E6324" t="inlineStr">
        <is>
          <t>NORDANSTIG</t>
        </is>
      </c>
      <c r="F6324" t="inlineStr">
        <is>
          <t>Holmen skog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5059-2023</t>
        </is>
      </c>
      <c r="B6325" s="1" t="n">
        <v>44958</v>
      </c>
      <c r="C6325" s="1" t="n">
        <v>45677</v>
      </c>
      <c r="D6325" t="inlineStr">
        <is>
          <t>GÄVLEBORGS LÄN</t>
        </is>
      </c>
      <c r="E6325" t="inlineStr">
        <is>
          <t>OVANÅKER</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5076-2023</t>
        </is>
      </c>
      <c r="B6326" s="1" t="n">
        <v>44958</v>
      </c>
      <c r="C6326" s="1" t="n">
        <v>45677</v>
      </c>
      <c r="D6326" t="inlineStr">
        <is>
          <t>GÄVLEBORGS LÄN</t>
        </is>
      </c>
      <c r="E6326" t="inlineStr">
        <is>
          <t>HUDIKSVALL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5238-2023</t>
        </is>
      </c>
      <c r="B6327" s="1" t="n">
        <v>44959</v>
      </c>
      <c r="C6327" s="1" t="n">
        <v>45677</v>
      </c>
      <c r="D6327" t="inlineStr">
        <is>
          <t>GÄVLEBORGS LÄN</t>
        </is>
      </c>
      <c r="E6327" t="inlineStr">
        <is>
          <t>NORDANSTIG</t>
        </is>
      </c>
      <c r="F6327" t="inlineStr">
        <is>
          <t>Holmen skog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5407-2023</t>
        </is>
      </c>
      <c r="B6328" s="1" t="n">
        <v>44959</v>
      </c>
      <c r="C6328" s="1" t="n">
        <v>45677</v>
      </c>
      <c r="D6328" t="inlineStr">
        <is>
          <t>GÄVLEBORGS LÄN</t>
        </is>
      </c>
      <c r="E6328" t="inlineStr">
        <is>
          <t>GÄVLE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5219-2023</t>
        </is>
      </c>
      <c r="B6329" s="1" t="n">
        <v>44959</v>
      </c>
      <c r="C6329" s="1" t="n">
        <v>45677</v>
      </c>
      <c r="D6329" t="inlineStr">
        <is>
          <t>GÄVLEBORGS LÄN</t>
        </is>
      </c>
      <c r="E6329" t="inlineStr">
        <is>
          <t>GÄVLE</t>
        </is>
      </c>
      <c r="F6329" t="inlineStr">
        <is>
          <t>Bergvik skog öst AB</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5233-2023</t>
        </is>
      </c>
      <c r="B6330" s="1" t="n">
        <v>44959</v>
      </c>
      <c r="C6330" s="1" t="n">
        <v>45677</v>
      </c>
      <c r="D6330" t="inlineStr">
        <is>
          <t>GÄVLEBORGS LÄN</t>
        </is>
      </c>
      <c r="E6330" t="inlineStr">
        <is>
          <t>GÄVLE</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5241-2023</t>
        </is>
      </c>
      <c r="B6331" s="1" t="n">
        <v>44959</v>
      </c>
      <c r="C6331" s="1" t="n">
        <v>45677</v>
      </c>
      <c r="D6331" t="inlineStr">
        <is>
          <t>GÄVLEBORGS LÄN</t>
        </is>
      </c>
      <c r="E6331" t="inlineStr">
        <is>
          <t>GÄVLE</t>
        </is>
      </c>
      <c r="F6331" t="inlineStr">
        <is>
          <t>Bergvik skog öst AB</t>
        </is>
      </c>
      <c r="G6331" t="n">
        <v>17.4</v>
      </c>
      <c r="H6331" t="n">
        <v>0</v>
      </c>
      <c r="I6331" t="n">
        <v>0</v>
      </c>
      <c r="J6331" t="n">
        <v>0</v>
      </c>
      <c r="K6331" t="n">
        <v>0</v>
      </c>
      <c r="L6331" t="n">
        <v>0</v>
      </c>
      <c r="M6331" t="n">
        <v>0</v>
      </c>
      <c r="N6331" t="n">
        <v>0</v>
      </c>
      <c r="O6331" t="n">
        <v>0</v>
      </c>
      <c r="P6331" t="n">
        <v>0</v>
      </c>
      <c r="Q6331" t="n">
        <v>0</v>
      </c>
      <c r="R6331" s="2" t="inlineStr"/>
    </row>
    <row r="6332" ht="15" customHeight="1">
      <c r="A6332" t="inlineStr">
        <is>
          <t>A 5266-2023</t>
        </is>
      </c>
      <c r="B6332" s="1" t="n">
        <v>44959</v>
      </c>
      <c r="C6332" s="1" t="n">
        <v>45677</v>
      </c>
      <c r="D6332" t="inlineStr">
        <is>
          <t>GÄVLEBORGS LÄN</t>
        </is>
      </c>
      <c r="E6332" t="inlineStr">
        <is>
          <t>NORDANSTIG</t>
        </is>
      </c>
      <c r="F6332" t="inlineStr">
        <is>
          <t>Holmen skog AB</t>
        </is>
      </c>
      <c r="G6332" t="n">
        <v>17.6</v>
      </c>
      <c r="H6332" t="n">
        <v>0</v>
      </c>
      <c r="I6332" t="n">
        <v>0</v>
      </c>
      <c r="J6332" t="n">
        <v>0</v>
      </c>
      <c r="K6332" t="n">
        <v>0</v>
      </c>
      <c r="L6332" t="n">
        <v>0</v>
      </c>
      <c r="M6332" t="n">
        <v>0</v>
      </c>
      <c r="N6332" t="n">
        <v>0</v>
      </c>
      <c r="O6332" t="n">
        <v>0</v>
      </c>
      <c r="P6332" t="n">
        <v>0</v>
      </c>
      <c r="Q6332" t="n">
        <v>0</v>
      </c>
      <c r="R6332" s="2" t="inlineStr"/>
    </row>
    <row r="6333" ht="15" customHeight="1">
      <c r="A6333" t="inlineStr">
        <is>
          <t>A 5271-2023</t>
        </is>
      </c>
      <c r="B6333" s="1" t="n">
        <v>44959</v>
      </c>
      <c r="C6333" s="1" t="n">
        <v>45677</v>
      </c>
      <c r="D6333" t="inlineStr">
        <is>
          <t>GÄVLEBORGS LÄN</t>
        </is>
      </c>
      <c r="E6333" t="inlineStr">
        <is>
          <t>OVANÅKER</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5287-2023</t>
        </is>
      </c>
      <c r="B6334" s="1" t="n">
        <v>44959</v>
      </c>
      <c r="C6334" s="1" t="n">
        <v>45677</v>
      </c>
      <c r="D6334" t="inlineStr">
        <is>
          <t>GÄVLEBORGS LÄN</t>
        </is>
      </c>
      <c r="E6334" t="inlineStr">
        <is>
          <t>GÄVLE</t>
        </is>
      </c>
      <c r="F6334" t="inlineStr">
        <is>
          <t>Kyrkan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5300-2023</t>
        </is>
      </c>
      <c r="B6335" s="1" t="n">
        <v>44959</v>
      </c>
      <c r="C6335" s="1" t="n">
        <v>45677</v>
      </c>
      <c r="D6335" t="inlineStr">
        <is>
          <t>GÄVLEBORGS LÄN</t>
        </is>
      </c>
      <c r="E6335" t="inlineStr">
        <is>
          <t>OVANÅKER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5353-2023</t>
        </is>
      </c>
      <c r="B6336" s="1" t="n">
        <v>44959</v>
      </c>
      <c r="C6336" s="1" t="n">
        <v>45677</v>
      </c>
      <c r="D6336" t="inlineStr">
        <is>
          <t>GÄVLEBORGS LÄN</t>
        </is>
      </c>
      <c r="E6336" t="inlineStr">
        <is>
          <t>NORDANSTIG</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5399-2023</t>
        </is>
      </c>
      <c r="B6337" s="1" t="n">
        <v>44959</v>
      </c>
      <c r="C6337" s="1" t="n">
        <v>45677</v>
      </c>
      <c r="D6337" t="inlineStr">
        <is>
          <t>GÄVLEBORGS LÄN</t>
        </is>
      </c>
      <c r="E6337" t="inlineStr">
        <is>
          <t>GÄVLE</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5409-2023</t>
        </is>
      </c>
      <c r="B6338" s="1" t="n">
        <v>44959</v>
      </c>
      <c r="C6338" s="1" t="n">
        <v>45677</v>
      </c>
      <c r="D6338" t="inlineStr">
        <is>
          <t>GÄVLEBORGS LÄN</t>
        </is>
      </c>
      <c r="E6338" t="inlineStr">
        <is>
          <t>GÄVLE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5414-2023</t>
        </is>
      </c>
      <c r="B6339" s="1" t="n">
        <v>44959</v>
      </c>
      <c r="C6339" s="1" t="n">
        <v>45677</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5440-2023</t>
        </is>
      </c>
      <c r="B6340" s="1" t="n">
        <v>44959</v>
      </c>
      <c r="C6340" s="1" t="n">
        <v>45677</v>
      </c>
      <c r="D6340" t="inlineStr">
        <is>
          <t>GÄVLEBORGS LÄN</t>
        </is>
      </c>
      <c r="E6340" t="inlineStr">
        <is>
          <t>LJUSDAL</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5187-2023</t>
        </is>
      </c>
      <c r="B6341" s="1" t="n">
        <v>44959</v>
      </c>
      <c r="C6341" s="1" t="n">
        <v>45677</v>
      </c>
      <c r="D6341" t="inlineStr">
        <is>
          <t>GÄVLEBORGS LÄN</t>
        </is>
      </c>
      <c r="E6341" t="inlineStr">
        <is>
          <t>HUDIKSVALL</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5211-2023</t>
        </is>
      </c>
      <c r="B6342" s="1" t="n">
        <v>44959</v>
      </c>
      <c r="C6342" s="1" t="n">
        <v>45677</v>
      </c>
      <c r="D6342" t="inlineStr">
        <is>
          <t>GÄVLEBORGS LÄN</t>
        </is>
      </c>
      <c r="E6342" t="inlineStr">
        <is>
          <t>GÄVLE</t>
        </is>
      </c>
      <c r="F6342" t="inlineStr">
        <is>
          <t>Bergvik skog öst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5234-2023</t>
        </is>
      </c>
      <c r="B6343" s="1" t="n">
        <v>44959</v>
      </c>
      <c r="C6343" s="1" t="n">
        <v>45677</v>
      </c>
      <c r="D6343" t="inlineStr">
        <is>
          <t>GÄVLEBORGS LÄN</t>
        </is>
      </c>
      <c r="E6343" t="inlineStr">
        <is>
          <t>GÄVLE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5400-2023</t>
        </is>
      </c>
      <c r="B6344" s="1" t="n">
        <v>44959</v>
      </c>
      <c r="C6344" s="1" t="n">
        <v>45677</v>
      </c>
      <c r="D6344" t="inlineStr">
        <is>
          <t>GÄVLEBORGS LÄN</t>
        </is>
      </c>
      <c r="E6344" t="inlineStr">
        <is>
          <t>GÄVLE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5415-2023</t>
        </is>
      </c>
      <c r="B6345" s="1" t="n">
        <v>44959</v>
      </c>
      <c r="C6345" s="1" t="n">
        <v>45677</v>
      </c>
      <c r="D6345" t="inlineStr">
        <is>
          <t>GÄVLEBORGS LÄN</t>
        </is>
      </c>
      <c r="E6345" t="inlineStr">
        <is>
          <t>GÄVLE</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5442-2023</t>
        </is>
      </c>
      <c r="B6346" s="1" t="n">
        <v>44959</v>
      </c>
      <c r="C6346" s="1" t="n">
        <v>45677</v>
      </c>
      <c r="D6346" t="inlineStr">
        <is>
          <t>GÄVLEBORGS LÄN</t>
        </is>
      </c>
      <c r="E6346" t="inlineStr">
        <is>
          <t>HUDIKSVALL</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5203-2023</t>
        </is>
      </c>
      <c r="B6347" s="1" t="n">
        <v>44959</v>
      </c>
      <c r="C6347" s="1" t="n">
        <v>45677</v>
      </c>
      <c r="D6347" t="inlineStr">
        <is>
          <t>GÄVLEBORGS LÄN</t>
        </is>
      </c>
      <c r="E6347" t="inlineStr">
        <is>
          <t>LJUSDAL</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5208-2023</t>
        </is>
      </c>
      <c r="B6348" s="1" t="n">
        <v>44959</v>
      </c>
      <c r="C6348" s="1" t="n">
        <v>45677</v>
      </c>
      <c r="D6348" t="inlineStr">
        <is>
          <t>GÄVLEBORGS LÄN</t>
        </is>
      </c>
      <c r="E6348" t="inlineStr">
        <is>
          <t>HUDIKSVALL</t>
        </is>
      </c>
      <c r="F6348" t="inlineStr">
        <is>
          <t>Holmen skog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5280-2023</t>
        </is>
      </c>
      <c r="B6349" s="1" t="n">
        <v>44959</v>
      </c>
      <c r="C6349" s="1" t="n">
        <v>45677</v>
      </c>
      <c r="D6349" t="inlineStr">
        <is>
          <t>GÄVLEBORGS LÄN</t>
        </is>
      </c>
      <c r="E6349" t="inlineStr">
        <is>
          <t>OVANÅKER</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5412-2023</t>
        </is>
      </c>
      <c r="B6350" s="1" t="n">
        <v>44959</v>
      </c>
      <c r="C6350" s="1" t="n">
        <v>45677</v>
      </c>
      <c r="D6350" t="inlineStr">
        <is>
          <t>GÄVLEBORGS LÄN</t>
        </is>
      </c>
      <c r="E6350" t="inlineStr">
        <is>
          <t>GÄVLE</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5408-2023</t>
        </is>
      </c>
      <c r="B6351" s="1" t="n">
        <v>44959</v>
      </c>
      <c r="C6351" s="1" t="n">
        <v>45677</v>
      </c>
      <c r="D6351" t="inlineStr">
        <is>
          <t>GÄVLEBORGS LÄN</t>
        </is>
      </c>
      <c r="E6351" t="inlineStr">
        <is>
          <t>GÄVLE</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5413-2023</t>
        </is>
      </c>
      <c r="B6352" s="1" t="n">
        <v>44959</v>
      </c>
      <c r="C6352" s="1" t="n">
        <v>45677</v>
      </c>
      <c r="D6352" t="inlineStr">
        <is>
          <t>GÄVLEBORGS LÄN</t>
        </is>
      </c>
      <c r="E6352" t="inlineStr">
        <is>
          <t>GÄVLE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5639-2023</t>
        </is>
      </c>
      <c r="B6353" s="1" t="n">
        <v>44960</v>
      </c>
      <c r="C6353" s="1" t="n">
        <v>45677</v>
      </c>
      <c r="D6353" t="inlineStr">
        <is>
          <t>GÄVLEBORGS LÄN</t>
        </is>
      </c>
      <c r="E6353" t="inlineStr">
        <is>
          <t>LJUSDAL</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5660-2023</t>
        </is>
      </c>
      <c r="B6354" s="1" t="n">
        <v>44960</v>
      </c>
      <c r="C6354" s="1" t="n">
        <v>45677</v>
      </c>
      <c r="D6354" t="inlineStr">
        <is>
          <t>GÄVLEBORGS LÄN</t>
        </is>
      </c>
      <c r="E6354" t="inlineStr">
        <is>
          <t>NORDANSTIG</t>
        </is>
      </c>
      <c r="F6354" t="inlineStr">
        <is>
          <t>Holmen skog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5544-2023</t>
        </is>
      </c>
      <c r="B6355" s="1" t="n">
        <v>44960</v>
      </c>
      <c r="C6355" s="1" t="n">
        <v>45677</v>
      </c>
      <c r="D6355" t="inlineStr">
        <is>
          <t>GÄVLEBORGS LÄN</t>
        </is>
      </c>
      <c r="E6355" t="inlineStr">
        <is>
          <t>NORDANSTIG</t>
        </is>
      </c>
      <c r="F6355" t="inlineStr">
        <is>
          <t>Holmen skog AB</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5462-2023</t>
        </is>
      </c>
      <c r="B6356" s="1" t="n">
        <v>44960</v>
      </c>
      <c r="C6356" s="1" t="n">
        <v>45677</v>
      </c>
      <c r="D6356" t="inlineStr">
        <is>
          <t>GÄVLEBORGS LÄN</t>
        </is>
      </c>
      <c r="E6356" t="inlineStr">
        <is>
          <t>GÄVLE</t>
        </is>
      </c>
      <c r="F6356" t="inlineStr">
        <is>
          <t>Bergvik skog öst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5475-2023</t>
        </is>
      </c>
      <c r="B6357" s="1" t="n">
        <v>44960</v>
      </c>
      <c r="C6357" s="1" t="n">
        <v>45677</v>
      </c>
      <c r="D6357" t="inlineStr">
        <is>
          <t>GÄVLEBORGS LÄN</t>
        </is>
      </c>
      <c r="E6357" t="inlineStr">
        <is>
          <t>NORDANSTIG</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5479-2023</t>
        </is>
      </c>
      <c r="B6358" s="1" t="n">
        <v>44960</v>
      </c>
      <c r="C6358" s="1" t="n">
        <v>45677</v>
      </c>
      <c r="D6358" t="inlineStr">
        <is>
          <t>GÄVLEBORGS LÄN</t>
        </is>
      </c>
      <c r="E6358" t="inlineStr">
        <is>
          <t>NORDANSTIG</t>
        </is>
      </c>
      <c r="G6358" t="n">
        <v>17.6</v>
      </c>
      <c r="H6358" t="n">
        <v>0</v>
      </c>
      <c r="I6358" t="n">
        <v>0</v>
      </c>
      <c r="J6358" t="n">
        <v>0</v>
      </c>
      <c r="K6358" t="n">
        <v>0</v>
      </c>
      <c r="L6358" t="n">
        <v>0</v>
      </c>
      <c r="M6358" t="n">
        <v>0</v>
      </c>
      <c r="N6358" t="n">
        <v>0</v>
      </c>
      <c r="O6358" t="n">
        <v>0</v>
      </c>
      <c r="P6358" t="n">
        <v>0</v>
      </c>
      <c r="Q6358" t="n">
        <v>0</v>
      </c>
      <c r="R6358" s="2" t="inlineStr"/>
    </row>
    <row r="6359" ht="15" customHeight="1">
      <c r="A6359" t="inlineStr">
        <is>
          <t>A 5719-2023</t>
        </is>
      </c>
      <c r="B6359" s="1" t="n">
        <v>44961</v>
      </c>
      <c r="C6359" s="1" t="n">
        <v>45677</v>
      </c>
      <c r="D6359" t="inlineStr">
        <is>
          <t>GÄVLEBORGS LÄN</t>
        </is>
      </c>
      <c r="E6359" t="inlineStr">
        <is>
          <t>OVANÅKER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5717-2023</t>
        </is>
      </c>
      <c r="B6360" s="1" t="n">
        <v>44961</v>
      </c>
      <c r="C6360" s="1" t="n">
        <v>45677</v>
      </c>
      <c r="D6360" t="inlineStr">
        <is>
          <t>GÄVLEBORGS LÄN</t>
        </is>
      </c>
      <c r="E6360" t="inlineStr">
        <is>
          <t>OVANÅKER</t>
        </is>
      </c>
      <c r="G6360" t="n">
        <v>12.5</v>
      </c>
      <c r="H6360" t="n">
        <v>0</v>
      </c>
      <c r="I6360" t="n">
        <v>0</v>
      </c>
      <c r="J6360" t="n">
        <v>0</v>
      </c>
      <c r="K6360" t="n">
        <v>0</v>
      </c>
      <c r="L6360" t="n">
        <v>0</v>
      </c>
      <c r="M6360" t="n">
        <v>0</v>
      </c>
      <c r="N6360" t="n">
        <v>0</v>
      </c>
      <c r="O6360" t="n">
        <v>0</v>
      </c>
      <c r="P6360" t="n">
        <v>0</v>
      </c>
      <c r="Q6360" t="n">
        <v>0</v>
      </c>
      <c r="R6360" s="2" t="inlineStr"/>
    </row>
    <row r="6361" ht="15" customHeight="1">
      <c r="A6361" t="inlineStr">
        <is>
          <t>A 5727-2023</t>
        </is>
      </c>
      <c r="B6361" s="1" t="n">
        <v>44962</v>
      </c>
      <c r="C6361" s="1" t="n">
        <v>45677</v>
      </c>
      <c r="D6361" t="inlineStr">
        <is>
          <t>GÄVLEBORGS LÄN</t>
        </is>
      </c>
      <c r="E6361" t="inlineStr">
        <is>
          <t>GÄVLE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5728-2023</t>
        </is>
      </c>
      <c r="B6362" s="1" t="n">
        <v>44962</v>
      </c>
      <c r="C6362" s="1" t="n">
        <v>45677</v>
      </c>
      <c r="D6362" t="inlineStr">
        <is>
          <t>GÄVLEBORGS LÄN</t>
        </is>
      </c>
      <c r="E6362" t="inlineStr">
        <is>
          <t>GÄVLE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5779-2023</t>
        </is>
      </c>
      <c r="B6363" s="1" t="n">
        <v>44963</v>
      </c>
      <c r="C6363" s="1" t="n">
        <v>45677</v>
      </c>
      <c r="D6363" t="inlineStr">
        <is>
          <t>GÄVLEBORGS LÄN</t>
        </is>
      </c>
      <c r="E6363" t="inlineStr">
        <is>
          <t>LJUSDAL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5853-2023</t>
        </is>
      </c>
      <c r="B6364" s="1" t="n">
        <v>44963</v>
      </c>
      <c r="C6364" s="1" t="n">
        <v>45677</v>
      </c>
      <c r="D6364" t="inlineStr">
        <is>
          <t>GÄVLEBORGS LÄN</t>
        </is>
      </c>
      <c r="E6364" t="inlineStr">
        <is>
          <t>LJUSDAL</t>
        </is>
      </c>
      <c r="F6364" t="inlineStr">
        <is>
          <t>Allmännings- och besparingsskogar</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5787-2023</t>
        </is>
      </c>
      <c r="B6365" s="1" t="n">
        <v>44963</v>
      </c>
      <c r="C6365" s="1" t="n">
        <v>45677</v>
      </c>
      <c r="D6365" t="inlineStr">
        <is>
          <t>GÄVLEBORGS LÄN</t>
        </is>
      </c>
      <c r="E6365" t="inlineStr">
        <is>
          <t>BOLLNÄS</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5833-2023</t>
        </is>
      </c>
      <c r="B6366" s="1" t="n">
        <v>44963</v>
      </c>
      <c r="C6366" s="1" t="n">
        <v>45677</v>
      </c>
      <c r="D6366" t="inlineStr">
        <is>
          <t>GÄVLEBORGS LÄN</t>
        </is>
      </c>
      <c r="E6366" t="inlineStr">
        <is>
          <t>LJUSDAL</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5850-2023</t>
        </is>
      </c>
      <c r="B6367" s="1" t="n">
        <v>44963</v>
      </c>
      <c r="C6367" s="1" t="n">
        <v>45677</v>
      </c>
      <c r="D6367" t="inlineStr">
        <is>
          <t>GÄVLEBORGS LÄN</t>
        </is>
      </c>
      <c r="E6367" t="inlineStr">
        <is>
          <t>LJUSDAL</t>
        </is>
      </c>
      <c r="F6367" t="inlineStr">
        <is>
          <t>Allmännings- och besparingsskogar</t>
        </is>
      </c>
      <c r="G6367" t="n">
        <v>20.5</v>
      </c>
      <c r="H6367" t="n">
        <v>0</v>
      </c>
      <c r="I6367" t="n">
        <v>0</v>
      </c>
      <c r="J6367" t="n">
        <v>0</v>
      </c>
      <c r="K6367" t="n">
        <v>0</v>
      </c>
      <c r="L6367" t="n">
        <v>0</v>
      </c>
      <c r="M6367" t="n">
        <v>0</v>
      </c>
      <c r="N6367" t="n">
        <v>0</v>
      </c>
      <c r="O6367" t="n">
        <v>0</v>
      </c>
      <c r="P6367" t="n">
        <v>0</v>
      </c>
      <c r="Q6367" t="n">
        <v>0</v>
      </c>
      <c r="R6367" s="2" t="inlineStr"/>
    </row>
    <row r="6368" ht="15" customHeight="1">
      <c r="A6368" t="inlineStr">
        <is>
          <t>A 5856-2023</t>
        </is>
      </c>
      <c r="B6368" s="1" t="n">
        <v>44963</v>
      </c>
      <c r="C6368" s="1" t="n">
        <v>45677</v>
      </c>
      <c r="D6368" t="inlineStr">
        <is>
          <t>GÄVLEBORGS LÄN</t>
        </is>
      </c>
      <c r="E6368" t="inlineStr">
        <is>
          <t>LJUSDAL</t>
        </is>
      </c>
      <c r="F6368" t="inlineStr">
        <is>
          <t>Allmännings- och besparingsskogar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5886-2023</t>
        </is>
      </c>
      <c r="B6369" s="1" t="n">
        <v>44963</v>
      </c>
      <c r="C6369" s="1" t="n">
        <v>45677</v>
      </c>
      <c r="D6369" t="inlineStr">
        <is>
          <t>GÄVLEBORGS LÄN</t>
        </is>
      </c>
      <c r="E6369" t="inlineStr">
        <is>
          <t>SÖDERHAMN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5888-2023</t>
        </is>
      </c>
      <c r="B6370" s="1" t="n">
        <v>44963</v>
      </c>
      <c r="C6370" s="1" t="n">
        <v>45677</v>
      </c>
      <c r="D6370" t="inlineStr">
        <is>
          <t>GÄVLEBORGS LÄN</t>
        </is>
      </c>
      <c r="E6370" t="inlineStr">
        <is>
          <t>NORDANSTIG</t>
        </is>
      </c>
      <c r="F6370" t="inlineStr">
        <is>
          <t>Holmen skog AB</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5904-2023</t>
        </is>
      </c>
      <c r="B6371" s="1" t="n">
        <v>44963</v>
      </c>
      <c r="C6371" s="1" t="n">
        <v>45677</v>
      </c>
      <c r="D6371" t="inlineStr">
        <is>
          <t>GÄVLEBORGS LÄN</t>
        </is>
      </c>
      <c r="E6371" t="inlineStr">
        <is>
          <t>NORDANSTIG</t>
        </is>
      </c>
      <c r="F6371" t="inlineStr">
        <is>
          <t>Holmen skog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5912-2023</t>
        </is>
      </c>
      <c r="B6372" s="1" t="n">
        <v>44963</v>
      </c>
      <c r="C6372" s="1" t="n">
        <v>45677</v>
      </c>
      <c r="D6372" t="inlineStr">
        <is>
          <t>GÄVLEBORGS LÄN</t>
        </is>
      </c>
      <c r="E6372" t="inlineStr">
        <is>
          <t>LJUSDAL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5925-2023</t>
        </is>
      </c>
      <c r="B6373" s="1" t="n">
        <v>44963</v>
      </c>
      <c r="C6373" s="1" t="n">
        <v>45677</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5915-2023</t>
        </is>
      </c>
      <c r="B6374" s="1" t="n">
        <v>44963</v>
      </c>
      <c r="C6374" s="1" t="n">
        <v>45677</v>
      </c>
      <c r="D6374" t="inlineStr">
        <is>
          <t>GÄVLEBORGS LÄN</t>
        </is>
      </c>
      <c r="E6374" t="inlineStr">
        <is>
          <t>LJUSDAL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6058-2023</t>
        </is>
      </c>
      <c r="B6375" s="1" t="n">
        <v>44964</v>
      </c>
      <c r="C6375" s="1" t="n">
        <v>45677</v>
      </c>
      <c r="D6375" t="inlineStr">
        <is>
          <t>GÄVLEBORGS LÄN</t>
        </is>
      </c>
      <c r="E6375" t="inlineStr">
        <is>
          <t>OCKELBO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6101-2023</t>
        </is>
      </c>
      <c r="B6376" s="1" t="n">
        <v>44964</v>
      </c>
      <c r="C6376" s="1" t="n">
        <v>45677</v>
      </c>
      <c r="D6376" t="inlineStr">
        <is>
          <t>GÄVLEBORGS LÄN</t>
        </is>
      </c>
      <c r="E6376" t="inlineStr">
        <is>
          <t>SANDVIKEN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6153-2023</t>
        </is>
      </c>
      <c r="B6377" s="1" t="n">
        <v>44964</v>
      </c>
      <c r="C6377" s="1" t="n">
        <v>45677</v>
      </c>
      <c r="D6377" t="inlineStr">
        <is>
          <t>GÄVLEBORGS LÄN</t>
        </is>
      </c>
      <c r="E6377" t="inlineStr">
        <is>
          <t>LJUSDAL</t>
        </is>
      </c>
      <c r="F6377" t="inlineStr">
        <is>
          <t>Holmen skog AB</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6093-2023</t>
        </is>
      </c>
      <c r="B6378" s="1" t="n">
        <v>44964</v>
      </c>
      <c r="C6378" s="1" t="n">
        <v>45677</v>
      </c>
      <c r="D6378" t="inlineStr">
        <is>
          <t>GÄVLEBORGS LÄN</t>
        </is>
      </c>
      <c r="E6378" t="inlineStr">
        <is>
          <t>NORDANSTIG</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6217-2023</t>
        </is>
      </c>
      <c r="B6379" s="1" t="n">
        <v>44964</v>
      </c>
      <c r="C6379" s="1" t="n">
        <v>45677</v>
      </c>
      <c r="D6379" t="inlineStr">
        <is>
          <t>GÄVLEBORGS LÄN</t>
        </is>
      </c>
      <c r="E6379" t="inlineStr">
        <is>
          <t>OCKELBO</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6109-2023</t>
        </is>
      </c>
      <c r="B6380" s="1" t="n">
        <v>44964</v>
      </c>
      <c r="C6380" s="1" t="n">
        <v>45677</v>
      </c>
      <c r="D6380" t="inlineStr">
        <is>
          <t>GÄVLEBORGS LÄN</t>
        </is>
      </c>
      <c r="E6380" t="inlineStr">
        <is>
          <t>NORDANSTIG</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6095-2023</t>
        </is>
      </c>
      <c r="B6381" s="1" t="n">
        <v>44964</v>
      </c>
      <c r="C6381" s="1" t="n">
        <v>45677</v>
      </c>
      <c r="D6381" t="inlineStr">
        <is>
          <t>GÄVLEBORGS LÄN</t>
        </is>
      </c>
      <c r="E6381" t="inlineStr">
        <is>
          <t>SANDVIKEN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6099-2023</t>
        </is>
      </c>
      <c r="B6382" s="1" t="n">
        <v>44964</v>
      </c>
      <c r="C6382" s="1" t="n">
        <v>45677</v>
      </c>
      <c r="D6382" t="inlineStr">
        <is>
          <t>GÄVLEBORGS LÄN</t>
        </is>
      </c>
      <c r="E6382" t="inlineStr">
        <is>
          <t>NORDANSTIG</t>
        </is>
      </c>
      <c r="F6382" t="inlineStr">
        <is>
          <t>Holmen skog AB</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6227-2023</t>
        </is>
      </c>
      <c r="B6383" s="1" t="n">
        <v>44964</v>
      </c>
      <c r="C6383" s="1" t="n">
        <v>45677</v>
      </c>
      <c r="D6383" t="inlineStr">
        <is>
          <t>GÄVLEBORGS LÄN</t>
        </is>
      </c>
      <c r="E6383" t="inlineStr">
        <is>
          <t>HUDIKSVALL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6259-2023</t>
        </is>
      </c>
      <c r="B6384" s="1" t="n">
        <v>44965</v>
      </c>
      <c r="C6384" s="1" t="n">
        <v>45677</v>
      </c>
      <c r="D6384" t="inlineStr">
        <is>
          <t>GÄVLEBORGS LÄN</t>
        </is>
      </c>
      <c r="E6384" t="inlineStr">
        <is>
          <t>LJUSDAL</t>
        </is>
      </c>
      <c r="F6384" t="inlineStr">
        <is>
          <t>Holmen skog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6342-2023</t>
        </is>
      </c>
      <c r="B6385" s="1" t="n">
        <v>44965</v>
      </c>
      <c r="C6385" s="1" t="n">
        <v>45677</v>
      </c>
      <c r="D6385" t="inlineStr">
        <is>
          <t>GÄVLEBORGS LÄN</t>
        </is>
      </c>
      <c r="E6385" t="inlineStr">
        <is>
          <t>LJUSDAL</t>
        </is>
      </c>
      <c r="F6385" t="inlineStr">
        <is>
          <t>Bergvik skog väst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6315-2023</t>
        </is>
      </c>
      <c r="B6386" s="1" t="n">
        <v>44965</v>
      </c>
      <c r="C6386" s="1" t="n">
        <v>45677</v>
      </c>
      <c r="D6386" t="inlineStr">
        <is>
          <t>GÄVLEBORGS LÄN</t>
        </is>
      </c>
      <c r="E6386" t="inlineStr">
        <is>
          <t>NORDANSTIG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6324-2023</t>
        </is>
      </c>
      <c r="B6387" s="1" t="n">
        <v>44965</v>
      </c>
      <c r="C6387" s="1" t="n">
        <v>45677</v>
      </c>
      <c r="D6387" t="inlineStr">
        <is>
          <t>GÄVLEBORGS LÄN</t>
        </is>
      </c>
      <c r="E6387" t="inlineStr">
        <is>
          <t>NORDANSTIG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6432-2023</t>
        </is>
      </c>
      <c r="B6388" s="1" t="n">
        <v>44965</v>
      </c>
      <c r="C6388" s="1" t="n">
        <v>45677</v>
      </c>
      <c r="D6388" t="inlineStr">
        <is>
          <t>GÄVLEBORGS LÄN</t>
        </is>
      </c>
      <c r="E6388" t="inlineStr">
        <is>
          <t>LJUSDAL</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6640-2023</t>
        </is>
      </c>
      <c r="B6389" s="1" t="n">
        <v>44966</v>
      </c>
      <c r="C6389" s="1" t="n">
        <v>45677</v>
      </c>
      <c r="D6389" t="inlineStr">
        <is>
          <t>GÄVLEBORGS LÄN</t>
        </is>
      </c>
      <c r="E6389" t="inlineStr">
        <is>
          <t>BOLLNÄS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7369-2023</t>
        </is>
      </c>
      <c r="B6390" s="1" t="n">
        <v>44966</v>
      </c>
      <c r="C6390" s="1" t="n">
        <v>45677</v>
      </c>
      <c r="D6390" t="inlineStr">
        <is>
          <t>GÄVLEBORGS LÄN</t>
        </is>
      </c>
      <c r="E6390" t="inlineStr">
        <is>
          <t>HUDIKSVALL</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6767-2023</t>
        </is>
      </c>
      <c r="B6391" s="1" t="n">
        <v>44966</v>
      </c>
      <c r="C6391" s="1" t="n">
        <v>45677</v>
      </c>
      <c r="D6391" t="inlineStr">
        <is>
          <t>GÄVLEBORGS LÄN</t>
        </is>
      </c>
      <c r="E6391" t="inlineStr">
        <is>
          <t>HUDIKSVALL</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6929-2023</t>
        </is>
      </c>
      <c r="B6392" s="1" t="n">
        <v>44967</v>
      </c>
      <c r="C6392" s="1" t="n">
        <v>45677</v>
      </c>
      <c r="D6392" t="inlineStr">
        <is>
          <t>GÄVLEBORGS LÄN</t>
        </is>
      </c>
      <c r="E6392" t="inlineStr">
        <is>
          <t>HOFORS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6935-2023</t>
        </is>
      </c>
      <c r="B6393" s="1" t="n">
        <v>44967</v>
      </c>
      <c r="C6393" s="1" t="n">
        <v>45677</v>
      </c>
      <c r="D6393" t="inlineStr">
        <is>
          <t>GÄVLEBORGS LÄN</t>
        </is>
      </c>
      <c r="E6393" t="inlineStr">
        <is>
          <t>GÄVLE</t>
        </is>
      </c>
      <c r="F6393" t="inlineStr">
        <is>
          <t>Bergvik skog öst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6820-2023</t>
        </is>
      </c>
      <c r="B6394" s="1" t="n">
        <v>44967</v>
      </c>
      <c r="C6394" s="1" t="n">
        <v>45677</v>
      </c>
      <c r="D6394" t="inlineStr">
        <is>
          <t>GÄVLEBORGS LÄN</t>
        </is>
      </c>
      <c r="E6394" t="inlineStr">
        <is>
          <t>NORDANSTIG</t>
        </is>
      </c>
      <c r="F6394" t="inlineStr">
        <is>
          <t>Holmen skog AB</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6826-2023</t>
        </is>
      </c>
      <c r="B6395" s="1" t="n">
        <v>44967</v>
      </c>
      <c r="C6395" s="1" t="n">
        <v>45677</v>
      </c>
      <c r="D6395" t="inlineStr">
        <is>
          <t>GÄVLEBORGS LÄN</t>
        </is>
      </c>
      <c r="E6395" t="inlineStr">
        <is>
          <t>HUDIKSVALL</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6833-2023</t>
        </is>
      </c>
      <c r="B6396" s="1" t="n">
        <v>44967</v>
      </c>
      <c r="C6396" s="1" t="n">
        <v>45677</v>
      </c>
      <c r="D6396" t="inlineStr">
        <is>
          <t>GÄVLEBORGS LÄN</t>
        </is>
      </c>
      <c r="E6396" t="inlineStr">
        <is>
          <t>BOLLNÄS</t>
        </is>
      </c>
      <c r="G6396" t="n">
        <v>11.1</v>
      </c>
      <c r="H6396" t="n">
        <v>0</v>
      </c>
      <c r="I6396" t="n">
        <v>0</v>
      </c>
      <c r="J6396" t="n">
        <v>0</v>
      </c>
      <c r="K6396" t="n">
        <v>0</v>
      </c>
      <c r="L6396" t="n">
        <v>0</v>
      </c>
      <c r="M6396" t="n">
        <v>0</v>
      </c>
      <c r="N6396" t="n">
        <v>0</v>
      </c>
      <c r="O6396" t="n">
        <v>0</v>
      </c>
      <c r="P6396" t="n">
        <v>0</v>
      </c>
      <c r="Q6396" t="n">
        <v>0</v>
      </c>
      <c r="R6396" s="2" t="inlineStr"/>
    </row>
    <row r="6397" ht="15" customHeight="1">
      <c r="A6397" t="inlineStr">
        <is>
          <t>A 6861-2023</t>
        </is>
      </c>
      <c r="B6397" s="1" t="n">
        <v>44967</v>
      </c>
      <c r="C6397" s="1" t="n">
        <v>45677</v>
      </c>
      <c r="D6397" t="inlineStr">
        <is>
          <t>GÄVLEBORGS LÄN</t>
        </is>
      </c>
      <c r="E6397" t="inlineStr">
        <is>
          <t>LJUSDAL</t>
        </is>
      </c>
      <c r="F6397" t="inlineStr">
        <is>
          <t>Holmen skog AB</t>
        </is>
      </c>
      <c r="G6397" t="n">
        <v>14.2</v>
      </c>
      <c r="H6397" t="n">
        <v>0</v>
      </c>
      <c r="I6397" t="n">
        <v>0</v>
      </c>
      <c r="J6397" t="n">
        <v>0</v>
      </c>
      <c r="K6397" t="n">
        <v>0</v>
      </c>
      <c r="L6397" t="n">
        <v>0</v>
      </c>
      <c r="M6397" t="n">
        <v>0</v>
      </c>
      <c r="N6397" t="n">
        <v>0</v>
      </c>
      <c r="O6397" t="n">
        <v>0</v>
      </c>
      <c r="P6397" t="n">
        <v>0</v>
      </c>
      <c r="Q6397" t="n">
        <v>0</v>
      </c>
      <c r="R6397" s="2" t="inlineStr"/>
    </row>
    <row r="6398" ht="15" customHeight="1">
      <c r="A6398" t="inlineStr">
        <is>
          <t>A 6809-2023</t>
        </is>
      </c>
      <c r="B6398" s="1" t="n">
        <v>44967</v>
      </c>
      <c r="C6398" s="1" t="n">
        <v>45677</v>
      </c>
      <c r="D6398" t="inlineStr">
        <is>
          <t>GÄVLEBORGS LÄN</t>
        </is>
      </c>
      <c r="E6398" t="inlineStr">
        <is>
          <t>HUDIKSVALL</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6882-2023</t>
        </is>
      </c>
      <c r="B6399" s="1" t="n">
        <v>44967</v>
      </c>
      <c r="C6399" s="1" t="n">
        <v>45677</v>
      </c>
      <c r="D6399" t="inlineStr">
        <is>
          <t>GÄVLEBORGS LÄN</t>
        </is>
      </c>
      <c r="E6399" t="inlineStr">
        <is>
          <t>BOLLNÄS</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6879-2023</t>
        </is>
      </c>
      <c r="B6400" s="1" t="n">
        <v>44967</v>
      </c>
      <c r="C6400" s="1" t="n">
        <v>45677</v>
      </c>
      <c r="D6400" t="inlineStr">
        <is>
          <t>GÄVLEBORGS LÄN</t>
        </is>
      </c>
      <c r="E6400" t="inlineStr">
        <is>
          <t>BOLLNÄS</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6972-2023</t>
        </is>
      </c>
      <c r="B6401" s="1" t="n">
        <v>44967</v>
      </c>
      <c r="C6401" s="1" t="n">
        <v>45677</v>
      </c>
      <c r="D6401" t="inlineStr">
        <is>
          <t>GÄVLEBORGS LÄN</t>
        </is>
      </c>
      <c r="E6401" t="inlineStr">
        <is>
          <t>GÄVLE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6922-2023</t>
        </is>
      </c>
      <c r="B6402" s="1" t="n">
        <v>44967</v>
      </c>
      <c r="C6402" s="1" t="n">
        <v>45677</v>
      </c>
      <c r="D6402" t="inlineStr">
        <is>
          <t>GÄVLEBORGS LÄN</t>
        </is>
      </c>
      <c r="E6402" t="inlineStr">
        <is>
          <t>BOLLNÄS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7012-2023</t>
        </is>
      </c>
      <c r="B6403" s="1" t="n">
        <v>44967</v>
      </c>
      <c r="C6403" s="1" t="n">
        <v>45677</v>
      </c>
      <c r="D6403" t="inlineStr">
        <is>
          <t>GÄVLEBORGS LÄN</t>
        </is>
      </c>
      <c r="E6403" t="inlineStr">
        <is>
          <t>LJUSDAL</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7014-2023</t>
        </is>
      </c>
      <c r="B6404" s="1" t="n">
        <v>44968</v>
      </c>
      <c r="C6404" s="1" t="n">
        <v>45677</v>
      </c>
      <c r="D6404" t="inlineStr">
        <is>
          <t>GÄVLEBORGS LÄN</t>
        </is>
      </c>
      <c r="E6404" t="inlineStr">
        <is>
          <t>NORDANSTIG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7013-2023</t>
        </is>
      </c>
      <c r="B6405" s="1" t="n">
        <v>44968</v>
      </c>
      <c r="C6405" s="1" t="n">
        <v>45677</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7065-2023</t>
        </is>
      </c>
      <c r="B6406" s="1" t="n">
        <v>44969</v>
      </c>
      <c r="C6406" s="1" t="n">
        <v>45677</v>
      </c>
      <c r="D6406" t="inlineStr">
        <is>
          <t>GÄVLEBORGS LÄN</t>
        </is>
      </c>
      <c r="E6406" t="inlineStr">
        <is>
          <t>HUDIKSVALL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7066-2023</t>
        </is>
      </c>
      <c r="B6407" s="1" t="n">
        <v>44969</v>
      </c>
      <c r="C6407" s="1" t="n">
        <v>45677</v>
      </c>
      <c r="D6407" t="inlineStr">
        <is>
          <t>GÄVLEBORGS LÄN</t>
        </is>
      </c>
      <c r="E6407" t="inlineStr">
        <is>
          <t>HUDIKSVALL</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7182-2023</t>
        </is>
      </c>
      <c r="B6408" s="1" t="n">
        <v>44970</v>
      </c>
      <c r="C6408" s="1" t="n">
        <v>45677</v>
      </c>
      <c r="D6408" t="inlineStr">
        <is>
          <t>GÄVLEBORGS LÄN</t>
        </is>
      </c>
      <c r="E6408" t="inlineStr">
        <is>
          <t>LJUSDAL</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7155-2023</t>
        </is>
      </c>
      <c r="B6409" s="1" t="n">
        <v>44970</v>
      </c>
      <c r="C6409" s="1" t="n">
        <v>45677</v>
      </c>
      <c r="D6409" t="inlineStr">
        <is>
          <t>GÄVLEBORGS LÄN</t>
        </is>
      </c>
      <c r="E6409" t="inlineStr">
        <is>
          <t>BOLLNÄS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7161-2023</t>
        </is>
      </c>
      <c r="B6410" s="1" t="n">
        <v>44970</v>
      </c>
      <c r="C6410" s="1" t="n">
        <v>45677</v>
      </c>
      <c r="D6410" t="inlineStr">
        <is>
          <t>GÄVLEBORGS LÄN</t>
        </is>
      </c>
      <c r="E6410" t="inlineStr">
        <is>
          <t>GÄVLE</t>
        </is>
      </c>
      <c r="F6410" t="inlineStr">
        <is>
          <t>Bergvik skog öst AB</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7177-2023</t>
        </is>
      </c>
      <c r="B6411" s="1" t="n">
        <v>44970</v>
      </c>
      <c r="C6411" s="1" t="n">
        <v>45677</v>
      </c>
      <c r="D6411" t="inlineStr">
        <is>
          <t>GÄVLEBORGS LÄN</t>
        </is>
      </c>
      <c r="E6411" t="inlineStr">
        <is>
          <t>LJUSDAL</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7192-2023</t>
        </is>
      </c>
      <c r="B6412" s="1" t="n">
        <v>44970</v>
      </c>
      <c r="C6412" s="1" t="n">
        <v>45677</v>
      </c>
      <c r="D6412" t="inlineStr">
        <is>
          <t>GÄVLEBORGS LÄN</t>
        </is>
      </c>
      <c r="E6412" t="inlineStr">
        <is>
          <t>LJUSDAL</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7227-2023</t>
        </is>
      </c>
      <c r="B6413" s="1" t="n">
        <v>44970</v>
      </c>
      <c r="C6413" s="1" t="n">
        <v>45677</v>
      </c>
      <c r="D6413" t="inlineStr">
        <is>
          <t>GÄVLEBORGS LÄN</t>
        </is>
      </c>
      <c r="E6413" t="inlineStr">
        <is>
          <t>OVANÅKER</t>
        </is>
      </c>
      <c r="G6413" t="n">
        <v>14.6</v>
      </c>
      <c r="H6413" t="n">
        <v>0</v>
      </c>
      <c r="I6413" t="n">
        <v>0</v>
      </c>
      <c r="J6413" t="n">
        <v>0</v>
      </c>
      <c r="K6413" t="n">
        <v>0</v>
      </c>
      <c r="L6413" t="n">
        <v>0</v>
      </c>
      <c r="M6413" t="n">
        <v>0</v>
      </c>
      <c r="N6413" t="n">
        <v>0</v>
      </c>
      <c r="O6413" t="n">
        <v>0</v>
      </c>
      <c r="P6413" t="n">
        <v>0</v>
      </c>
      <c r="Q6413" t="n">
        <v>0</v>
      </c>
      <c r="R6413" s="2" t="inlineStr"/>
    </row>
    <row r="6414" ht="15" customHeight="1">
      <c r="A6414" t="inlineStr">
        <is>
          <t>A 7160-2023</t>
        </is>
      </c>
      <c r="B6414" s="1" t="n">
        <v>44970</v>
      </c>
      <c r="C6414" s="1" t="n">
        <v>45677</v>
      </c>
      <c r="D6414" t="inlineStr">
        <is>
          <t>GÄVLEBORGS LÄN</t>
        </is>
      </c>
      <c r="E6414" t="inlineStr">
        <is>
          <t>NORDANSTIG</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7276-2023</t>
        </is>
      </c>
      <c r="B6415" s="1" t="n">
        <v>44970</v>
      </c>
      <c r="C6415" s="1" t="n">
        <v>45677</v>
      </c>
      <c r="D6415" t="inlineStr">
        <is>
          <t>GÄVLEBORGS LÄN</t>
        </is>
      </c>
      <c r="E6415" t="inlineStr">
        <is>
          <t>OCKELBO</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7410-2023</t>
        </is>
      </c>
      <c r="B6416" s="1" t="n">
        <v>44971</v>
      </c>
      <c r="C6416" s="1" t="n">
        <v>45677</v>
      </c>
      <c r="D6416" t="inlineStr">
        <is>
          <t>GÄVLEBORGS LÄN</t>
        </is>
      </c>
      <c r="E6416" t="inlineStr">
        <is>
          <t>GÄVLE</t>
        </is>
      </c>
      <c r="F6416" t="inlineStr">
        <is>
          <t>Bergvik skog öst AB</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7446-2023</t>
        </is>
      </c>
      <c r="B6417" s="1" t="n">
        <v>44971</v>
      </c>
      <c r="C6417" s="1" t="n">
        <v>45677</v>
      </c>
      <c r="D6417" t="inlineStr">
        <is>
          <t>GÄVLEBORGS LÄN</t>
        </is>
      </c>
      <c r="E6417" t="inlineStr">
        <is>
          <t>BOLLNÄS</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7468-2023</t>
        </is>
      </c>
      <c r="B6418" s="1" t="n">
        <v>44971</v>
      </c>
      <c r="C6418" s="1" t="n">
        <v>45677</v>
      </c>
      <c r="D6418" t="inlineStr">
        <is>
          <t>GÄVLEBORGS LÄN</t>
        </is>
      </c>
      <c r="E6418" t="inlineStr">
        <is>
          <t>BOLLNÄS</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7578-2023</t>
        </is>
      </c>
      <c r="B6419" s="1" t="n">
        <v>44972</v>
      </c>
      <c r="C6419" s="1" t="n">
        <v>45677</v>
      </c>
      <c r="D6419" t="inlineStr">
        <is>
          <t>GÄVLEBORGS LÄN</t>
        </is>
      </c>
      <c r="E6419" t="inlineStr">
        <is>
          <t>LJUSDAL</t>
        </is>
      </c>
      <c r="F6419" t="inlineStr">
        <is>
          <t>Kommuner</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7593-2023</t>
        </is>
      </c>
      <c r="B6420" s="1" t="n">
        <v>44972</v>
      </c>
      <c r="C6420" s="1" t="n">
        <v>45677</v>
      </c>
      <c r="D6420" t="inlineStr">
        <is>
          <t>GÄVLEBORGS LÄN</t>
        </is>
      </c>
      <c r="E6420" t="inlineStr">
        <is>
          <t>HUDIKSVALL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7569-2023</t>
        </is>
      </c>
      <c r="B6421" s="1" t="n">
        <v>44972</v>
      </c>
      <c r="C6421" s="1" t="n">
        <v>45677</v>
      </c>
      <c r="D6421" t="inlineStr">
        <is>
          <t>GÄVLEBORGS LÄN</t>
        </is>
      </c>
      <c r="E6421" t="inlineStr">
        <is>
          <t>LJUSDAL</t>
        </is>
      </c>
      <c r="F6421" t="inlineStr">
        <is>
          <t>Kommuner</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7576-2023</t>
        </is>
      </c>
      <c r="B6422" s="1" t="n">
        <v>44972</v>
      </c>
      <c r="C6422" s="1" t="n">
        <v>45677</v>
      </c>
      <c r="D6422" t="inlineStr">
        <is>
          <t>GÄVLEBORGS LÄN</t>
        </is>
      </c>
      <c r="E6422" t="inlineStr">
        <is>
          <t>LJUSDAL</t>
        </is>
      </c>
      <c r="F6422" t="inlineStr">
        <is>
          <t>Kommuner</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7575-2023</t>
        </is>
      </c>
      <c r="B6423" s="1" t="n">
        <v>44972</v>
      </c>
      <c r="C6423" s="1" t="n">
        <v>45677</v>
      </c>
      <c r="D6423" t="inlineStr">
        <is>
          <t>GÄVLEBORGS LÄN</t>
        </is>
      </c>
      <c r="E6423" t="inlineStr">
        <is>
          <t>GÄVLE</t>
        </is>
      </c>
      <c r="F6423" t="inlineStr">
        <is>
          <t>Bergvik skog öst AB</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7624-2023</t>
        </is>
      </c>
      <c r="B6424" s="1" t="n">
        <v>44972</v>
      </c>
      <c r="C6424" s="1" t="n">
        <v>45677</v>
      </c>
      <c r="D6424" t="inlineStr">
        <is>
          <t>GÄVLEBORGS LÄN</t>
        </is>
      </c>
      <c r="E6424" t="inlineStr">
        <is>
          <t>SANDVIKEN</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7605-2023</t>
        </is>
      </c>
      <c r="B6425" s="1" t="n">
        <v>44972</v>
      </c>
      <c r="C6425" s="1" t="n">
        <v>45677</v>
      </c>
      <c r="D6425" t="inlineStr">
        <is>
          <t>GÄVLEBORGS LÄN</t>
        </is>
      </c>
      <c r="E6425" t="inlineStr">
        <is>
          <t>HUDIKSVALL</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7662-2023</t>
        </is>
      </c>
      <c r="B6426" s="1" t="n">
        <v>44972</v>
      </c>
      <c r="C6426" s="1" t="n">
        <v>45677</v>
      </c>
      <c r="D6426" t="inlineStr">
        <is>
          <t>GÄVLEBORGS LÄN</t>
        </is>
      </c>
      <c r="E6426" t="inlineStr">
        <is>
          <t>HUDIKSVALL</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7792-2023</t>
        </is>
      </c>
      <c r="B6427" s="1" t="n">
        <v>44973</v>
      </c>
      <c r="C6427" s="1" t="n">
        <v>45677</v>
      </c>
      <c r="D6427" t="inlineStr">
        <is>
          <t>GÄVLEBORGS LÄN</t>
        </is>
      </c>
      <c r="E6427" t="inlineStr">
        <is>
          <t>GÄVLE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7914-2023</t>
        </is>
      </c>
      <c r="B6428" s="1" t="n">
        <v>44973</v>
      </c>
      <c r="C6428" s="1" t="n">
        <v>45677</v>
      </c>
      <c r="D6428" t="inlineStr">
        <is>
          <t>GÄVLEBORGS LÄN</t>
        </is>
      </c>
      <c r="E6428" t="inlineStr">
        <is>
          <t>NORDANSTIG</t>
        </is>
      </c>
      <c r="F6428" t="inlineStr">
        <is>
          <t>Holmen skog AB</t>
        </is>
      </c>
      <c r="G6428" t="n">
        <v>13.2</v>
      </c>
      <c r="H6428" t="n">
        <v>0</v>
      </c>
      <c r="I6428" t="n">
        <v>0</v>
      </c>
      <c r="J6428" t="n">
        <v>0</v>
      </c>
      <c r="K6428" t="n">
        <v>0</v>
      </c>
      <c r="L6428" t="n">
        <v>0</v>
      </c>
      <c r="M6428" t="n">
        <v>0</v>
      </c>
      <c r="N6428" t="n">
        <v>0</v>
      </c>
      <c r="O6428" t="n">
        <v>0</v>
      </c>
      <c r="P6428" t="n">
        <v>0</v>
      </c>
      <c r="Q6428" t="n">
        <v>0</v>
      </c>
      <c r="R6428" s="2" t="inlineStr"/>
    </row>
    <row r="6429" ht="15" customHeight="1">
      <c r="A6429" t="inlineStr">
        <is>
          <t>A 7998-2023</t>
        </is>
      </c>
      <c r="B6429" s="1" t="n">
        <v>44973</v>
      </c>
      <c r="C6429" s="1" t="n">
        <v>45677</v>
      </c>
      <c r="D6429" t="inlineStr">
        <is>
          <t>GÄVLEBORGS LÄN</t>
        </is>
      </c>
      <c r="E6429" t="inlineStr">
        <is>
          <t>GÄVLE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8137-2023</t>
        </is>
      </c>
      <c r="B6430" s="1" t="n">
        <v>44974</v>
      </c>
      <c r="C6430" s="1" t="n">
        <v>45677</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8151-2023</t>
        </is>
      </c>
      <c r="B6431" s="1" t="n">
        <v>44974</v>
      </c>
      <c r="C6431" s="1" t="n">
        <v>45677</v>
      </c>
      <c r="D6431" t="inlineStr">
        <is>
          <t>GÄVLEBORGS LÄN</t>
        </is>
      </c>
      <c r="E6431" t="inlineStr">
        <is>
          <t>BOLLNÄS</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8118-2023</t>
        </is>
      </c>
      <c r="B6432" s="1" t="n">
        <v>44974</v>
      </c>
      <c r="C6432" s="1" t="n">
        <v>45677</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8300-2023</t>
        </is>
      </c>
      <c r="B6433" s="1" t="n">
        <v>44974</v>
      </c>
      <c r="C6433" s="1" t="n">
        <v>45677</v>
      </c>
      <c r="D6433" t="inlineStr">
        <is>
          <t>GÄVLEBORGS LÄN</t>
        </is>
      </c>
      <c r="E6433" t="inlineStr">
        <is>
          <t>LJUSDAL</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8441-2023</t>
        </is>
      </c>
      <c r="B6434" s="1" t="n">
        <v>44977</v>
      </c>
      <c r="C6434" s="1" t="n">
        <v>45677</v>
      </c>
      <c r="D6434" t="inlineStr">
        <is>
          <t>GÄVLEBORGS LÄN</t>
        </is>
      </c>
      <c r="E6434" t="inlineStr">
        <is>
          <t>HUDIKSVALL</t>
        </is>
      </c>
      <c r="F6434" t="inlineStr">
        <is>
          <t>Holmen skog AB</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8391-2023</t>
        </is>
      </c>
      <c r="B6435" s="1" t="n">
        <v>44977</v>
      </c>
      <c r="C6435" s="1" t="n">
        <v>45677</v>
      </c>
      <c r="D6435" t="inlineStr">
        <is>
          <t>GÄVLEBORGS LÄN</t>
        </is>
      </c>
      <c r="E6435" t="inlineStr">
        <is>
          <t>HUDIKSVALL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8631-2023</t>
        </is>
      </c>
      <c r="B6436" s="1" t="n">
        <v>44977</v>
      </c>
      <c r="C6436" s="1" t="n">
        <v>45677</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8659-2023</t>
        </is>
      </c>
      <c r="B6437" s="1" t="n">
        <v>44977</v>
      </c>
      <c r="C6437" s="1" t="n">
        <v>45677</v>
      </c>
      <c r="D6437" t="inlineStr">
        <is>
          <t>GÄVLEBORGS LÄN</t>
        </is>
      </c>
      <c r="E6437" t="inlineStr">
        <is>
          <t>LJUSDAL</t>
        </is>
      </c>
      <c r="F6437" t="inlineStr">
        <is>
          <t>SCA</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8664-2023</t>
        </is>
      </c>
      <c r="B6438" s="1" t="n">
        <v>44977</v>
      </c>
      <c r="C6438" s="1" t="n">
        <v>45677</v>
      </c>
      <c r="D6438" t="inlineStr">
        <is>
          <t>GÄVLEBORGS LÄN</t>
        </is>
      </c>
      <c r="E6438" t="inlineStr">
        <is>
          <t>LJUSDAL</t>
        </is>
      </c>
      <c r="F6438" t="inlineStr">
        <is>
          <t>SCA</t>
        </is>
      </c>
      <c r="G6438" t="n">
        <v>23.3</v>
      </c>
      <c r="H6438" t="n">
        <v>0</v>
      </c>
      <c r="I6438" t="n">
        <v>0</v>
      </c>
      <c r="J6438" t="n">
        <v>0</v>
      </c>
      <c r="K6438" t="n">
        <v>0</v>
      </c>
      <c r="L6438" t="n">
        <v>0</v>
      </c>
      <c r="M6438" t="n">
        <v>0</v>
      </c>
      <c r="N6438" t="n">
        <v>0</v>
      </c>
      <c r="O6438" t="n">
        <v>0</v>
      </c>
      <c r="P6438" t="n">
        <v>0</v>
      </c>
      <c r="Q6438" t="n">
        <v>0</v>
      </c>
      <c r="R6438" s="2" t="inlineStr"/>
    </row>
    <row r="6439" ht="15" customHeight="1">
      <c r="A6439" t="inlineStr">
        <is>
          <t>A 8595-2023</t>
        </is>
      </c>
      <c r="B6439" s="1" t="n">
        <v>44977</v>
      </c>
      <c r="C6439" s="1" t="n">
        <v>45677</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8618-2023</t>
        </is>
      </c>
      <c r="B6440" s="1" t="n">
        <v>44977</v>
      </c>
      <c r="C6440" s="1" t="n">
        <v>45677</v>
      </c>
      <c r="D6440" t="inlineStr">
        <is>
          <t>GÄVLEBORGS LÄN</t>
        </is>
      </c>
      <c r="E6440" t="inlineStr">
        <is>
          <t>OVANÅKER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8633-2023</t>
        </is>
      </c>
      <c r="B6441" s="1" t="n">
        <v>44977</v>
      </c>
      <c r="C6441" s="1" t="n">
        <v>45677</v>
      </c>
      <c r="D6441" t="inlineStr">
        <is>
          <t>GÄVLEBORGS LÄN</t>
        </is>
      </c>
      <c r="E6441" t="inlineStr">
        <is>
          <t>SÖDERHAMN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8510-2023</t>
        </is>
      </c>
      <c r="B6442" s="1" t="n">
        <v>44977</v>
      </c>
      <c r="C6442" s="1" t="n">
        <v>45677</v>
      </c>
      <c r="D6442" t="inlineStr">
        <is>
          <t>GÄVLEBORGS LÄN</t>
        </is>
      </c>
      <c r="E6442" t="inlineStr">
        <is>
          <t>HOFORS</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8662-2023</t>
        </is>
      </c>
      <c r="B6443" s="1" t="n">
        <v>44977</v>
      </c>
      <c r="C6443" s="1" t="n">
        <v>45677</v>
      </c>
      <c r="D6443" t="inlineStr">
        <is>
          <t>GÄVLEBORGS LÄN</t>
        </is>
      </c>
      <c r="E6443" t="inlineStr">
        <is>
          <t>LJUSDAL</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8660-2023</t>
        </is>
      </c>
      <c r="B6444" s="1" t="n">
        <v>44977</v>
      </c>
      <c r="C6444" s="1" t="n">
        <v>45677</v>
      </c>
      <c r="D6444" t="inlineStr">
        <is>
          <t>GÄVLEBORGS LÄN</t>
        </is>
      </c>
      <c r="E6444" t="inlineStr">
        <is>
          <t>LJUSDAL</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8661-2023</t>
        </is>
      </c>
      <c r="B6445" s="1" t="n">
        <v>44977</v>
      </c>
      <c r="C6445" s="1" t="n">
        <v>45677</v>
      </c>
      <c r="D6445" t="inlineStr">
        <is>
          <t>GÄVLEBORGS LÄN</t>
        </is>
      </c>
      <c r="E6445" t="inlineStr">
        <is>
          <t>LJUSDAL</t>
        </is>
      </c>
      <c r="F6445" t="inlineStr">
        <is>
          <t>SCA</t>
        </is>
      </c>
      <c r="G6445" t="n">
        <v>41.6</v>
      </c>
      <c r="H6445" t="n">
        <v>0</v>
      </c>
      <c r="I6445" t="n">
        <v>0</v>
      </c>
      <c r="J6445" t="n">
        <v>0</v>
      </c>
      <c r="K6445" t="n">
        <v>0</v>
      </c>
      <c r="L6445" t="n">
        <v>0</v>
      </c>
      <c r="M6445" t="n">
        <v>0</v>
      </c>
      <c r="N6445" t="n">
        <v>0</v>
      </c>
      <c r="O6445" t="n">
        <v>0</v>
      </c>
      <c r="P6445" t="n">
        <v>0</v>
      </c>
      <c r="Q6445" t="n">
        <v>0</v>
      </c>
      <c r="R6445" s="2" t="inlineStr"/>
    </row>
    <row r="6446" ht="15" customHeight="1">
      <c r="A6446" t="inlineStr">
        <is>
          <t>A 8696-2023</t>
        </is>
      </c>
      <c r="B6446" s="1" t="n">
        <v>44978</v>
      </c>
      <c r="C6446" s="1" t="n">
        <v>45677</v>
      </c>
      <c r="D6446" t="inlineStr">
        <is>
          <t>GÄVLEBORGS LÄN</t>
        </is>
      </c>
      <c r="E6446" t="inlineStr">
        <is>
          <t>BOLLNÄS</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8714-2023</t>
        </is>
      </c>
      <c r="B6447" s="1" t="n">
        <v>44978</v>
      </c>
      <c r="C6447" s="1" t="n">
        <v>45677</v>
      </c>
      <c r="D6447" t="inlineStr">
        <is>
          <t>GÄVLEBORGS LÄN</t>
        </is>
      </c>
      <c r="E6447" t="inlineStr">
        <is>
          <t>HUDIKSVALL</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8728-2023</t>
        </is>
      </c>
      <c r="B6448" s="1" t="n">
        <v>44978</v>
      </c>
      <c r="C6448" s="1" t="n">
        <v>45677</v>
      </c>
      <c r="D6448" t="inlineStr">
        <is>
          <t>GÄVLEBORGS LÄN</t>
        </is>
      </c>
      <c r="E6448" t="inlineStr">
        <is>
          <t>NORDANSTIG</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8754-2023</t>
        </is>
      </c>
      <c r="B6449" s="1" t="n">
        <v>44978</v>
      </c>
      <c r="C6449" s="1" t="n">
        <v>45677</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8732-2023</t>
        </is>
      </c>
      <c r="B6450" s="1" t="n">
        <v>44978</v>
      </c>
      <c r="C6450" s="1" t="n">
        <v>45677</v>
      </c>
      <c r="D6450" t="inlineStr">
        <is>
          <t>GÄVLEBORGS LÄN</t>
        </is>
      </c>
      <c r="E6450" t="inlineStr">
        <is>
          <t>HUDIKSVALL</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8752-2023</t>
        </is>
      </c>
      <c r="B6451" s="1" t="n">
        <v>44978</v>
      </c>
      <c r="C6451" s="1" t="n">
        <v>45677</v>
      </c>
      <c r="D6451" t="inlineStr">
        <is>
          <t>GÄVLEBORGS LÄN</t>
        </is>
      </c>
      <c r="E6451" t="inlineStr">
        <is>
          <t>HUDIKSVALL</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8809-2023</t>
        </is>
      </c>
      <c r="B6452" s="1" t="n">
        <v>44978</v>
      </c>
      <c r="C6452" s="1" t="n">
        <v>45677</v>
      </c>
      <c r="D6452" t="inlineStr">
        <is>
          <t>GÄVLEBORGS LÄN</t>
        </is>
      </c>
      <c r="E6452" t="inlineStr">
        <is>
          <t>HUDIKSVALL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8810-2023</t>
        </is>
      </c>
      <c r="B6453" s="1" t="n">
        <v>44978</v>
      </c>
      <c r="C6453" s="1" t="n">
        <v>45677</v>
      </c>
      <c r="D6453" t="inlineStr">
        <is>
          <t>GÄVLEBORGS LÄN</t>
        </is>
      </c>
      <c r="E6453" t="inlineStr">
        <is>
          <t>HUDIKSVALL</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8822-2023</t>
        </is>
      </c>
      <c r="B6454" s="1" t="n">
        <v>44978</v>
      </c>
      <c r="C6454" s="1" t="n">
        <v>45677</v>
      </c>
      <c r="D6454" t="inlineStr">
        <is>
          <t>GÄVLEBORGS LÄN</t>
        </is>
      </c>
      <c r="E6454" t="inlineStr">
        <is>
          <t>HUDIKSVALL</t>
        </is>
      </c>
      <c r="G6454" t="n">
        <v>15.8</v>
      </c>
      <c r="H6454" t="n">
        <v>0</v>
      </c>
      <c r="I6454" t="n">
        <v>0</v>
      </c>
      <c r="J6454" t="n">
        <v>0</v>
      </c>
      <c r="K6454" t="n">
        <v>0</v>
      </c>
      <c r="L6454" t="n">
        <v>0</v>
      </c>
      <c r="M6454" t="n">
        <v>0</v>
      </c>
      <c r="N6454" t="n">
        <v>0</v>
      </c>
      <c r="O6454" t="n">
        <v>0</v>
      </c>
      <c r="P6454" t="n">
        <v>0</v>
      </c>
      <c r="Q6454" t="n">
        <v>0</v>
      </c>
      <c r="R6454" s="2" t="inlineStr"/>
    </row>
    <row r="6455" ht="15" customHeight="1">
      <c r="A6455" t="inlineStr">
        <is>
          <t>A 8902-2023</t>
        </is>
      </c>
      <c r="B6455" s="1" t="n">
        <v>44979</v>
      </c>
      <c r="C6455" s="1" t="n">
        <v>45677</v>
      </c>
      <c r="D6455" t="inlineStr">
        <is>
          <t>GÄVLEBORGS LÄN</t>
        </is>
      </c>
      <c r="E6455" t="inlineStr">
        <is>
          <t>GÄVLE</t>
        </is>
      </c>
      <c r="F6455" t="inlineStr">
        <is>
          <t>Bergvik skog öst AB</t>
        </is>
      </c>
      <c r="G6455" t="n">
        <v>13.6</v>
      </c>
      <c r="H6455" t="n">
        <v>0</v>
      </c>
      <c r="I6455" t="n">
        <v>0</v>
      </c>
      <c r="J6455" t="n">
        <v>0</v>
      </c>
      <c r="K6455" t="n">
        <v>0</v>
      </c>
      <c r="L6455" t="n">
        <v>0</v>
      </c>
      <c r="M6455" t="n">
        <v>0</v>
      </c>
      <c r="N6455" t="n">
        <v>0</v>
      </c>
      <c r="O6455" t="n">
        <v>0</v>
      </c>
      <c r="P6455" t="n">
        <v>0</v>
      </c>
      <c r="Q6455" t="n">
        <v>0</v>
      </c>
      <c r="R6455" s="2" t="inlineStr"/>
    </row>
    <row r="6456" ht="15" customHeight="1">
      <c r="A6456" t="inlineStr">
        <is>
          <t>A 8904-2023</t>
        </is>
      </c>
      <c r="B6456" s="1" t="n">
        <v>44979</v>
      </c>
      <c r="C6456" s="1" t="n">
        <v>45677</v>
      </c>
      <c r="D6456" t="inlineStr">
        <is>
          <t>GÄVLEBORGS LÄN</t>
        </is>
      </c>
      <c r="E6456" t="inlineStr">
        <is>
          <t>GÄVLE</t>
        </is>
      </c>
      <c r="F6456" t="inlineStr">
        <is>
          <t>Kyrkan</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9010-2023</t>
        </is>
      </c>
      <c r="B6457" s="1" t="n">
        <v>44979</v>
      </c>
      <c r="C6457" s="1" t="n">
        <v>45677</v>
      </c>
      <c r="D6457" t="inlineStr">
        <is>
          <t>GÄVLEBORGS LÄN</t>
        </is>
      </c>
      <c r="E6457" t="inlineStr">
        <is>
          <t>OVANÅKER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9018-2023</t>
        </is>
      </c>
      <c r="B6458" s="1" t="n">
        <v>44979</v>
      </c>
      <c r="C6458" s="1" t="n">
        <v>45677</v>
      </c>
      <c r="D6458" t="inlineStr">
        <is>
          <t>GÄVLEBORGS LÄN</t>
        </is>
      </c>
      <c r="E6458" t="inlineStr">
        <is>
          <t>NORDANSTIG</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9026-2023</t>
        </is>
      </c>
      <c r="B6459" s="1" t="n">
        <v>44979</v>
      </c>
      <c r="C6459" s="1" t="n">
        <v>45677</v>
      </c>
      <c r="D6459" t="inlineStr">
        <is>
          <t>GÄVLEBORGS LÄN</t>
        </is>
      </c>
      <c r="E6459" t="inlineStr">
        <is>
          <t>HUDIKSVALL</t>
        </is>
      </c>
      <c r="F6459" t="inlineStr">
        <is>
          <t>Holmen skog AB</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9163-2023</t>
        </is>
      </c>
      <c r="B6460" s="1" t="n">
        <v>44980</v>
      </c>
      <c r="C6460" s="1" t="n">
        <v>45677</v>
      </c>
      <c r="D6460" t="inlineStr">
        <is>
          <t>GÄVLEBORGS LÄN</t>
        </is>
      </c>
      <c r="E6460" t="inlineStr">
        <is>
          <t>HUDIKSVALL</t>
        </is>
      </c>
      <c r="F6460" t="inlineStr">
        <is>
          <t>Holmen skog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9140-2023</t>
        </is>
      </c>
      <c r="B6461" s="1" t="n">
        <v>44980</v>
      </c>
      <c r="C6461" s="1" t="n">
        <v>45677</v>
      </c>
      <c r="D6461" t="inlineStr">
        <is>
          <t>GÄVLEBORGS LÄN</t>
        </is>
      </c>
      <c r="E6461" t="inlineStr">
        <is>
          <t>HUDIKSVALL</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9199-2023</t>
        </is>
      </c>
      <c r="B6462" s="1" t="n">
        <v>44980</v>
      </c>
      <c r="C6462" s="1" t="n">
        <v>45677</v>
      </c>
      <c r="D6462" t="inlineStr">
        <is>
          <t>GÄVLEBORGS LÄN</t>
        </is>
      </c>
      <c r="E6462" t="inlineStr">
        <is>
          <t>NORDANSTIG</t>
        </is>
      </c>
      <c r="F6462" t="inlineStr">
        <is>
          <t>Holmen skog AB</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9219-2023</t>
        </is>
      </c>
      <c r="B6463" s="1" t="n">
        <v>44980</v>
      </c>
      <c r="C6463" s="1" t="n">
        <v>45677</v>
      </c>
      <c r="D6463" t="inlineStr">
        <is>
          <t>GÄVLEBORGS LÄN</t>
        </is>
      </c>
      <c r="E6463" t="inlineStr">
        <is>
          <t>SANDVIKEN</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9228-2023</t>
        </is>
      </c>
      <c r="B6464" s="1" t="n">
        <v>44980</v>
      </c>
      <c r="C6464" s="1" t="n">
        <v>45677</v>
      </c>
      <c r="D6464" t="inlineStr">
        <is>
          <t>GÄVLEBORGS LÄN</t>
        </is>
      </c>
      <c r="E6464" t="inlineStr">
        <is>
          <t>NORDANSTIG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9241-2023</t>
        </is>
      </c>
      <c r="B6465" s="1" t="n">
        <v>44980</v>
      </c>
      <c r="C6465" s="1" t="n">
        <v>45677</v>
      </c>
      <c r="D6465" t="inlineStr">
        <is>
          <t>GÄVLEBORGS LÄN</t>
        </is>
      </c>
      <c r="E6465" t="inlineStr">
        <is>
          <t>LJUSDAL</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9179-2023</t>
        </is>
      </c>
      <c r="B6466" s="1" t="n">
        <v>44980</v>
      </c>
      <c r="C6466" s="1" t="n">
        <v>45677</v>
      </c>
      <c r="D6466" t="inlineStr">
        <is>
          <t>GÄVLEBORGS LÄN</t>
        </is>
      </c>
      <c r="E6466" t="inlineStr">
        <is>
          <t>HUDIKSVALL</t>
        </is>
      </c>
      <c r="F6466" t="inlineStr">
        <is>
          <t>Holmen skog AB</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9240-2023</t>
        </is>
      </c>
      <c r="B6467" s="1" t="n">
        <v>44980</v>
      </c>
      <c r="C6467" s="1" t="n">
        <v>45677</v>
      </c>
      <c r="D6467" t="inlineStr">
        <is>
          <t>GÄVLEBORGS LÄN</t>
        </is>
      </c>
      <c r="E6467" t="inlineStr">
        <is>
          <t>NORDANSTIG</t>
        </is>
      </c>
      <c r="F6467" t="inlineStr">
        <is>
          <t>Holmen skog AB</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9316-2023</t>
        </is>
      </c>
      <c r="B6468" s="1" t="n">
        <v>44980</v>
      </c>
      <c r="C6468" s="1" t="n">
        <v>45677</v>
      </c>
      <c r="D6468" t="inlineStr">
        <is>
          <t>GÄVLEBORGS LÄN</t>
        </is>
      </c>
      <c r="E6468" t="inlineStr">
        <is>
          <t>NORDANSTIG</t>
        </is>
      </c>
      <c r="F6468" t="inlineStr">
        <is>
          <t>Holmen skog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9322-2023</t>
        </is>
      </c>
      <c r="B6469" s="1" t="n">
        <v>44980</v>
      </c>
      <c r="C6469" s="1" t="n">
        <v>45677</v>
      </c>
      <c r="D6469" t="inlineStr">
        <is>
          <t>GÄVLEBORGS LÄN</t>
        </is>
      </c>
      <c r="E6469" t="inlineStr">
        <is>
          <t>NORDANSTIG</t>
        </is>
      </c>
      <c r="F6469" t="inlineStr">
        <is>
          <t>Holmen skog AB</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9318-2023</t>
        </is>
      </c>
      <c r="B6470" s="1" t="n">
        <v>44980</v>
      </c>
      <c r="C6470" s="1" t="n">
        <v>45677</v>
      </c>
      <c r="D6470" t="inlineStr">
        <is>
          <t>GÄVLEBORGS LÄN</t>
        </is>
      </c>
      <c r="E6470" t="inlineStr">
        <is>
          <t>NORDANSTIG</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9135-2023</t>
        </is>
      </c>
      <c r="B6471" s="1" t="n">
        <v>44980</v>
      </c>
      <c r="C6471" s="1" t="n">
        <v>45677</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9172-2023</t>
        </is>
      </c>
      <c r="B6472" s="1" t="n">
        <v>44980</v>
      </c>
      <c r="C6472" s="1" t="n">
        <v>45677</v>
      </c>
      <c r="D6472" t="inlineStr">
        <is>
          <t>GÄVLEBORGS LÄN</t>
        </is>
      </c>
      <c r="E6472" t="inlineStr">
        <is>
          <t>HUDIKSVALL</t>
        </is>
      </c>
      <c r="F6472" t="inlineStr">
        <is>
          <t>Holmen skog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9191-2023</t>
        </is>
      </c>
      <c r="B6473" s="1" t="n">
        <v>44980</v>
      </c>
      <c r="C6473" s="1" t="n">
        <v>45677</v>
      </c>
      <c r="D6473" t="inlineStr">
        <is>
          <t>GÄVLEBORGS LÄN</t>
        </is>
      </c>
      <c r="E6473" t="inlineStr">
        <is>
          <t>NORDANSTIG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9244-2023</t>
        </is>
      </c>
      <c r="B6474" s="1" t="n">
        <v>44980</v>
      </c>
      <c r="C6474" s="1" t="n">
        <v>45677</v>
      </c>
      <c r="D6474" t="inlineStr">
        <is>
          <t>GÄVLEBORGS LÄN</t>
        </is>
      </c>
      <c r="E6474" t="inlineStr">
        <is>
          <t>NORDANSTIG</t>
        </is>
      </c>
      <c r="F6474" t="inlineStr">
        <is>
          <t>Holmen skog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10192-2023</t>
        </is>
      </c>
      <c r="B6475" s="1" t="n">
        <v>44980</v>
      </c>
      <c r="C6475" s="1" t="n">
        <v>45677</v>
      </c>
      <c r="D6475" t="inlineStr">
        <is>
          <t>GÄVLEBORGS LÄN</t>
        </is>
      </c>
      <c r="E6475" t="inlineStr">
        <is>
          <t>LJUSDAL</t>
        </is>
      </c>
      <c r="F6475" t="inlineStr">
        <is>
          <t>Allmännings- och besparingsskogar</t>
        </is>
      </c>
      <c r="G6475" t="n">
        <v>24.3</v>
      </c>
      <c r="H6475" t="n">
        <v>0</v>
      </c>
      <c r="I6475" t="n">
        <v>0</v>
      </c>
      <c r="J6475" t="n">
        <v>0</v>
      </c>
      <c r="K6475" t="n">
        <v>0</v>
      </c>
      <c r="L6475" t="n">
        <v>0</v>
      </c>
      <c r="M6475" t="n">
        <v>0</v>
      </c>
      <c r="N6475" t="n">
        <v>0</v>
      </c>
      <c r="O6475" t="n">
        <v>0</v>
      </c>
      <c r="P6475" t="n">
        <v>0</v>
      </c>
      <c r="Q6475" t="n">
        <v>0</v>
      </c>
      <c r="R6475" s="2" t="inlineStr"/>
    </row>
    <row r="6476" ht="15" customHeight="1">
      <c r="A6476" t="inlineStr">
        <is>
          <t>A 9597-2023</t>
        </is>
      </c>
      <c r="B6476" s="1" t="n">
        <v>44983</v>
      </c>
      <c r="C6476" s="1" t="n">
        <v>45677</v>
      </c>
      <c r="D6476" t="inlineStr">
        <is>
          <t>GÄVLEBORGS LÄN</t>
        </is>
      </c>
      <c r="E6476" t="inlineStr">
        <is>
          <t>SÖDERHAMN</t>
        </is>
      </c>
      <c r="G6476" t="n">
        <v>13.4</v>
      </c>
      <c r="H6476" t="n">
        <v>0</v>
      </c>
      <c r="I6476" t="n">
        <v>0</v>
      </c>
      <c r="J6476" t="n">
        <v>0</v>
      </c>
      <c r="K6476" t="n">
        <v>0</v>
      </c>
      <c r="L6476" t="n">
        <v>0</v>
      </c>
      <c r="M6476" t="n">
        <v>0</v>
      </c>
      <c r="N6476" t="n">
        <v>0</v>
      </c>
      <c r="O6476" t="n">
        <v>0</v>
      </c>
      <c r="P6476" t="n">
        <v>0</v>
      </c>
      <c r="Q6476" t="n">
        <v>0</v>
      </c>
      <c r="R6476" s="2" t="inlineStr"/>
    </row>
    <row r="6477" ht="15" customHeight="1">
      <c r="A6477" t="inlineStr">
        <is>
          <t>A 9590-2023</t>
        </is>
      </c>
      <c r="B6477" s="1" t="n">
        <v>44983</v>
      </c>
      <c r="C6477" s="1" t="n">
        <v>45677</v>
      </c>
      <c r="D6477" t="inlineStr">
        <is>
          <t>GÄVLEBORGS LÄN</t>
        </is>
      </c>
      <c r="E6477" t="inlineStr">
        <is>
          <t>SÖDERHAMN</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9742-2023</t>
        </is>
      </c>
      <c r="B6478" s="1" t="n">
        <v>44984</v>
      </c>
      <c r="C6478" s="1" t="n">
        <v>45677</v>
      </c>
      <c r="D6478" t="inlineStr">
        <is>
          <t>GÄVLEBORGS LÄN</t>
        </is>
      </c>
      <c r="E6478" t="inlineStr">
        <is>
          <t>BOLLNÄS</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9946-2023</t>
        </is>
      </c>
      <c r="B6479" s="1" t="n">
        <v>44985</v>
      </c>
      <c r="C6479" s="1" t="n">
        <v>45677</v>
      </c>
      <c r="D6479" t="inlineStr">
        <is>
          <t>GÄVLEBORGS LÄN</t>
        </is>
      </c>
      <c r="E6479" t="inlineStr">
        <is>
          <t>LJUSDAL</t>
        </is>
      </c>
      <c r="F6479" t="inlineStr">
        <is>
          <t>Bergvik skog väst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9883-2023</t>
        </is>
      </c>
      <c r="B6480" s="1" t="n">
        <v>44985</v>
      </c>
      <c r="C6480" s="1" t="n">
        <v>45677</v>
      </c>
      <c r="D6480" t="inlineStr">
        <is>
          <t>GÄVLEBORGS LÄN</t>
        </is>
      </c>
      <c r="E6480" t="inlineStr">
        <is>
          <t>GÄVLE</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9926-2023</t>
        </is>
      </c>
      <c r="B6481" s="1" t="n">
        <v>44985</v>
      </c>
      <c r="C6481" s="1" t="n">
        <v>45677</v>
      </c>
      <c r="D6481" t="inlineStr">
        <is>
          <t>GÄVLEBORGS LÄN</t>
        </is>
      </c>
      <c r="E6481" t="inlineStr">
        <is>
          <t>LJUSDAL</t>
        </is>
      </c>
      <c r="F6481" t="inlineStr">
        <is>
          <t>Bergvik skog väst AB</t>
        </is>
      </c>
      <c r="G6481" t="n">
        <v>17.5</v>
      </c>
      <c r="H6481" t="n">
        <v>0</v>
      </c>
      <c r="I6481" t="n">
        <v>0</v>
      </c>
      <c r="J6481" t="n">
        <v>0</v>
      </c>
      <c r="K6481" t="n">
        <v>0</v>
      </c>
      <c r="L6481" t="n">
        <v>0</v>
      </c>
      <c r="M6481" t="n">
        <v>0</v>
      </c>
      <c r="N6481" t="n">
        <v>0</v>
      </c>
      <c r="O6481" t="n">
        <v>0</v>
      </c>
      <c r="P6481" t="n">
        <v>0</v>
      </c>
      <c r="Q6481" t="n">
        <v>0</v>
      </c>
      <c r="R6481" s="2" t="inlineStr"/>
    </row>
    <row r="6482" ht="15" customHeight="1">
      <c r="A6482" t="inlineStr">
        <is>
          <t>A 9884-2023</t>
        </is>
      </c>
      <c r="B6482" s="1" t="n">
        <v>44985</v>
      </c>
      <c r="C6482" s="1" t="n">
        <v>45677</v>
      </c>
      <c r="D6482" t="inlineStr">
        <is>
          <t>GÄVLEBORGS LÄN</t>
        </is>
      </c>
      <c r="E6482" t="inlineStr">
        <is>
          <t>NORDANSTIG</t>
        </is>
      </c>
      <c r="F6482" t="inlineStr">
        <is>
          <t>Holmen skog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9888-2023</t>
        </is>
      </c>
      <c r="B6483" s="1" t="n">
        <v>44985</v>
      </c>
      <c r="C6483" s="1" t="n">
        <v>45677</v>
      </c>
      <c r="D6483" t="inlineStr">
        <is>
          <t>GÄVLEBORGS LÄN</t>
        </is>
      </c>
      <c r="E6483" t="inlineStr">
        <is>
          <t>NORDANSTIG</t>
        </is>
      </c>
      <c r="F6483" t="inlineStr">
        <is>
          <t>Holmen skog AB</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9991-2023</t>
        </is>
      </c>
      <c r="B6484" s="1" t="n">
        <v>44985</v>
      </c>
      <c r="C6484" s="1" t="n">
        <v>45677</v>
      </c>
      <c r="D6484" t="inlineStr">
        <is>
          <t>GÄVLEBORGS LÄN</t>
        </is>
      </c>
      <c r="E6484" t="inlineStr">
        <is>
          <t>NORDANSTIG</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10038-2023</t>
        </is>
      </c>
      <c r="B6485" s="1" t="n">
        <v>44985</v>
      </c>
      <c r="C6485" s="1" t="n">
        <v>45677</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10018-2023</t>
        </is>
      </c>
      <c r="B6486" s="1" t="n">
        <v>44985</v>
      </c>
      <c r="C6486" s="1" t="n">
        <v>45677</v>
      </c>
      <c r="D6486" t="inlineStr">
        <is>
          <t>GÄVLEBORGS LÄN</t>
        </is>
      </c>
      <c r="E6486" t="inlineStr">
        <is>
          <t>GÄVLE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10041-2023</t>
        </is>
      </c>
      <c r="B6487" s="1" t="n">
        <v>44985</v>
      </c>
      <c r="C6487" s="1" t="n">
        <v>45677</v>
      </c>
      <c r="D6487" t="inlineStr">
        <is>
          <t>GÄVLEBORGS LÄN</t>
        </is>
      </c>
      <c r="E6487" t="inlineStr">
        <is>
          <t>OVANÅKER</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9937-2023</t>
        </is>
      </c>
      <c r="B6488" s="1" t="n">
        <v>44985</v>
      </c>
      <c r="C6488" s="1" t="n">
        <v>45677</v>
      </c>
      <c r="D6488" t="inlineStr">
        <is>
          <t>GÄVLEBORGS LÄN</t>
        </is>
      </c>
      <c r="E6488" t="inlineStr">
        <is>
          <t>LJUSDAL</t>
        </is>
      </c>
      <c r="F6488" t="inlineStr">
        <is>
          <t>Bergvik skog väst AB</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9981-2023</t>
        </is>
      </c>
      <c r="B6489" s="1" t="n">
        <v>44985</v>
      </c>
      <c r="C6489" s="1" t="n">
        <v>45677</v>
      </c>
      <c r="D6489" t="inlineStr">
        <is>
          <t>GÄVLEBORGS LÄN</t>
        </is>
      </c>
      <c r="E6489" t="inlineStr">
        <is>
          <t>LJUSDAL</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9999-2023</t>
        </is>
      </c>
      <c r="B6490" s="1" t="n">
        <v>44985</v>
      </c>
      <c r="C6490" s="1" t="n">
        <v>45677</v>
      </c>
      <c r="D6490" t="inlineStr">
        <is>
          <t>GÄVLEBORGS LÄN</t>
        </is>
      </c>
      <c r="E6490" t="inlineStr">
        <is>
          <t>LJUSDAL</t>
        </is>
      </c>
      <c r="F6490" t="inlineStr">
        <is>
          <t>Bergvik skog väst AB</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10026-2023</t>
        </is>
      </c>
      <c r="B6491" s="1" t="n">
        <v>44985</v>
      </c>
      <c r="C6491" s="1" t="n">
        <v>45677</v>
      </c>
      <c r="D6491" t="inlineStr">
        <is>
          <t>GÄVLEBORGS LÄN</t>
        </is>
      </c>
      <c r="E6491" t="inlineStr">
        <is>
          <t>LJUSDAL</t>
        </is>
      </c>
      <c r="F6491" t="inlineStr">
        <is>
          <t>Holmen skog AB</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10150-2023</t>
        </is>
      </c>
      <c r="B6492" s="1" t="n">
        <v>44986</v>
      </c>
      <c r="C6492" s="1" t="n">
        <v>45677</v>
      </c>
      <c r="D6492" t="inlineStr">
        <is>
          <t>GÄVLEBORGS LÄN</t>
        </is>
      </c>
      <c r="E6492" t="inlineStr">
        <is>
          <t>OCKELBO</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10165-2023</t>
        </is>
      </c>
      <c r="B6493" s="1" t="n">
        <v>44986</v>
      </c>
      <c r="C6493" s="1" t="n">
        <v>45677</v>
      </c>
      <c r="D6493" t="inlineStr">
        <is>
          <t>GÄVLEBORGS LÄN</t>
        </is>
      </c>
      <c r="E6493" t="inlineStr">
        <is>
          <t>GÄVLE</t>
        </is>
      </c>
      <c r="F6493" t="inlineStr">
        <is>
          <t>Kyrkan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10193-2023</t>
        </is>
      </c>
      <c r="B6494" s="1" t="n">
        <v>44986</v>
      </c>
      <c r="C6494" s="1" t="n">
        <v>45677</v>
      </c>
      <c r="D6494" t="inlineStr">
        <is>
          <t>GÄVLEBORGS LÄN</t>
        </is>
      </c>
      <c r="E6494" t="inlineStr">
        <is>
          <t>HUDIKSVALL</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10161-2023</t>
        </is>
      </c>
      <c r="B6495" s="1" t="n">
        <v>44986</v>
      </c>
      <c r="C6495" s="1" t="n">
        <v>45677</v>
      </c>
      <c r="D6495" t="inlineStr">
        <is>
          <t>GÄVLEBORGS LÄN</t>
        </is>
      </c>
      <c r="E6495" t="inlineStr">
        <is>
          <t>HOFORS</t>
        </is>
      </c>
      <c r="F6495" t="inlineStr">
        <is>
          <t>Övriga statliga verk och myndigheter</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10179-2023</t>
        </is>
      </c>
      <c r="B6496" s="1" t="n">
        <v>44986</v>
      </c>
      <c r="C6496" s="1" t="n">
        <v>45677</v>
      </c>
      <c r="D6496" t="inlineStr">
        <is>
          <t>GÄVLEBORGS LÄN</t>
        </is>
      </c>
      <c r="E6496" t="inlineStr">
        <is>
          <t>OVANÅKER</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10137-2023</t>
        </is>
      </c>
      <c r="B6497" s="1" t="n">
        <v>44986</v>
      </c>
      <c r="C6497" s="1" t="n">
        <v>45677</v>
      </c>
      <c r="D6497" t="inlineStr">
        <is>
          <t>GÄVLEBORGS LÄN</t>
        </is>
      </c>
      <c r="E6497" t="inlineStr">
        <is>
          <t>OVANÅKER</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10157-2023</t>
        </is>
      </c>
      <c r="B6498" s="1" t="n">
        <v>44986</v>
      </c>
      <c r="C6498" s="1" t="n">
        <v>45677</v>
      </c>
      <c r="D6498" t="inlineStr">
        <is>
          <t>GÄVLEBORGS LÄN</t>
        </is>
      </c>
      <c r="E6498" t="inlineStr">
        <is>
          <t>LJUSDAL</t>
        </is>
      </c>
      <c r="F6498" t="inlineStr">
        <is>
          <t>Bergvik skog väst AB</t>
        </is>
      </c>
      <c r="G6498" t="n">
        <v>16.3</v>
      </c>
      <c r="H6498" t="n">
        <v>0</v>
      </c>
      <c r="I6498" t="n">
        <v>0</v>
      </c>
      <c r="J6498" t="n">
        <v>0</v>
      </c>
      <c r="K6498" t="n">
        <v>0</v>
      </c>
      <c r="L6498" t="n">
        <v>0</v>
      </c>
      <c r="M6498" t="n">
        <v>0</v>
      </c>
      <c r="N6498" t="n">
        <v>0</v>
      </c>
      <c r="O6498" t="n">
        <v>0</v>
      </c>
      <c r="P6498" t="n">
        <v>0</v>
      </c>
      <c r="Q6498" t="n">
        <v>0</v>
      </c>
      <c r="R6498" s="2" t="inlineStr"/>
    </row>
    <row r="6499" ht="15" customHeight="1">
      <c r="A6499" t="inlineStr">
        <is>
          <t>A 10176-2023</t>
        </is>
      </c>
      <c r="B6499" s="1" t="n">
        <v>44986</v>
      </c>
      <c r="C6499" s="1" t="n">
        <v>45677</v>
      </c>
      <c r="D6499" t="inlineStr">
        <is>
          <t>GÄVLEBORGS LÄN</t>
        </is>
      </c>
      <c r="E6499" t="inlineStr">
        <is>
          <t>LJUSDAL</t>
        </is>
      </c>
      <c r="F6499" t="inlineStr">
        <is>
          <t>Bergvik skog väst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10190-2023</t>
        </is>
      </c>
      <c r="B6500" s="1" t="n">
        <v>44986</v>
      </c>
      <c r="C6500" s="1" t="n">
        <v>45677</v>
      </c>
      <c r="D6500" t="inlineStr">
        <is>
          <t>GÄVLEBORGS LÄN</t>
        </is>
      </c>
      <c r="E6500" t="inlineStr">
        <is>
          <t>HUDIKSVALL</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10197-2023</t>
        </is>
      </c>
      <c r="B6501" s="1" t="n">
        <v>44986</v>
      </c>
      <c r="C6501" s="1" t="n">
        <v>45677</v>
      </c>
      <c r="D6501" t="inlineStr">
        <is>
          <t>GÄVLEBORGS LÄN</t>
        </is>
      </c>
      <c r="E6501" t="inlineStr">
        <is>
          <t>LJUSDAL</t>
        </is>
      </c>
      <c r="F6501" t="inlineStr">
        <is>
          <t>Bergvik skog väst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10163-2023</t>
        </is>
      </c>
      <c r="B6502" s="1" t="n">
        <v>44986</v>
      </c>
      <c r="C6502" s="1" t="n">
        <v>45677</v>
      </c>
      <c r="D6502" t="inlineStr">
        <is>
          <t>GÄVLEBORGS LÄN</t>
        </is>
      </c>
      <c r="E6502" t="inlineStr">
        <is>
          <t>LJUSDAL</t>
        </is>
      </c>
      <c r="F6502" t="inlineStr">
        <is>
          <t>Bergvik skog väst AB</t>
        </is>
      </c>
      <c r="G6502" t="n">
        <v>9.699999999999999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10186-2023</t>
        </is>
      </c>
      <c r="B6503" s="1" t="n">
        <v>44986</v>
      </c>
      <c r="C6503" s="1" t="n">
        <v>45677</v>
      </c>
      <c r="D6503" t="inlineStr">
        <is>
          <t>GÄVLEBORGS LÄN</t>
        </is>
      </c>
      <c r="E6503" t="inlineStr">
        <is>
          <t>LJUSDAL</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10195-2023</t>
        </is>
      </c>
      <c r="B6504" s="1" t="n">
        <v>44986</v>
      </c>
      <c r="C6504" s="1" t="n">
        <v>45677</v>
      </c>
      <c r="D6504" t="inlineStr">
        <is>
          <t>GÄVLEBORGS LÄN</t>
        </is>
      </c>
      <c r="E6504" t="inlineStr">
        <is>
          <t>HUDIKSVALL</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10213-2023</t>
        </is>
      </c>
      <c r="B6505" s="1" t="n">
        <v>44986</v>
      </c>
      <c r="C6505" s="1" t="n">
        <v>45677</v>
      </c>
      <c r="D6505" t="inlineStr">
        <is>
          <t>GÄVLEBORGS LÄN</t>
        </is>
      </c>
      <c r="E6505" t="inlineStr">
        <is>
          <t>LJUSDAL</t>
        </is>
      </c>
      <c r="F6505" t="inlineStr">
        <is>
          <t>Bergvik skog väst AB</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10253-2023</t>
        </is>
      </c>
      <c r="B6506" s="1" t="n">
        <v>44986</v>
      </c>
      <c r="C6506" s="1" t="n">
        <v>45677</v>
      </c>
      <c r="D6506" t="inlineStr">
        <is>
          <t>GÄVLEBORGS LÄN</t>
        </is>
      </c>
      <c r="E6506" t="inlineStr">
        <is>
          <t>OVANÅKER</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10375-2023</t>
        </is>
      </c>
      <c r="B6507" s="1" t="n">
        <v>44987</v>
      </c>
      <c r="C6507" s="1" t="n">
        <v>45677</v>
      </c>
      <c r="D6507" t="inlineStr">
        <is>
          <t>GÄVLEBORGS LÄN</t>
        </is>
      </c>
      <c r="E6507" t="inlineStr">
        <is>
          <t>HUDIKSVALL</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10325-2023</t>
        </is>
      </c>
      <c r="B6508" s="1" t="n">
        <v>44987</v>
      </c>
      <c r="C6508" s="1" t="n">
        <v>45677</v>
      </c>
      <c r="D6508" t="inlineStr">
        <is>
          <t>GÄVLEBORGS LÄN</t>
        </is>
      </c>
      <c r="E6508" t="inlineStr">
        <is>
          <t>OCKELBO</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10484-2023</t>
        </is>
      </c>
      <c r="B6509" s="1" t="n">
        <v>44987</v>
      </c>
      <c r="C6509" s="1" t="n">
        <v>45677</v>
      </c>
      <c r="D6509" t="inlineStr">
        <is>
          <t>GÄVLEBORGS LÄN</t>
        </is>
      </c>
      <c r="E6509" t="inlineStr">
        <is>
          <t>NORDANSTIG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10332-2023</t>
        </is>
      </c>
      <c r="B6510" s="1" t="n">
        <v>44987</v>
      </c>
      <c r="C6510" s="1" t="n">
        <v>45677</v>
      </c>
      <c r="D6510" t="inlineStr">
        <is>
          <t>GÄVLEBORGS LÄN</t>
        </is>
      </c>
      <c r="E6510" t="inlineStr">
        <is>
          <t>HUDIKSVALL</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10326-2023</t>
        </is>
      </c>
      <c r="B6511" s="1" t="n">
        <v>44987</v>
      </c>
      <c r="C6511" s="1" t="n">
        <v>45677</v>
      </c>
      <c r="D6511" t="inlineStr">
        <is>
          <t>GÄVLEBORGS LÄN</t>
        </is>
      </c>
      <c r="E6511" t="inlineStr">
        <is>
          <t>OCKELBO</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10470-2023</t>
        </is>
      </c>
      <c r="B6512" s="1" t="n">
        <v>44987</v>
      </c>
      <c r="C6512" s="1" t="n">
        <v>45677</v>
      </c>
      <c r="D6512" t="inlineStr">
        <is>
          <t>GÄVLEBORGS LÄN</t>
        </is>
      </c>
      <c r="E6512" t="inlineStr">
        <is>
          <t>LJUSDAL</t>
        </is>
      </c>
      <c r="F6512" t="inlineStr">
        <is>
          <t>Sveaskog</t>
        </is>
      </c>
      <c r="G6512" t="n">
        <v>16.2</v>
      </c>
      <c r="H6512" t="n">
        <v>0</v>
      </c>
      <c r="I6512" t="n">
        <v>0</v>
      </c>
      <c r="J6512" t="n">
        <v>0</v>
      </c>
      <c r="K6512" t="n">
        <v>0</v>
      </c>
      <c r="L6512" t="n">
        <v>0</v>
      </c>
      <c r="M6512" t="n">
        <v>0</v>
      </c>
      <c r="N6512" t="n">
        <v>0</v>
      </c>
      <c r="O6512" t="n">
        <v>0</v>
      </c>
      <c r="P6512" t="n">
        <v>0</v>
      </c>
      <c r="Q6512" t="n">
        <v>0</v>
      </c>
      <c r="R6512" s="2" t="inlineStr"/>
    </row>
    <row r="6513" ht="15" customHeight="1">
      <c r="A6513" t="inlineStr">
        <is>
          <t>A 10577-2023</t>
        </is>
      </c>
      <c r="B6513" s="1" t="n">
        <v>44988</v>
      </c>
      <c r="C6513" s="1" t="n">
        <v>45677</v>
      </c>
      <c r="D6513" t="inlineStr">
        <is>
          <t>GÄVLEBORGS LÄN</t>
        </is>
      </c>
      <c r="E6513" t="inlineStr">
        <is>
          <t>GÄVLE</t>
        </is>
      </c>
      <c r="F6513" t="inlineStr">
        <is>
          <t>Kyrkan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11375-2023</t>
        </is>
      </c>
      <c r="B6514" s="1" t="n">
        <v>44988</v>
      </c>
      <c r="C6514" s="1" t="n">
        <v>45677</v>
      </c>
      <c r="D6514" t="inlineStr">
        <is>
          <t>GÄVLEBORGS LÄN</t>
        </is>
      </c>
      <c r="E6514" t="inlineStr">
        <is>
          <t>SANDVIKEN</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11393-2023</t>
        </is>
      </c>
      <c r="B6515" s="1" t="n">
        <v>44988</v>
      </c>
      <c r="C6515" s="1" t="n">
        <v>45677</v>
      </c>
      <c r="D6515" t="inlineStr">
        <is>
          <t>GÄVLEBORGS LÄN</t>
        </is>
      </c>
      <c r="E6515" t="inlineStr">
        <is>
          <t>SANDVIKEN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11406-2023</t>
        </is>
      </c>
      <c r="B6516" s="1" t="n">
        <v>44988</v>
      </c>
      <c r="C6516" s="1" t="n">
        <v>45677</v>
      </c>
      <c r="D6516" t="inlineStr">
        <is>
          <t>GÄVLEBORGS LÄN</t>
        </is>
      </c>
      <c r="E6516" t="inlineStr">
        <is>
          <t>SANDVIKEN</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11421-2023</t>
        </is>
      </c>
      <c r="B6517" s="1" t="n">
        <v>44988</v>
      </c>
      <c r="C6517" s="1" t="n">
        <v>45677</v>
      </c>
      <c r="D6517" t="inlineStr">
        <is>
          <t>GÄVLEBORGS LÄN</t>
        </is>
      </c>
      <c r="E6517" t="inlineStr">
        <is>
          <t>SANDVIKEN</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11419-2023</t>
        </is>
      </c>
      <c r="B6518" s="1" t="n">
        <v>44988</v>
      </c>
      <c r="C6518" s="1" t="n">
        <v>45677</v>
      </c>
      <c r="D6518" t="inlineStr">
        <is>
          <t>GÄVLEBORGS LÄN</t>
        </is>
      </c>
      <c r="E6518" t="inlineStr">
        <is>
          <t>SANDVIKEN</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11435-2023</t>
        </is>
      </c>
      <c r="B6519" s="1" t="n">
        <v>44988</v>
      </c>
      <c r="C6519" s="1" t="n">
        <v>45677</v>
      </c>
      <c r="D6519" t="inlineStr">
        <is>
          <t>GÄVLEBORGS LÄN</t>
        </is>
      </c>
      <c r="E6519" t="inlineStr">
        <is>
          <t>SANDVIKEN</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11442-2023</t>
        </is>
      </c>
      <c r="B6520" s="1" t="n">
        <v>44988</v>
      </c>
      <c r="C6520" s="1" t="n">
        <v>45677</v>
      </c>
      <c r="D6520" t="inlineStr">
        <is>
          <t>GÄVLEBORGS LÄN</t>
        </is>
      </c>
      <c r="E6520" t="inlineStr">
        <is>
          <t>SANDVIKEN</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11385-2023</t>
        </is>
      </c>
      <c r="B6521" s="1" t="n">
        <v>44988</v>
      </c>
      <c r="C6521" s="1" t="n">
        <v>45677</v>
      </c>
      <c r="D6521" t="inlineStr">
        <is>
          <t>GÄVLEBORGS LÄN</t>
        </is>
      </c>
      <c r="E6521" t="inlineStr">
        <is>
          <t>SANDVIKEN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11401-2023</t>
        </is>
      </c>
      <c r="B6522" s="1" t="n">
        <v>44988</v>
      </c>
      <c r="C6522" s="1" t="n">
        <v>45677</v>
      </c>
      <c r="D6522" t="inlineStr">
        <is>
          <t>GÄVLEBORGS LÄN</t>
        </is>
      </c>
      <c r="E6522" t="inlineStr">
        <is>
          <t>SANDVIKEN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11426-2023</t>
        </is>
      </c>
      <c r="B6523" s="1" t="n">
        <v>44988</v>
      </c>
      <c r="C6523" s="1" t="n">
        <v>45677</v>
      </c>
      <c r="D6523" t="inlineStr">
        <is>
          <t>GÄVLEBORGS LÄN</t>
        </is>
      </c>
      <c r="E6523" t="inlineStr">
        <is>
          <t>SANDVIKEN</t>
        </is>
      </c>
      <c r="G6523" t="n">
        <v>17.7</v>
      </c>
      <c r="H6523" t="n">
        <v>0</v>
      </c>
      <c r="I6523" t="n">
        <v>0</v>
      </c>
      <c r="J6523" t="n">
        <v>0</v>
      </c>
      <c r="K6523" t="n">
        <v>0</v>
      </c>
      <c r="L6523" t="n">
        <v>0</v>
      </c>
      <c r="M6523" t="n">
        <v>0</v>
      </c>
      <c r="N6523" t="n">
        <v>0</v>
      </c>
      <c r="O6523" t="n">
        <v>0</v>
      </c>
      <c r="P6523" t="n">
        <v>0</v>
      </c>
      <c r="Q6523" t="n">
        <v>0</v>
      </c>
      <c r="R6523" s="2" t="inlineStr"/>
    </row>
    <row r="6524" ht="15" customHeight="1">
      <c r="A6524" t="inlineStr">
        <is>
          <t>A 11436-2023</t>
        </is>
      </c>
      <c r="B6524" s="1" t="n">
        <v>44988</v>
      </c>
      <c r="C6524" s="1" t="n">
        <v>45677</v>
      </c>
      <c r="D6524" t="inlineStr">
        <is>
          <t>GÄVLEBORGS LÄN</t>
        </is>
      </c>
      <c r="E6524" t="inlineStr">
        <is>
          <t>SANDVIKEN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11447-2023</t>
        </is>
      </c>
      <c r="B6525" s="1" t="n">
        <v>44988</v>
      </c>
      <c r="C6525" s="1" t="n">
        <v>45677</v>
      </c>
      <c r="D6525" t="inlineStr">
        <is>
          <t>GÄVLEBORGS LÄN</t>
        </is>
      </c>
      <c r="E6525" t="inlineStr">
        <is>
          <t>SANDVIKEN</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11430-2023</t>
        </is>
      </c>
      <c r="B6526" s="1" t="n">
        <v>44988</v>
      </c>
      <c r="C6526" s="1" t="n">
        <v>45677</v>
      </c>
      <c r="D6526" t="inlineStr">
        <is>
          <t>GÄVLEBORGS LÄN</t>
        </is>
      </c>
      <c r="E6526" t="inlineStr">
        <is>
          <t>SANDVIKEN</t>
        </is>
      </c>
      <c r="G6526" t="n">
        <v>10.4</v>
      </c>
      <c r="H6526" t="n">
        <v>0</v>
      </c>
      <c r="I6526" t="n">
        <v>0</v>
      </c>
      <c r="J6526" t="n">
        <v>0</v>
      </c>
      <c r="K6526" t="n">
        <v>0</v>
      </c>
      <c r="L6526" t="n">
        <v>0</v>
      </c>
      <c r="M6526" t="n">
        <v>0</v>
      </c>
      <c r="N6526" t="n">
        <v>0</v>
      </c>
      <c r="O6526" t="n">
        <v>0</v>
      </c>
      <c r="P6526" t="n">
        <v>0</v>
      </c>
      <c r="Q6526" t="n">
        <v>0</v>
      </c>
      <c r="R6526" s="2" t="inlineStr"/>
    </row>
    <row r="6527" ht="15" customHeight="1">
      <c r="A6527" t="inlineStr">
        <is>
          <t>A 11438-2023</t>
        </is>
      </c>
      <c r="B6527" s="1" t="n">
        <v>44988</v>
      </c>
      <c r="C6527" s="1" t="n">
        <v>45677</v>
      </c>
      <c r="D6527" t="inlineStr">
        <is>
          <t>GÄVLEBORGS LÄN</t>
        </is>
      </c>
      <c r="E6527" t="inlineStr">
        <is>
          <t>SANDVIKEN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11453-2023</t>
        </is>
      </c>
      <c r="B6528" s="1" t="n">
        <v>44988</v>
      </c>
      <c r="C6528" s="1" t="n">
        <v>45677</v>
      </c>
      <c r="D6528" t="inlineStr">
        <is>
          <t>GÄVLEBORGS LÄN</t>
        </is>
      </c>
      <c r="E6528" t="inlineStr">
        <is>
          <t>SANDVIKEN</t>
        </is>
      </c>
      <c r="G6528" t="n">
        <v>17.9</v>
      </c>
      <c r="H6528" t="n">
        <v>0</v>
      </c>
      <c r="I6528" t="n">
        <v>0</v>
      </c>
      <c r="J6528" t="n">
        <v>0</v>
      </c>
      <c r="K6528" t="n">
        <v>0</v>
      </c>
      <c r="L6528" t="n">
        <v>0</v>
      </c>
      <c r="M6528" t="n">
        <v>0</v>
      </c>
      <c r="N6528" t="n">
        <v>0</v>
      </c>
      <c r="O6528" t="n">
        <v>0</v>
      </c>
      <c r="P6528" t="n">
        <v>0</v>
      </c>
      <c r="Q6528" t="n">
        <v>0</v>
      </c>
      <c r="R6528" s="2" t="inlineStr"/>
    </row>
    <row r="6529" ht="15" customHeight="1">
      <c r="A6529" t="inlineStr">
        <is>
          <t>A 11397-2023</t>
        </is>
      </c>
      <c r="B6529" s="1" t="n">
        <v>44988</v>
      </c>
      <c r="C6529" s="1" t="n">
        <v>45677</v>
      </c>
      <c r="D6529" t="inlineStr">
        <is>
          <t>GÄVLEBORGS LÄN</t>
        </is>
      </c>
      <c r="E6529" t="inlineStr">
        <is>
          <t>SANDVIKEN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11411-2023</t>
        </is>
      </c>
      <c r="B6530" s="1" t="n">
        <v>44988</v>
      </c>
      <c r="C6530" s="1" t="n">
        <v>45677</v>
      </c>
      <c r="D6530" t="inlineStr">
        <is>
          <t>GÄVLEBORGS LÄN</t>
        </is>
      </c>
      <c r="E6530" t="inlineStr">
        <is>
          <t>SANDVIKEN</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11422-2023</t>
        </is>
      </c>
      <c r="B6531" s="1" t="n">
        <v>44988</v>
      </c>
      <c r="C6531" s="1" t="n">
        <v>45677</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11431-2023</t>
        </is>
      </c>
      <c r="B6532" s="1" t="n">
        <v>44988</v>
      </c>
      <c r="C6532" s="1" t="n">
        <v>45677</v>
      </c>
      <c r="D6532" t="inlineStr">
        <is>
          <t>GÄVLEBORGS LÄN</t>
        </is>
      </c>
      <c r="E6532" t="inlineStr">
        <is>
          <t>SANDVIKEN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11440-2023</t>
        </is>
      </c>
      <c r="B6533" s="1" t="n">
        <v>44988</v>
      </c>
      <c r="C6533" s="1" t="n">
        <v>45677</v>
      </c>
      <c r="D6533" t="inlineStr">
        <is>
          <t>GÄVLEBORGS LÄN</t>
        </is>
      </c>
      <c r="E6533" t="inlineStr">
        <is>
          <t>SANDVIKEN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11467-2023</t>
        </is>
      </c>
      <c r="B6534" s="1" t="n">
        <v>44988</v>
      </c>
      <c r="C6534" s="1" t="n">
        <v>45677</v>
      </c>
      <c r="D6534" t="inlineStr">
        <is>
          <t>GÄVLEBORGS LÄN</t>
        </is>
      </c>
      <c r="E6534" t="inlineStr">
        <is>
          <t>SANDVIKEN</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10853-2023</t>
        </is>
      </c>
      <c r="B6535" s="1" t="n">
        <v>44991</v>
      </c>
      <c r="C6535" s="1" t="n">
        <v>45677</v>
      </c>
      <c r="D6535" t="inlineStr">
        <is>
          <t>GÄVLEBORGS LÄN</t>
        </is>
      </c>
      <c r="E6535" t="inlineStr">
        <is>
          <t>LJUSDAL</t>
        </is>
      </c>
      <c r="F6535" t="inlineStr">
        <is>
          <t>Bergvik skog väst AB</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10942-2023</t>
        </is>
      </c>
      <c r="B6536" s="1" t="n">
        <v>44991</v>
      </c>
      <c r="C6536" s="1" t="n">
        <v>45677</v>
      </c>
      <c r="D6536" t="inlineStr">
        <is>
          <t>GÄVLEBORGS LÄN</t>
        </is>
      </c>
      <c r="E6536" t="inlineStr">
        <is>
          <t>GÄVLE</t>
        </is>
      </c>
      <c r="F6536" t="inlineStr">
        <is>
          <t>Bergvik skog väst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10850-2023</t>
        </is>
      </c>
      <c r="B6537" s="1" t="n">
        <v>44991</v>
      </c>
      <c r="C6537" s="1" t="n">
        <v>45677</v>
      </c>
      <c r="D6537" t="inlineStr">
        <is>
          <t>GÄVLEBORGS LÄN</t>
        </is>
      </c>
      <c r="E6537" t="inlineStr">
        <is>
          <t>LJUSDAL</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10986-2023</t>
        </is>
      </c>
      <c r="B6538" s="1" t="n">
        <v>44991</v>
      </c>
      <c r="C6538" s="1" t="n">
        <v>45677</v>
      </c>
      <c r="D6538" t="inlineStr">
        <is>
          <t>GÄVLEBORGS LÄN</t>
        </is>
      </c>
      <c r="E6538" t="inlineStr">
        <is>
          <t>GÄVLE</t>
        </is>
      </c>
      <c r="F6538" t="inlineStr">
        <is>
          <t>Bergvik skog väst AB</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11082-2023</t>
        </is>
      </c>
      <c r="B6539" s="1" t="n">
        <v>44992</v>
      </c>
      <c r="C6539" s="1" t="n">
        <v>45677</v>
      </c>
      <c r="D6539" t="inlineStr">
        <is>
          <t>GÄVLEBORGS LÄN</t>
        </is>
      </c>
      <c r="E6539" t="inlineStr">
        <is>
          <t>HUDIKSVALL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11215-2023</t>
        </is>
      </c>
      <c r="B6540" s="1" t="n">
        <v>44992</v>
      </c>
      <c r="C6540" s="1" t="n">
        <v>45677</v>
      </c>
      <c r="D6540" t="inlineStr">
        <is>
          <t>GÄVLEBORGS LÄN</t>
        </is>
      </c>
      <c r="E6540" t="inlineStr">
        <is>
          <t>SÖDERHAMN</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11108-2023</t>
        </is>
      </c>
      <c r="B6541" s="1" t="n">
        <v>44992</v>
      </c>
      <c r="C6541" s="1" t="n">
        <v>45677</v>
      </c>
      <c r="D6541" t="inlineStr">
        <is>
          <t>GÄVLEBORGS LÄN</t>
        </is>
      </c>
      <c r="E6541" t="inlineStr">
        <is>
          <t>HUDIKSVALL</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11075-2023</t>
        </is>
      </c>
      <c r="B6542" s="1" t="n">
        <v>44992</v>
      </c>
      <c r="C6542" s="1" t="n">
        <v>45677</v>
      </c>
      <c r="D6542" t="inlineStr">
        <is>
          <t>GÄVLEBORGS LÄN</t>
        </is>
      </c>
      <c r="E6542" t="inlineStr">
        <is>
          <t>SÖDERHAMN</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11081-2023</t>
        </is>
      </c>
      <c r="B6543" s="1" t="n">
        <v>44992</v>
      </c>
      <c r="C6543" s="1" t="n">
        <v>45677</v>
      </c>
      <c r="D6543" t="inlineStr">
        <is>
          <t>GÄVLEBORGS LÄN</t>
        </is>
      </c>
      <c r="E6543" t="inlineStr">
        <is>
          <t>GÄVLE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11157-2023</t>
        </is>
      </c>
      <c r="B6544" s="1" t="n">
        <v>44992</v>
      </c>
      <c r="C6544" s="1" t="n">
        <v>45677</v>
      </c>
      <c r="D6544" t="inlineStr">
        <is>
          <t>GÄVLEBORGS LÄN</t>
        </is>
      </c>
      <c r="E6544" t="inlineStr">
        <is>
          <t>BOLLNÄS</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11267-2023</t>
        </is>
      </c>
      <c r="B6545" s="1" t="n">
        <v>44992</v>
      </c>
      <c r="C6545" s="1" t="n">
        <v>45677</v>
      </c>
      <c r="D6545" t="inlineStr">
        <is>
          <t>GÄVLEBORGS LÄN</t>
        </is>
      </c>
      <c r="E6545" t="inlineStr">
        <is>
          <t>HUDIKSVALL</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11206-2023</t>
        </is>
      </c>
      <c r="B6546" s="1" t="n">
        <v>44992</v>
      </c>
      <c r="C6546" s="1" t="n">
        <v>45677</v>
      </c>
      <c r="D6546" t="inlineStr">
        <is>
          <t>GÄVLEBORGS LÄN</t>
        </is>
      </c>
      <c r="E6546" t="inlineStr">
        <is>
          <t>SÖDERHAMN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11410-2023</t>
        </is>
      </c>
      <c r="B6547" s="1" t="n">
        <v>44993</v>
      </c>
      <c r="C6547" s="1" t="n">
        <v>45677</v>
      </c>
      <c r="D6547" t="inlineStr">
        <is>
          <t>GÄVLEBORGS LÄN</t>
        </is>
      </c>
      <c r="E6547" t="inlineStr">
        <is>
          <t>BOLLNÄS</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11459-2023</t>
        </is>
      </c>
      <c r="B6548" s="1" t="n">
        <v>44993</v>
      </c>
      <c r="C6548" s="1" t="n">
        <v>45677</v>
      </c>
      <c r="D6548" t="inlineStr">
        <is>
          <t>GÄVLEBORGS LÄN</t>
        </is>
      </c>
      <c r="E6548" t="inlineStr">
        <is>
          <t>BOLLNÄS</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11465-2023</t>
        </is>
      </c>
      <c r="B6549" s="1" t="n">
        <v>44993</v>
      </c>
      <c r="C6549" s="1" t="n">
        <v>45677</v>
      </c>
      <c r="D6549" t="inlineStr">
        <is>
          <t>GÄVLEBORGS LÄN</t>
        </is>
      </c>
      <c r="E6549" t="inlineStr">
        <is>
          <t>BOLLNÄS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11338-2023</t>
        </is>
      </c>
      <c r="B6550" s="1" t="n">
        <v>44993</v>
      </c>
      <c r="C6550" s="1" t="n">
        <v>45677</v>
      </c>
      <c r="D6550" t="inlineStr">
        <is>
          <t>GÄVLEBORGS LÄN</t>
        </is>
      </c>
      <c r="E6550" t="inlineStr">
        <is>
          <t>NORDANSTIG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11432-2023</t>
        </is>
      </c>
      <c r="B6551" s="1" t="n">
        <v>44993</v>
      </c>
      <c r="C6551" s="1" t="n">
        <v>45677</v>
      </c>
      <c r="D6551" t="inlineStr">
        <is>
          <t>GÄVLEBORGS LÄN</t>
        </is>
      </c>
      <c r="E6551" t="inlineStr">
        <is>
          <t>HUDIKSVALL</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11439-2023</t>
        </is>
      </c>
      <c r="B6552" s="1" t="n">
        <v>44993</v>
      </c>
      <c r="C6552" s="1" t="n">
        <v>45677</v>
      </c>
      <c r="D6552" t="inlineStr">
        <is>
          <t>GÄVLEBORGS LÄN</t>
        </is>
      </c>
      <c r="E6552" t="inlineStr">
        <is>
          <t>BOLLNÄS</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11455-2023</t>
        </is>
      </c>
      <c r="B6553" s="1" t="n">
        <v>44993</v>
      </c>
      <c r="C6553" s="1" t="n">
        <v>45677</v>
      </c>
      <c r="D6553" t="inlineStr">
        <is>
          <t>GÄVLEBORGS LÄN</t>
        </is>
      </c>
      <c r="E6553" t="inlineStr">
        <is>
          <t>NORDANSTIG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11652-2023</t>
        </is>
      </c>
      <c r="B6554" s="1" t="n">
        <v>44994</v>
      </c>
      <c r="C6554" s="1" t="n">
        <v>45677</v>
      </c>
      <c r="D6554" t="inlineStr">
        <is>
          <t>GÄVLEBORGS LÄN</t>
        </is>
      </c>
      <c r="E6554" t="inlineStr">
        <is>
          <t>GÄVLE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11607-2023</t>
        </is>
      </c>
      <c r="B6555" s="1" t="n">
        <v>44994</v>
      </c>
      <c r="C6555" s="1" t="n">
        <v>45677</v>
      </c>
      <c r="D6555" t="inlineStr">
        <is>
          <t>GÄVLEBORGS LÄN</t>
        </is>
      </c>
      <c r="E6555" t="inlineStr">
        <is>
          <t>HOFORS</t>
        </is>
      </c>
      <c r="F6555" t="inlineStr">
        <is>
          <t>Övriga statliga verk och myndigheter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11762-2023</t>
        </is>
      </c>
      <c r="B6556" s="1" t="n">
        <v>44994</v>
      </c>
      <c r="C6556" s="1" t="n">
        <v>45677</v>
      </c>
      <c r="D6556" t="inlineStr">
        <is>
          <t>GÄVLEBORGS LÄN</t>
        </is>
      </c>
      <c r="E6556" t="inlineStr">
        <is>
          <t>NORDANSTIG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11811-2023</t>
        </is>
      </c>
      <c r="B6557" s="1" t="n">
        <v>44994</v>
      </c>
      <c r="C6557" s="1" t="n">
        <v>45677</v>
      </c>
      <c r="D6557" t="inlineStr">
        <is>
          <t>GÄVLEBORGS LÄN</t>
        </is>
      </c>
      <c r="E6557" t="inlineStr">
        <is>
          <t>SANDVIKEN</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11756-2023</t>
        </is>
      </c>
      <c r="B6558" s="1" t="n">
        <v>44994</v>
      </c>
      <c r="C6558" s="1" t="n">
        <v>45677</v>
      </c>
      <c r="D6558" t="inlineStr">
        <is>
          <t>GÄVLEBORGS LÄN</t>
        </is>
      </c>
      <c r="E6558" t="inlineStr">
        <is>
          <t>SANDVIKEN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11810-2023</t>
        </is>
      </c>
      <c r="B6559" s="1" t="n">
        <v>44994</v>
      </c>
      <c r="C6559" s="1" t="n">
        <v>45677</v>
      </c>
      <c r="D6559" t="inlineStr">
        <is>
          <t>GÄVLEBORGS LÄN</t>
        </is>
      </c>
      <c r="E6559" t="inlineStr">
        <is>
          <t>SANDVIKEN</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11736-2023</t>
        </is>
      </c>
      <c r="B6560" s="1" t="n">
        <v>44994</v>
      </c>
      <c r="C6560" s="1" t="n">
        <v>45677</v>
      </c>
      <c r="D6560" t="inlineStr">
        <is>
          <t>GÄVLEBORGS LÄN</t>
        </is>
      </c>
      <c r="E6560" t="inlineStr">
        <is>
          <t>NORDANSTIG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11764-2023</t>
        </is>
      </c>
      <c r="B6561" s="1" t="n">
        <v>44994</v>
      </c>
      <c r="C6561" s="1" t="n">
        <v>45677</v>
      </c>
      <c r="D6561" t="inlineStr">
        <is>
          <t>GÄVLEBORGS LÄN</t>
        </is>
      </c>
      <c r="E6561" t="inlineStr">
        <is>
          <t>SANDVIKEN</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11808-2023</t>
        </is>
      </c>
      <c r="B6562" s="1" t="n">
        <v>44994</v>
      </c>
      <c r="C6562" s="1" t="n">
        <v>45677</v>
      </c>
      <c r="D6562" t="inlineStr">
        <is>
          <t>GÄVLEBORGS LÄN</t>
        </is>
      </c>
      <c r="E6562" t="inlineStr">
        <is>
          <t>SANDVIKEN</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11956-2023</t>
        </is>
      </c>
      <c r="B6563" s="1" t="n">
        <v>44995</v>
      </c>
      <c r="C6563" s="1" t="n">
        <v>45677</v>
      </c>
      <c r="D6563" t="inlineStr">
        <is>
          <t>GÄVLEBORGS LÄN</t>
        </is>
      </c>
      <c r="E6563" t="inlineStr">
        <is>
          <t>BOLLNÄS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11914-2023</t>
        </is>
      </c>
      <c r="B6564" s="1" t="n">
        <v>44995</v>
      </c>
      <c r="C6564" s="1" t="n">
        <v>45677</v>
      </c>
      <c r="D6564" t="inlineStr">
        <is>
          <t>GÄVLEBORGS LÄN</t>
        </is>
      </c>
      <c r="E6564" t="inlineStr">
        <is>
          <t>LJUSDAL</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11923-2023</t>
        </is>
      </c>
      <c r="B6565" s="1" t="n">
        <v>44995</v>
      </c>
      <c r="C6565" s="1" t="n">
        <v>45677</v>
      </c>
      <c r="D6565" t="inlineStr">
        <is>
          <t>GÄVLEBORGS LÄN</t>
        </is>
      </c>
      <c r="E6565" t="inlineStr">
        <is>
          <t>LJUSDAL</t>
        </is>
      </c>
      <c r="F6565" t="inlineStr">
        <is>
          <t>Holmen skog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11964-2023</t>
        </is>
      </c>
      <c r="B6566" s="1" t="n">
        <v>44995</v>
      </c>
      <c r="C6566" s="1" t="n">
        <v>45677</v>
      </c>
      <c r="D6566" t="inlineStr">
        <is>
          <t>GÄVLEBORGS LÄN</t>
        </is>
      </c>
      <c r="E6566" t="inlineStr">
        <is>
          <t>LJUSDAL</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11994-2023</t>
        </is>
      </c>
      <c r="B6567" s="1" t="n">
        <v>44995</v>
      </c>
      <c r="C6567" s="1" t="n">
        <v>45677</v>
      </c>
      <c r="D6567" t="inlineStr">
        <is>
          <t>GÄVLEBORGS LÄN</t>
        </is>
      </c>
      <c r="E6567" t="inlineStr">
        <is>
          <t>SANDVIKEN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11979-2023</t>
        </is>
      </c>
      <c r="B6568" s="1" t="n">
        <v>44995</v>
      </c>
      <c r="C6568" s="1" t="n">
        <v>45677</v>
      </c>
      <c r="D6568" t="inlineStr">
        <is>
          <t>GÄVLEBORGS LÄN</t>
        </is>
      </c>
      <c r="E6568" t="inlineStr">
        <is>
          <t>LJUSDAL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12004-2023</t>
        </is>
      </c>
      <c r="B6569" s="1" t="n">
        <v>44995</v>
      </c>
      <c r="C6569" s="1" t="n">
        <v>45677</v>
      </c>
      <c r="D6569" t="inlineStr">
        <is>
          <t>GÄVLEBORGS LÄN</t>
        </is>
      </c>
      <c r="E6569" t="inlineStr">
        <is>
          <t>LJUSDAL</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12047-2023</t>
        </is>
      </c>
      <c r="B6570" s="1" t="n">
        <v>44995</v>
      </c>
      <c r="C6570" s="1" t="n">
        <v>45677</v>
      </c>
      <c r="D6570" t="inlineStr">
        <is>
          <t>GÄVLEBORGS LÄN</t>
        </is>
      </c>
      <c r="E6570" t="inlineStr">
        <is>
          <t>GÄVLE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12048-2023</t>
        </is>
      </c>
      <c r="B6571" s="1" t="n">
        <v>44996</v>
      </c>
      <c r="C6571" s="1" t="n">
        <v>45677</v>
      </c>
      <c r="D6571" t="inlineStr">
        <is>
          <t>GÄVLEBORGS LÄN</t>
        </is>
      </c>
      <c r="E6571" t="inlineStr">
        <is>
          <t>SÖDERHAMN</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12239-2023</t>
        </is>
      </c>
      <c r="B6572" s="1" t="n">
        <v>44998</v>
      </c>
      <c r="C6572" s="1" t="n">
        <v>45677</v>
      </c>
      <c r="D6572" t="inlineStr">
        <is>
          <t>GÄVLEBORGS LÄN</t>
        </is>
      </c>
      <c r="E6572" t="inlineStr">
        <is>
          <t>HUDIKSVALL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12095-2023</t>
        </is>
      </c>
      <c r="B6573" s="1" t="n">
        <v>44998</v>
      </c>
      <c r="C6573" s="1" t="n">
        <v>45677</v>
      </c>
      <c r="D6573" t="inlineStr">
        <is>
          <t>GÄVLEBORGS LÄN</t>
        </is>
      </c>
      <c r="E6573" t="inlineStr">
        <is>
          <t>NORDANSTIG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12226-2023</t>
        </is>
      </c>
      <c r="B6574" s="1" t="n">
        <v>44998</v>
      </c>
      <c r="C6574" s="1" t="n">
        <v>45677</v>
      </c>
      <c r="D6574" t="inlineStr">
        <is>
          <t>GÄVLEBORGS LÄN</t>
        </is>
      </c>
      <c r="E6574" t="inlineStr">
        <is>
          <t>HUDIKSVALL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12379-2023</t>
        </is>
      </c>
      <c r="B6575" s="1" t="n">
        <v>44999</v>
      </c>
      <c r="C6575" s="1" t="n">
        <v>45677</v>
      </c>
      <c r="D6575" t="inlineStr">
        <is>
          <t>GÄVLEBORGS LÄN</t>
        </is>
      </c>
      <c r="E6575" t="inlineStr">
        <is>
          <t>NORDANSTIG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12398-2023</t>
        </is>
      </c>
      <c r="B6576" s="1" t="n">
        <v>44999</v>
      </c>
      <c r="C6576" s="1" t="n">
        <v>45677</v>
      </c>
      <c r="D6576" t="inlineStr">
        <is>
          <t>GÄVLEBORGS LÄN</t>
        </is>
      </c>
      <c r="E6576" t="inlineStr">
        <is>
          <t>NORDANSTIG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12403-2023</t>
        </is>
      </c>
      <c r="B6577" s="1" t="n">
        <v>44999</v>
      </c>
      <c r="C6577" s="1" t="n">
        <v>45677</v>
      </c>
      <c r="D6577" t="inlineStr">
        <is>
          <t>GÄVLEBORGS LÄN</t>
        </is>
      </c>
      <c r="E6577" t="inlineStr">
        <is>
          <t>NORDANSTIG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12381-2023</t>
        </is>
      </c>
      <c r="B6578" s="1" t="n">
        <v>44999</v>
      </c>
      <c r="C6578" s="1" t="n">
        <v>45677</v>
      </c>
      <c r="D6578" t="inlineStr">
        <is>
          <t>GÄVLEBORGS LÄN</t>
        </is>
      </c>
      <c r="E6578" t="inlineStr">
        <is>
          <t>GÄVLE</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12389-2023</t>
        </is>
      </c>
      <c r="B6579" s="1" t="n">
        <v>44999</v>
      </c>
      <c r="C6579" s="1" t="n">
        <v>45677</v>
      </c>
      <c r="D6579" t="inlineStr">
        <is>
          <t>GÄVLEBORGS LÄN</t>
        </is>
      </c>
      <c r="E6579" t="inlineStr">
        <is>
          <t>NORDANSTIG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12450-2023</t>
        </is>
      </c>
      <c r="B6580" s="1" t="n">
        <v>44999</v>
      </c>
      <c r="C6580" s="1" t="n">
        <v>45677</v>
      </c>
      <c r="D6580" t="inlineStr">
        <is>
          <t>GÄVLEBORGS LÄN</t>
        </is>
      </c>
      <c r="E6580" t="inlineStr">
        <is>
          <t>BOLLNÄS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12454-2023</t>
        </is>
      </c>
      <c r="B6581" s="1" t="n">
        <v>44999</v>
      </c>
      <c r="C6581" s="1" t="n">
        <v>45677</v>
      </c>
      <c r="D6581" t="inlineStr">
        <is>
          <t>GÄVLEBORGS LÄN</t>
        </is>
      </c>
      <c r="E6581" t="inlineStr">
        <is>
          <t>BOLLNÄS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12451-2023</t>
        </is>
      </c>
      <c r="B6582" s="1" t="n">
        <v>44999</v>
      </c>
      <c r="C6582" s="1" t="n">
        <v>45677</v>
      </c>
      <c r="D6582" t="inlineStr">
        <is>
          <t>GÄVLEBORGS LÄN</t>
        </is>
      </c>
      <c r="E6582" t="inlineStr">
        <is>
          <t>BOLLNÄS</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12674-2023</t>
        </is>
      </c>
      <c r="B6583" s="1" t="n">
        <v>45000</v>
      </c>
      <c r="C6583" s="1" t="n">
        <v>45677</v>
      </c>
      <c r="D6583" t="inlineStr">
        <is>
          <t>GÄVLEBORGS LÄN</t>
        </is>
      </c>
      <c r="E6583" t="inlineStr">
        <is>
          <t>HUDIKSVALL</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12528-2023</t>
        </is>
      </c>
      <c r="B6584" s="1" t="n">
        <v>45000</v>
      </c>
      <c r="C6584" s="1" t="n">
        <v>45677</v>
      </c>
      <c r="D6584" t="inlineStr">
        <is>
          <t>GÄVLEBORGS LÄN</t>
        </is>
      </c>
      <c r="E6584" t="inlineStr">
        <is>
          <t>SÖDERHAMN</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12555-2023</t>
        </is>
      </c>
      <c r="B6585" s="1" t="n">
        <v>45000</v>
      </c>
      <c r="C6585" s="1" t="n">
        <v>45677</v>
      </c>
      <c r="D6585" t="inlineStr">
        <is>
          <t>GÄVLEBORGS LÄN</t>
        </is>
      </c>
      <c r="E6585" t="inlineStr">
        <is>
          <t>LJUSDAL</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12613-2023</t>
        </is>
      </c>
      <c r="B6586" s="1" t="n">
        <v>45000</v>
      </c>
      <c r="C6586" s="1" t="n">
        <v>45677</v>
      </c>
      <c r="D6586" t="inlineStr">
        <is>
          <t>GÄVLEBORGS LÄN</t>
        </is>
      </c>
      <c r="E6586" t="inlineStr">
        <is>
          <t>OVANÅKER</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12815-2023</t>
        </is>
      </c>
      <c r="B6587" s="1" t="n">
        <v>45001</v>
      </c>
      <c r="C6587" s="1" t="n">
        <v>45677</v>
      </c>
      <c r="D6587" t="inlineStr">
        <is>
          <t>GÄVLEBORGS LÄN</t>
        </is>
      </c>
      <c r="E6587" t="inlineStr">
        <is>
          <t>NORDANSTIG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12880-2023</t>
        </is>
      </c>
      <c r="B6588" s="1" t="n">
        <v>45001</v>
      </c>
      <c r="C6588" s="1" t="n">
        <v>45677</v>
      </c>
      <c r="D6588" t="inlineStr">
        <is>
          <t>GÄVLEBORGS LÄN</t>
        </is>
      </c>
      <c r="E6588" t="inlineStr">
        <is>
          <t>HUDIKSVALL</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12791-2023</t>
        </is>
      </c>
      <c r="B6589" s="1" t="n">
        <v>45001</v>
      </c>
      <c r="C6589" s="1" t="n">
        <v>45677</v>
      </c>
      <c r="D6589" t="inlineStr">
        <is>
          <t>GÄVLEBORGS LÄN</t>
        </is>
      </c>
      <c r="E6589" t="inlineStr">
        <is>
          <t>SANDVIKEN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13039-2023</t>
        </is>
      </c>
      <c r="B6590" s="1" t="n">
        <v>45002</v>
      </c>
      <c r="C6590" s="1" t="n">
        <v>45677</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13094-2023</t>
        </is>
      </c>
      <c r="B6591" s="1" t="n">
        <v>45002</v>
      </c>
      <c r="C6591" s="1" t="n">
        <v>45677</v>
      </c>
      <c r="D6591" t="inlineStr">
        <is>
          <t>GÄVLEBORGS LÄN</t>
        </is>
      </c>
      <c r="E6591" t="inlineStr">
        <is>
          <t>LJUSDAL</t>
        </is>
      </c>
      <c r="F6591" t="inlineStr">
        <is>
          <t>Holmen skog AB</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13123-2023</t>
        </is>
      </c>
      <c r="B6592" s="1" t="n">
        <v>45002</v>
      </c>
      <c r="C6592" s="1" t="n">
        <v>45677</v>
      </c>
      <c r="D6592" t="inlineStr">
        <is>
          <t>GÄVLEBORGS LÄN</t>
        </is>
      </c>
      <c r="E6592" t="inlineStr">
        <is>
          <t>OVANÅKER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13014-2023</t>
        </is>
      </c>
      <c r="B6593" s="1" t="n">
        <v>45002</v>
      </c>
      <c r="C6593" s="1" t="n">
        <v>45677</v>
      </c>
      <c r="D6593" t="inlineStr">
        <is>
          <t>GÄVLEBORGS LÄN</t>
        </is>
      </c>
      <c r="E6593" t="inlineStr">
        <is>
          <t>OVANÅKER</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13085-2023</t>
        </is>
      </c>
      <c r="B6594" s="1" t="n">
        <v>45002</v>
      </c>
      <c r="C6594" s="1" t="n">
        <v>45677</v>
      </c>
      <c r="D6594" t="inlineStr">
        <is>
          <t>GÄVLEBORGS LÄN</t>
        </is>
      </c>
      <c r="E6594" t="inlineStr">
        <is>
          <t>HUDIKSVALL</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13037-2023</t>
        </is>
      </c>
      <c r="B6595" s="1" t="n">
        <v>45002</v>
      </c>
      <c r="C6595" s="1" t="n">
        <v>45677</v>
      </c>
      <c r="D6595" t="inlineStr">
        <is>
          <t>GÄVLEBORGS LÄN</t>
        </is>
      </c>
      <c r="E6595" t="inlineStr">
        <is>
          <t>SANDVIKEN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13047-2023</t>
        </is>
      </c>
      <c r="B6596" s="1" t="n">
        <v>45002</v>
      </c>
      <c r="C6596" s="1" t="n">
        <v>45677</v>
      </c>
      <c r="D6596" t="inlineStr">
        <is>
          <t>GÄVLEBORGS LÄN</t>
        </is>
      </c>
      <c r="E6596" t="inlineStr">
        <is>
          <t>OVANÅKER</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13116-2023</t>
        </is>
      </c>
      <c r="B6597" s="1" t="n">
        <v>45002</v>
      </c>
      <c r="C6597" s="1" t="n">
        <v>45677</v>
      </c>
      <c r="D6597" t="inlineStr">
        <is>
          <t>GÄVLEBORGS LÄN</t>
        </is>
      </c>
      <c r="E6597" t="inlineStr">
        <is>
          <t>LJUSDAL</t>
        </is>
      </c>
      <c r="F6597" t="inlineStr">
        <is>
          <t>Allmännings- och besparingsskogar</t>
        </is>
      </c>
      <c r="G6597" t="n">
        <v>8.800000000000001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13145-2023</t>
        </is>
      </c>
      <c r="B6598" s="1" t="n">
        <v>45002</v>
      </c>
      <c r="C6598" s="1" t="n">
        <v>45677</v>
      </c>
      <c r="D6598" t="inlineStr">
        <is>
          <t>GÄVLEBORGS LÄN</t>
        </is>
      </c>
      <c r="E6598" t="inlineStr">
        <is>
          <t>SÖDERHAMN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13011-2023</t>
        </is>
      </c>
      <c r="B6599" s="1" t="n">
        <v>45002</v>
      </c>
      <c r="C6599" s="1" t="n">
        <v>45677</v>
      </c>
      <c r="D6599" t="inlineStr">
        <is>
          <t>GÄVLEBORGS LÄN</t>
        </is>
      </c>
      <c r="E6599" t="inlineStr">
        <is>
          <t>OVANÅKER</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13035-2023</t>
        </is>
      </c>
      <c r="B6600" s="1" t="n">
        <v>45002</v>
      </c>
      <c r="C6600" s="1" t="n">
        <v>45677</v>
      </c>
      <c r="D6600" t="inlineStr">
        <is>
          <t>GÄVLEBORGS LÄN</t>
        </is>
      </c>
      <c r="E6600" t="inlineStr">
        <is>
          <t>SANDVIKEN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13144-2023</t>
        </is>
      </c>
      <c r="B6601" s="1" t="n">
        <v>45002</v>
      </c>
      <c r="C6601" s="1" t="n">
        <v>45677</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13159-2023</t>
        </is>
      </c>
      <c r="B6602" s="1" t="n">
        <v>45002</v>
      </c>
      <c r="C6602" s="1" t="n">
        <v>45677</v>
      </c>
      <c r="D6602" t="inlineStr">
        <is>
          <t>GÄVLEBORGS LÄN</t>
        </is>
      </c>
      <c r="E6602" t="inlineStr">
        <is>
          <t>HUDIKSVALL</t>
        </is>
      </c>
      <c r="F6602" t="inlineStr">
        <is>
          <t>Holmen skog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13163-2023</t>
        </is>
      </c>
      <c r="B6603" s="1" t="n">
        <v>45002</v>
      </c>
      <c r="C6603" s="1" t="n">
        <v>45677</v>
      </c>
      <c r="D6603" t="inlineStr">
        <is>
          <t>GÄVLEBORGS LÄN</t>
        </is>
      </c>
      <c r="E6603" t="inlineStr">
        <is>
          <t>SÖDERHAMN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13167-2023</t>
        </is>
      </c>
      <c r="B6604" s="1" t="n">
        <v>45002</v>
      </c>
      <c r="C6604" s="1" t="n">
        <v>45677</v>
      </c>
      <c r="D6604" t="inlineStr">
        <is>
          <t>GÄVLEBORGS LÄN</t>
        </is>
      </c>
      <c r="E6604" t="inlineStr">
        <is>
          <t>SÖDERHAMN</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13324-2023</t>
        </is>
      </c>
      <c r="B6605" s="1" t="n">
        <v>45005</v>
      </c>
      <c r="C6605" s="1" t="n">
        <v>45677</v>
      </c>
      <c r="D6605" t="inlineStr">
        <is>
          <t>GÄVLEBORGS LÄN</t>
        </is>
      </c>
      <c r="E6605" t="inlineStr">
        <is>
          <t>HUDIKSVALL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13365-2023</t>
        </is>
      </c>
      <c r="B6606" s="1" t="n">
        <v>45005</v>
      </c>
      <c r="C6606" s="1" t="n">
        <v>45677</v>
      </c>
      <c r="D6606" t="inlineStr">
        <is>
          <t>GÄVLEBORGS LÄN</t>
        </is>
      </c>
      <c r="E6606" t="inlineStr">
        <is>
          <t>OVANÅKER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13484-2023</t>
        </is>
      </c>
      <c r="B6607" s="1" t="n">
        <v>45005</v>
      </c>
      <c r="C6607" s="1" t="n">
        <v>45677</v>
      </c>
      <c r="D6607" t="inlineStr">
        <is>
          <t>GÄVLEBORGS LÄN</t>
        </is>
      </c>
      <c r="E6607" t="inlineStr">
        <is>
          <t>HUDIKSVALL</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13345-2023</t>
        </is>
      </c>
      <c r="B6608" s="1" t="n">
        <v>45005</v>
      </c>
      <c r="C6608" s="1" t="n">
        <v>45677</v>
      </c>
      <c r="D6608" t="inlineStr">
        <is>
          <t>GÄVLEBORGS LÄN</t>
        </is>
      </c>
      <c r="E6608" t="inlineStr">
        <is>
          <t>LJUSDAL</t>
        </is>
      </c>
      <c r="F6608" t="inlineStr">
        <is>
          <t>Holmen skog AB</t>
        </is>
      </c>
      <c r="G6608" t="n">
        <v>17.8</v>
      </c>
      <c r="H6608" t="n">
        <v>0</v>
      </c>
      <c r="I6608" t="n">
        <v>0</v>
      </c>
      <c r="J6608" t="n">
        <v>0</v>
      </c>
      <c r="K6608" t="n">
        <v>0</v>
      </c>
      <c r="L6608" t="n">
        <v>0</v>
      </c>
      <c r="M6608" t="n">
        <v>0</v>
      </c>
      <c r="N6608" t="n">
        <v>0</v>
      </c>
      <c r="O6608" t="n">
        <v>0</v>
      </c>
      <c r="P6608" t="n">
        <v>0</v>
      </c>
      <c r="Q6608" t="n">
        <v>0</v>
      </c>
      <c r="R6608" s="2" t="inlineStr"/>
    </row>
    <row r="6609" ht="15" customHeight="1">
      <c r="A6609" t="inlineStr">
        <is>
          <t>A 13398-2023</t>
        </is>
      </c>
      <c r="B6609" s="1" t="n">
        <v>45005</v>
      </c>
      <c r="C6609" s="1" t="n">
        <v>45677</v>
      </c>
      <c r="D6609" t="inlineStr">
        <is>
          <t>GÄVLEBORGS LÄN</t>
        </is>
      </c>
      <c r="E6609" t="inlineStr">
        <is>
          <t>HUDIKSVALL</t>
        </is>
      </c>
      <c r="F6609" t="inlineStr">
        <is>
          <t>Holmen skog AB</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13500-2023</t>
        </is>
      </c>
      <c r="B6610" s="1" t="n">
        <v>45006</v>
      </c>
      <c r="C6610" s="1" t="n">
        <v>45677</v>
      </c>
      <c r="D6610" t="inlineStr">
        <is>
          <t>GÄVLEBORGS LÄN</t>
        </is>
      </c>
      <c r="E6610" t="inlineStr">
        <is>
          <t>GÄVLE</t>
        </is>
      </c>
      <c r="F6610" t="inlineStr">
        <is>
          <t>Bergvik skog öst AB</t>
        </is>
      </c>
      <c r="G6610" t="n">
        <v>10.6</v>
      </c>
      <c r="H6610" t="n">
        <v>0</v>
      </c>
      <c r="I6610" t="n">
        <v>0</v>
      </c>
      <c r="J6610" t="n">
        <v>0</v>
      </c>
      <c r="K6610" t="n">
        <v>0</v>
      </c>
      <c r="L6610" t="n">
        <v>0</v>
      </c>
      <c r="M6610" t="n">
        <v>0</v>
      </c>
      <c r="N6610" t="n">
        <v>0</v>
      </c>
      <c r="O6610" t="n">
        <v>0</v>
      </c>
      <c r="P6610" t="n">
        <v>0</v>
      </c>
      <c r="Q6610" t="n">
        <v>0</v>
      </c>
      <c r="R6610" s="2" t="inlineStr"/>
    </row>
    <row r="6611" ht="15" customHeight="1">
      <c r="A6611" t="inlineStr">
        <is>
          <t>A 13677-2023</t>
        </is>
      </c>
      <c r="B6611" s="1" t="n">
        <v>45006</v>
      </c>
      <c r="C6611" s="1" t="n">
        <v>45677</v>
      </c>
      <c r="D6611" t="inlineStr">
        <is>
          <t>GÄVLEBORGS LÄN</t>
        </is>
      </c>
      <c r="E6611" t="inlineStr">
        <is>
          <t>SÖDERHAMN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13667-2023</t>
        </is>
      </c>
      <c r="B6612" s="1" t="n">
        <v>45006</v>
      </c>
      <c r="C6612" s="1" t="n">
        <v>45677</v>
      </c>
      <c r="D6612" t="inlineStr">
        <is>
          <t>GÄVLEBORGS LÄN</t>
        </is>
      </c>
      <c r="E6612" t="inlineStr">
        <is>
          <t>LJUSDAL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13744-2023</t>
        </is>
      </c>
      <c r="B6613" s="1" t="n">
        <v>45007</v>
      </c>
      <c r="C6613" s="1" t="n">
        <v>45677</v>
      </c>
      <c r="D6613" t="inlineStr">
        <is>
          <t>GÄVLEBORGS LÄN</t>
        </is>
      </c>
      <c r="E6613" t="inlineStr">
        <is>
          <t>HOFORS</t>
        </is>
      </c>
      <c r="F6613" t="inlineStr">
        <is>
          <t>Övriga statliga verk och myndigheter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13745-2023</t>
        </is>
      </c>
      <c r="B6614" s="1" t="n">
        <v>45007</v>
      </c>
      <c r="C6614" s="1" t="n">
        <v>45677</v>
      </c>
      <c r="D6614" t="inlineStr">
        <is>
          <t>GÄVLEBORGS LÄN</t>
        </is>
      </c>
      <c r="E6614" t="inlineStr">
        <is>
          <t>HOFORS</t>
        </is>
      </c>
      <c r="F6614" t="inlineStr">
        <is>
          <t>Övriga statliga verk och myndigheter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13854-2023</t>
        </is>
      </c>
      <c r="B6615" s="1" t="n">
        <v>45007</v>
      </c>
      <c r="C6615" s="1" t="n">
        <v>45677</v>
      </c>
      <c r="D6615" t="inlineStr">
        <is>
          <t>GÄVLEBORGS LÄN</t>
        </is>
      </c>
      <c r="E6615" t="inlineStr">
        <is>
          <t>LJUSDAL</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14016-2023</t>
        </is>
      </c>
      <c r="B6616" s="1" t="n">
        <v>45008</v>
      </c>
      <c r="C6616" s="1" t="n">
        <v>45677</v>
      </c>
      <c r="D6616" t="inlineStr">
        <is>
          <t>GÄVLEBORGS LÄN</t>
        </is>
      </c>
      <c r="E6616" t="inlineStr">
        <is>
          <t>HUDIKSVALL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14029-2023</t>
        </is>
      </c>
      <c r="B6617" s="1" t="n">
        <v>45008</v>
      </c>
      <c r="C6617" s="1" t="n">
        <v>45677</v>
      </c>
      <c r="D6617" t="inlineStr">
        <is>
          <t>GÄVLEBORGS LÄN</t>
        </is>
      </c>
      <c r="E6617" t="inlineStr">
        <is>
          <t>SÖDERHAMN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14036-2023</t>
        </is>
      </c>
      <c r="B6618" s="1" t="n">
        <v>45008</v>
      </c>
      <c r="C6618" s="1" t="n">
        <v>45677</v>
      </c>
      <c r="D6618" t="inlineStr">
        <is>
          <t>GÄVLEBORGS LÄN</t>
        </is>
      </c>
      <c r="E6618" t="inlineStr">
        <is>
          <t>LJUSDAL</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14050-2023</t>
        </is>
      </c>
      <c r="B6619" s="1" t="n">
        <v>45008</v>
      </c>
      <c r="C6619" s="1" t="n">
        <v>45677</v>
      </c>
      <c r="D6619" t="inlineStr">
        <is>
          <t>GÄVLEBORGS LÄN</t>
        </is>
      </c>
      <c r="E6619" t="inlineStr">
        <is>
          <t>BOLLNÄS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14155-2023</t>
        </is>
      </c>
      <c r="B6620" s="1" t="n">
        <v>45009</v>
      </c>
      <c r="C6620" s="1" t="n">
        <v>45677</v>
      </c>
      <c r="D6620" t="inlineStr">
        <is>
          <t>GÄVLEBORGS LÄN</t>
        </is>
      </c>
      <c r="E6620" t="inlineStr">
        <is>
          <t>GÄVLE</t>
        </is>
      </c>
      <c r="F6620" t="inlineStr">
        <is>
          <t>Bergvik skog öst AB</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14240-2023</t>
        </is>
      </c>
      <c r="B6621" s="1" t="n">
        <v>45009</v>
      </c>
      <c r="C6621" s="1" t="n">
        <v>45677</v>
      </c>
      <c r="D6621" t="inlineStr">
        <is>
          <t>GÄVLEBORGS LÄN</t>
        </is>
      </c>
      <c r="E6621" t="inlineStr">
        <is>
          <t>OVANÅKER</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14238-2023</t>
        </is>
      </c>
      <c r="B6622" s="1" t="n">
        <v>45009</v>
      </c>
      <c r="C6622" s="1" t="n">
        <v>45677</v>
      </c>
      <c r="D6622" t="inlineStr">
        <is>
          <t>GÄVLEBORGS LÄN</t>
        </is>
      </c>
      <c r="E6622" t="inlineStr">
        <is>
          <t>OVANÅKER</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14259-2023</t>
        </is>
      </c>
      <c r="B6623" s="1" t="n">
        <v>45009</v>
      </c>
      <c r="C6623" s="1" t="n">
        <v>45677</v>
      </c>
      <c r="D6623" t="inlineStr">
        <is>
          <t>GÄVLEBORGS LÄN</t>
        </is>
      </c>
      <c r="E6623" t="inlineStr">
        <is>
          <t>BOLLNÄS</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14384-2023</t>
        </is>
      </c>
      <c r="B6624" s="1" t="n">
        <v>45012</v>
      </c>
      <c r="C6624" s="1" t="n">
        <v>45677</v>
      </c>
      <c r="D6624" t="inlineStr">
        <is>
          <t>GÄVLEBORGS LÄN</t>
        </is>
      </c>
      <c r="E6624" t="inlineStr">
        <is>
          <t>HUDIKSVALL</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14473-2023</t>
        </is>
      </c>
      <c r="B6625" s="1" t="n">
        <v>45012</v>
      </c>
      <c r="C6625" s="1" t="n">
        <v>45677</v>
      </c>
      <c r="D6625" t="inlineStr">
        <is>
          <t>GÄVLEBORGS LÄN</t>
        </is>
      </c>
      <c r="E6625" t="inlineStr">
        <is>
          <t>LJUSDAL</t>
        </is>
      </c>
      <c r="F6625" t="inlineStr">
        <is>
          <t>Kyrkan</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14479-2023</t>
        </is>
      </c>
      <c r="B6626" s="1" t="n">
        <v>45012</v>
      </c>
      <c r="C6626" s="1" t="n">
        <v>45677</v>
      </c>
      <c r="D6626" t="inlineStr">
        <is>
          <t>GÄVLEBORGS LÄN</t>
        </is>
      </c>
      <c r="E6626" t="inlineStr">
        <is>
          <t>LJUSDAL</t>
        </is>
      </c>
      <c r="F6626" t="inlineStr">
        <is>
          <t>Kyrkan</t>
        </is>
      </c>
      <c r="G6626" t="n">
        <v>27.5</v>
      </c>
      <c r="H6626" t="n">
        <v>0</v>
      </c>
      <c r="I6626" t="n">
        <v>0</v>
      </c>
      <c r="J6626" t="n">
        <v>0</v>
      </c>
      <c r="K6626" t="n">
        <v>0</v>
      </c>
      <c r="L6626" t="n">
        <v>0</v>
      </c>
      <c r="M6626" t="n">
        <v>0</v>
      </c>
      <c r="N6626" t="n">
        <v>0</v>
      </c>
      <c r="O6626" t="n">
        <v>0</v>
      </c>
      <c r="P6626" t="n">
        <v>0</v>
      </c>
      <c r="Q6626" t="n">
        <v>0</v>
      </c>
      <c r="R6626" s="2" t="inlineStr"/>
    </row>
    <row r="6627" ht="15" customHeight="1">
      <c r="A6627" t="inlineStr">
        <is>
          <t>A 14498-2023</t>
        </is>
      </c>
      <c r="B6627" s="1" t="n">
        <v>45012</v>
      </c>
      <c r="C6627" s="1" t="n">
        <v>45677</v>
      </c>
      <c r="D6627" t="inlineStr">
        <is>
          <t>GÄVLEBORGS LÄN</t>
        </is>
      </c>
      <c r="E6627" t="inlineStr">
        <is>
          <t>SÖDERHAMN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14423-2023</t>
        </is>
      </c>
      <c r="B6628" s="1" t="n">
        <v>45012</v>
      </c>
      <c r="C6628" s="1" t="n">
        <v>45677</v>
      </c>
      <c r="D6628" t="inlineStr">
        <is>
          <t>GÄVLEBORGS LÄN</t>
        </is>
      </c>
      <c r="E6628" t="inlineStr">
        <is>
          <t>BOLLNÄS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14472-2023</t>
        </is>
      </c>
      <c r="B6629" s="1" t="n">
        <v>45012</v>
      </c>
      <c r="C6629" s="1" t="n">
        <v>45677</v>
      </c>
      <c r="D6629" t="inlineStr">
        <is>
          <t>GÄVLEBORGS LÄN</t>
        </is>
      </c>
      <c r="E6629" t="inlineStr">
        <is>
          <t>SANDVIKEN</t>
        </is>
      </c>
      <c r="F6629" t="inlineStr">
        <is>
          <t>Kommuner</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14401-2023</t>
        </is>
      </c>
      <c r="B6630" s="1" t="n">
        <v>45012</v>
      </c>
      <c r="C6630" s="1" t="n">
        <v>45677</v>
      </c>
      <c r="D6630" t="inlineStr">
        <is>
          <t>GÄVLEBORGS LÄN</t>
        </is>
      </c>
      <c r="E6630" t="inlineStr">
        <is>
          <t>HUDIKSVALL</t>
        </is>
      </c>
      <c r="F6630" t="inlineStr">
        <is>
          <t>Holmen skog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14411-2023</t>
        </is>
      </c>
      <c r="B6631" s="1" t="n">
        <v>45012</v>
      </c>
      <c r="C6631" s="1" t="n">
        <v>45677</v>
      </c>
      <c r="D6631" t="inlineStr">
        <is>
          <t>GÄVLEBORGS LÄN</t>
        </is>
      </c>
      <c r="E6631" t="inlineStr">
        <is>
          <t>GÄVLE</t>
        </is>
      </c>
      <c r="F6631" t="inlineStr">
        <is>
          <t>Bergvik skog öst AB</t>
        </is>
      </c>
      <c r="G6631" t="n">
        <v>13.6</v>
      </c>
      <c r="H6631" t="n">
        <v>0</v>
      </c>
      <c r="I6631" t="n">
        <v>0</v>
      </c>
      <c r="J6631" t="n">
        <v>0</v>
      </c>
      <c r="K6631" t="n">
        <v>0</v>
      </c>
      <c r="L6631" t="n">
        <v>0</v>
      </c>
      <c r="M6631" t="n">
        <v>0</v>
      </c>
      <c r="N6631" t="n">
        <v>0</v>
      </c>
      <c r="O6631" t="n">
        <v>0</v>
      </c>
      <c r="P6631" t="n">
        <v>0</v>
      </c>
      <c r="Q6631" t="n">
        <v>0</v>
      </c>
      <c r="R6631" s="2" t="inlineStr"/>
    </row>
    <row r="6632" ht="15" customHeight="1">
      <c r="A6632" t="inlineStr">
        <is>
          <t>A 14426-2023</t>
        </is>
      </c>
      <c r="B6632" s="1" t="n">
        <v>45012</v>
      </c>
      <c r="C6632" s="1" t="n">
        <v>45677</v>
      </c>
      <c r="D6632" t="inlineStr">
        <is>
          <t>GÄVLEBORGS LÄN</t>
        </is>
      </c>
      <c r="E6632" t="inlineStr">
        <is>
          <t>GÄVLE</t>
        </is>
      </c>
      <c r="F6632" t="inlineStr">
        <is>
          <t>Bergvik skog öst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14623-2023</t>
        </is>
      </c>
      <c r="B6633" s="1" t="n">
        <v>45013</v>
      </c>
      <c r="C6633" s="1" t="n">
        <v>45677</v>
      </c>
      <c r="D6633" t="inlineStr">
        <is>
          <t>GÄVLEBORGS LÄN</t>
        </is>
      </c>
      <c r="E6633" t="inlineStr">
        <is>
          <t>BOLLNÄS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14664-2023</t>
        </is>
      </c>
      <c r="B6634" s="1" t="n">
        <v>45014</v>
      </c>
      <c r="C6634" s="1" t="n">
        <v>45677</v>
      </c>
      <c r="D6634" t="inlineStr">
        <is>
          <t>GÄVLEBORGS LÄN</t>
        </is>
      </c>
      <c r="E6634" t="inlineStr">
        <is>
          <t>LJUSDAL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14681-2023</t>
        </is>
      </c>
      <c r="B6635" s="1" t="n">
        <v>45014</v>
      </c>
      <c r="C6635" s="1" t="n">
        <v>45677</v>
      </c>
      <c r="D6635" t="inlineStr">
        <is>
          <t>GÄVLEBORGS LÄN</t>
        </is>
      </c>
      <c r="E6635" t="inlineStr">
        <is>
          <t>BOLLNÄS</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14707-2023</t>
        </is>
      </c>
      <c r="B6636" s="1" t="n">
        <v>45014</v>
      </c>
      <c r="C6636" s="1" t="n">
        <v>45677</v>
      </c>
      <c r="D6636" t="inlineStr">
        <is>
          <t>GÄVLEBORGS LÄN</t>
        </is>
      </c>
      <c r="E6636" t="inlineStr">
        <is>
          <t>HUDIKSVALL</t>
        </is>
      </c>
      <c r="F6636" t="inlineStr">
        <is>
          <t>Holmen skog AB</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14796-2023</t>
        </is>
      </c>
      <c r="B6637" s="1" t="n">
        <v>45014</v>
      </c>
      <c r="C6637" s="1" t="n">
        <v>45677</v>
      </c>
      <c r="D6637" t="inlineStr">
        <is>
          <t>GÄVLEBORGS LÄN</t>
        </is>
      </c>
      <c r="E6637" t="inlineStr">
        <is>
          <t>HUDIKSVALL</t>
        </is>
      </c>
      <c r="F6637" t="inlineStr">
        <is>
          <t>Holmen skog AB</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14807-2023</t>
        </is>
      </c>
      <c r="B6638" s="1" t="n">
        <v>45014</v>
      </c>
      <c r="C6638" s="1" t="n">
        <v>45677</v>
      </c>
      <c r="D6638" t="inlineStr">
        <is>
          <t>GÄVLEBORGS LÄN</t>
        </is>
      </c>
      <c r="E6638" t="inlineStr">
        <is>
          <t>GÄVLE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14850-2023</t>
        </is>
      </c>
      <c r="B6639" s="1" t="n">
        <v>45014</v>
      </c>
      <c r="C6639" s="1" t="n">
        <v>45677</v>
      </c>
      <c r="D6639" t="inlineStr">
        <is>
          <t>GÄVLEBORGS LÄN</t>
        </is>
      </c>
      <c r="E6639" t="inlineStr">
        <is>
          <t>GÄVLE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14783-2023</t>
        </is>
      </c>
      <c r="B6640" s="1" t="n">
        <v>45014</v>
      </c>
      <c r="C6640" s="1" t="n">
        <v>45677</v>
      </c>
      <c r="D6640" t="inlineStr">
        <is>
          <t>GÄVLEBORGS LÄN</t>
        </is>
      </c>
      <c r="E6640" t="inlineStr">
        <is>
          <t>HUDIKSVALL</t>
        </is>
      </c>
      <c r="F6640" t="inlineStr">
        <is>
          <t>Holmen skog AB</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14792-2023</t>
        </is>
      </c>
      <c r="B6641" s="1" t="n">
        <v>45014</v>
      </c>
      <c r="C6641" s="1" t="n">
        <v>45677</v>
      </c>
      <c r="D6641" t="inlineStr">
        <is>
          <t>GÄVLEBORGS LÄN</t>
        </is>
      </c>
      <c r="E6641" t="inlineStr">
        <is>
          <t>GÄVLE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14801-2023</t>
        </is>
      </c>
      <c r="B6642" s="1" t="n">
        <v>45014</v>
      </c>
      <c r="C6642" s="1" t="n">
        <v>45677</v>
      </c>
      <c r="D6642" t="inlineStr">
        <is>
          <t>GÄVLEBORGS LÄN</t>
        </is>
      </c>
      <c r="E6642" t="inlineStr">
        <is>
          <t>GÄVLE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14811-2023</t>
        </is>
      </c>
      <c r="B6643" s="1" t="n">
        <v>45014</v>
      </c>
      <c r="C6643" s="1" t="n">
        <v>45677</v>
      </c>
      <c r="D6643" t="inlineStr">
        <is>
          <t>GÄVLEBORGS LÄN</t>
        </is>
      </c>
      <c r="E6643" t="inlineStr">
        <is>
          <t>HOFORS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14912-2023</t>
        </is>
      </c>
      <c r="B6644" s="1" t="n">
        <v>45014</v>
      </c>
      <c r="C6644" s="1" t="n">
        <v>45677</v>
      </c>
      <c r="D6644" t="inlineStr">
        <is>
          <t>GÄVLEBORGS LÄN</t>
        </is>
      </c>
      <c r="E6644" t="inlineStr">
        <is>
          <t>BOLLNÄS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14910-2023</t>
        </is>
      </c>
      <c r="B6645" s="1" t="n">
        <v>45015</v>
      </c>
      <c r="C6645" s="1" t="n">
        <v>45677</v>
      </c>
      <c r="D6645" t="inlineStr">
        <is>
          <t>GÄVLEBORGS LÄN</t>
        </is>
      </c>
      <c r="E6645" t="inlineStr">
        <is>
          <t>SANDVIKEN</t>
        </is>
      </c>
      <c r="F6645" t="inlineStr">
        <is>
          <t>Bergvik skog öst AB</t>
        </is>
      </c>
      <c r="G6645" t="n">
        <v>26.7</v>
      </c>
      <c r="H6645" t="n">
        <v>0</v>
      </c>
      <c r="I6645" t="n">
        <v>0</v>
      </c>
      <c r="J6645" t="n">
        <v>0</v>
      </c>
      <c r="K6645" t="n">
        <v>0</v>
      </c>
      <c r="L6645" t="n">
        <v>0</v>
      </c>
      <c r="M6645" t="n">
        <v>0</v>
      </c>
      <c r="N6645" t="n">
        <v>0</v>
      </c>
      <c r="O6645" t="n">
        <v>0</v>
      </c>
      <c r="P6645" t="n">
        <v>0</v>
      </c>
      <c r="Q6645" t="n">
        <v>0</v>
      </c>
      <c r="R6645" s="2" t="inlineStr"/>
    </row>
    <row r="6646" ht="15" customHeight="1">
      <c r="A6646" t="inlineStr">
        <is>
          <t>A 14919-2023</t>
        </is>
      </c>
      <c r="B6646" s="1" t="n">
        <v>45015</v>
      </c>
      <c r="C6646" s="1" t="n">
        <v>45677</v>
      </c>
      <c r="D6646" t="inlineStr">
        <is>
          <t>GÄVLEBORGS LÄN</t>
        </is>
      </c>
      <c r="E6646" t="inlineStr">
        <is>
          <t>SANDVIKEN</t>
        </is>
      </c>
      <c r="F6646" t="inlineStr">
        <is>
          <t>Bergvik skog öst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14957-2023</t>
        </is>
      </c>
      <c r="B6647" s="1" t="n">
        <v>45015</v>
      </c>
      <c r="C6647" s="1" t="n">
        <v>45677</v>
      </c>
      <c r="D6647" t="inlineStr">
        <is>
          <t>GÄVLEBORGS LÄN</t>
        </is>
      </c>
      <c r="E6647" t="inlineStr">
        <is>
          <t>GÄVLE</t>
        </is>
      </c>
      <c r="F6647" t="inlineStr">
        <is>
          <t>Bergvik skog öst AB</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14955-2023</t>
        </is>
      </c>
      <c r="B6648" s="1" t="n">
        <v>45015</v>
      </c>
      <c r="C6648" s="1" t="n">
        <v>45677</v>
      </c>
      <c r="D6648" t="inlineStr">
        <is>
          <t>GÄVLEBORGS LÄN</t>
        </is>
      </c>
      <c r="E6648" t="inlineStr">
        <is>
          <t>HUDIKSVALL</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14964-2023</t>
        </is>
      </c>
      <c r="B6649" s="1" t="n">
        <v>45015</v>
      </c>
      <c r="C6649" s="1" t="n">
        <v>45677</v>
      </c>
      <c r="D6649" t="inlineStr">
        <is>
          <t>GÄVLEBORGS LÄN</t>
        </is>
      </c>
      <c r="E6649" t="inlineStr">
        <is>
          <t>GÄVLE</t>
        </is>
      </c>
      <c r="F6649" t="inlineStr">
        <is>
          <t>Bergvik skog öst AB</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15001-2023</t>
        </is>
      </c>
      <c r="B6650" s="1" t="n">
        <v>45015</v>
      </c>
      <c r="C6650" s="1" t="n">
        <v>45677</v>
      </c>
      <c r="D6650" t="inlineStr">
        <is>
          <t>GÄVLEBORGS LÄN</t>
        </is>
      </c>
      <c r="E6650" t="inlineStr">
        <is>
          <t>GÄVLE</t>
        </is>
      </c>
      <c r="F6650" t="inlineStr">
        <is>
          <t>Bergvik skog öst AB</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15015-2023</t>
        </is>
      </c>
      <c r="B6651" s="1" t="n">
        <v>45015</v>
      </c>
      <c r="C6651" s="1" t="n">
        <v>45677</v>
      </c>
      <c r="D6651" t="inlineStr">
        <is>
          <t>GÄVLEBORGS LÄN</t>
        </is>
      </c>
      <c r="E6651" t="inlineStr">
        <is>
          <t>LJUSDAL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14994-2023</t>
        </is>
      </c>
      <c r="B6652" s="1" t="n">
        <v>45015</v>
      </c>
      <c r="C6652" s="1" t="n">
        <v>45677</v>
      </c>
      <c r="D6652" t="inlineStr">
        <is>
          <t>GÄVLEBORGS LÄN</t>
        </is>
      </c>
      <c r="E6652" t="inlineStr">
        <is>
          <t>GÄVLE</t>
        </is>
      </c>
      <c r="F6652" t="inlineStr">
        <is>
          <t>Bergvik skog öst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15004-2023</t>
        </is>
      </c>
      <c r="B6653" s="1" t="n">
        <v>45015</v>
      </c>
      <c r="C6653" s="1" t="n">
        <v>45677</v>
      </c>
      <c r="D6653" t="inlineStr">
        <is>
          <t>GÄVLEBORGS LÄN</t>
        </is>
      </c>
      <c r="E6653" t="inlineStr">
        <is>
          <t>HUDIKSVALL</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14989-2023</t>
        </is>
      </c>
      <c r="B6654" s="1" t="n">
        <v>45015</v>
      </c>
      <c r="C6654" s="1" t="n">
        <v>45677</v>
      </c>
      <c r="D6654" t="inlineStr">
        <is>
          <t>GÄVLEBORGS LÄN</t>
        </is>
      </c>
      <c r="E6654" t="inlineStr">
        <is>
          <t>GÄVLE</t>
        </is>
      </c>
      <c r="F6654" t="inlineStr">
        <is>
          <t>Bergvik skog öst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15074-2023</t>
        </is>
      </c>
      <c r="B6655" s="1" t="n">
        <v>45016</v>
      </c>
      <c r="C6655" s="1" t="n">
        <v>45677</v>
      </c>
      <c r="D6655" t="inlineStr">
        <is>
          <t>GÄVLEBORGS LÄN</t>
        </is>
      </c>
      <c r="E6655" t="inlineStr">
        <is>
          <t>SÖDERHAMN</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15146-2023</t>
        </is>
      </c>
      <c r="B6656" s="1" t="n">
        <v>45016</v>
      </c>
      <c r="C6656" s="1" t="n">
        <v>45677</v>
      </c>
      <c r="D6656" t="inlineStr">
        <is>
          <t>GÄVLEBORGS LÄN</t>
        </is>
      </c>
      <c r="E6656" t="inlineStr">
        <is>
          <t>BOLLNÄS</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15096-2023</t>
        </is>
      </c>
      <c r="B6657" s="1" t="n">
        <v>45016</v>
      </c>
      <c r="C6657" s="1" t="n">
        <v>45677</v>
      </c>
      <c r="D6657" t="inlineStr">
        <is>
          <t>GÄVLEBORGS LÄN</t>
        </is>
      </c>
      <c r="E6657" t="inlineStr">
        <is>
          <t>BOLLNÄS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15142-2023</t>
        </is>
      </c>
      <c r="B6658" s="1" t="n">
        <v>45016</v>
      </c>
      <c r="C6658" s="1" t="n">
        <v>45677</v>
      </c>
      <c r="D6658" t="inlineStr">
        <is>
          <t>GÄVLEBORGS LÄN</t>
        </is>
      </c>
      <c r="E6658" t="inlineStr">
        <is>
          <t>BOLLNÄS</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15147-2023</t>
        </is>
      </c>
      <c r="B6659" s="1" t="n">
        <v>45016</v>
      </c>
      <c r="C6659" s="1" t="n">
        <v>45677</v>
      </c>
      <c r="D6659" t="inlineStr">
        <is>
          <t>GÄVLEBORGS LÄN</t>
        </is>
      </c>
      <c r="E6659" t="inlineStr">
        <is>
          <t>BOLLNÄS</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15102-2023</t>
        </is>
      </c>
      <c r="B6660" s="1" t="n">
        <v>45016</v>
      </c>
      <c r="C6660" s="1" t="n">
        <v>45677</v>
      </c>
      <c r="D6660" t="inlineStr">
        <is>
          <t>GÄVLEBORGS LÄN</t>
        </is>
      </c>
      <c r="E6660" t="inlineStr">
        <is>
          <t>BOLLNÄS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15107-2023</t>
        </is>
      </c>
      <c r="B6661" s="1" t="n">
        <v>45016</v>
      </c>
      <c r="C6661" s="1" t="n">
        <v>45677</v>
      </c>
      <c r="D6661" t="inlineStr">
        <is>
          <t>GÄVLEBORGS LÄN</t>
        </is>
      </c>
      <c r="E6661" t="inlineStr">
        <is>
          <t>HUDIKSVALL</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15123-2023</t>
        </is>
      </c>
      <c r="B6662" s="1" t="n">
        <v>45016</v>
      </c>
      <c r="C6662" s="1" t="n">
        <v>45677</v>
      </c>
      <c r="D6662" t="inlineStr">
        <is>
          <t>GÄVLEBORGS LÄN</t>
        </is>
      </c>
      <c r="E6662" t="inlineStr">
        <is>
          <t>NORDANSTIG</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15148-2023</t>
        </is>
      </c>
      <c r="B6663" s="1" t="n">
        <v>45016</v>
      </c>
      <c r="C6663" s="1" t="n">
        <v>45677</v>
      </c>
      <c r="D6663" t="inlineStr">
        <is>
          <t>GÄVLEBORGS LÄN</t>
        </is>
      </c>
      <c r="E6663" t="inlineStr">
        <is>
          <t>BOLLNÄS</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15138-2023</t>
        </is>
      </c>
      <c r="B6664" s="1" t="n">
        <v>45016</v>
      </c>
      <c r="C6664" s="1" t="n">
        <v>45677</v>
      </c>
      <c r="D6664" t="inlineStr">
        <is>
          <t>GÄVLEBORGS LÄN</t>
        </is>
      </c>
      <c r="E6664" t="inlineStr">
        <is>
          <t>LJUSDAL</t>
        </is>
      </c>
      <c r="F6664" t="inlineStr">
        <is>
          <t>Holmen skog AB</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15150-2023</t>
        </is>
      </c>
      <c r="B6665" s="1" t="n">
        <v>45016</v>
      </c>
      <c r="C6665" s="1" t="n">
        <v>45677</v>
      </c>
      <c r="D6665" t="inlineStr">
        <is>
          <t>GÄVLEBORGS LÄN</t>
        </is>
      </c>
      <c r="E6665" t="inlineStr">
        <is>
          <t>BOLLNÄS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15168-2023</t>
        </is>
      </c>
      <c r="B6666" s="1" t="n">
        <v>45016</v>
      </c>
      <c r="C6666" s="1" t="n">
        <v>45677</v>
      </c>
      <c r="D6666" t="inlineStr">
        <is>
          <t>GÄVLEBORGS LÄN</t>
        </is>
      </c>
      <c r="E6666" t="inlineStr">
        <is>
          <t>SANDVIKEN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15171-2023</t>
        </is>
      </c>
      <c r="B6667" s="1" t="n">
        <v>45016</v>
      </c>
      <c r="C6667" s="1" t="n">
        <v>45677</v>
      </c>
      <c r="D6667" t="inlineStr">
        <is>
          <t>GÄVLEBORGS LÄN</t>
        </is>
      </c>
      <c r="E6667" t="inlineStr">
        <is>
          <t>LJUSDAL</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15178-2023</t>
        </is>
      </c>
      <c r="B6668" s="1" t="n">
        <v>45016</v>
      </c>
      <c r="C6668" s="1" t="n">
        <v>45677</v>
      </c>
      <c r="D6668" t="inlineStr">
        <is>
          <t>GÄVLEBORGS LÄN</t>
        </is>
      </c>
      <c r="E6668" t="inlineStr">
        <is>
          <t>LJUSDAL</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15226-2023</t>
        </is>
      </c>
      <c r="B6669" s="1" t="n">
        <v>45019</v>
      </c>
      <c r="C6669" s="1" t="n">
        <v>45677</v>
      </c>
      <c r="D6669" t="inlineStr">
        <is>
          <t>GÄVLEBORGS LÄN</t>
        </is>
      </c>
      <c r="E6669" t="inlineStr">
        <is>
          <t>NORDANSTIG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15242-2023</t>
        </is>
      </c>
      <c r="B6670" s="1" t="n">
        <v>45019</v>
      </c>
      <c r="C6670" s="1" t="n">
        <v>45677</v>
      </c>
      <c r="D6670" t="inlineStr">
        <is>
          <t>GÄVLEBORGS LÄN</t>
        </is>
      </c>
      <c r="E6670" t="inlineStr">
        <is>
          <t>HUDIKSVALL</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15233-2023</t>
        </is>
      </c>
      <c r="B6671" s="1" t="n">
        <v>45019</v>
      </c>
      <c r="C6671" s="1" t="n">
        <v>45677</v>
      </c>
      <c r="D6671" t="inlineStr">
        <is>
          <t>GÄVLEBORGS LÄN</t>
        </is>
      </c>
      <c r="E6671" t="inlineStr">
        <is>
          <t>HUDIKSVALL</t>
        </is>
      </c>
      <c r="F6671" t="inlineStr">
        <is>
          <t>Holmen skog AB</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15285-2023</t>
        </is>
      </c>
      <c r="B6672" s="1" t="n">
        <v>45019</v>
      </c>
      <c r="C6672" s="1" t="n">
        <v>45677</v>
      </c>
      <c r="D6672" t="inlineStr">
        <is>
          <t>GÄVLEBORGS LÄN</t>
        </is>
      </c>
      <c r="E6672" t="inlineStr">
        <is>
          <t>LJUSDAL</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15336-2023</t>
        </is>
      </c>
      <c r="B6673" s="1" t="n">
        <v>45019</v>
      </c>
      <c r="C6673" s="1" t="n">
        <v>45677</v>
      </c>
      <c r="D6673" t="inlineStr">
        <is>
          <t>GÄVLEBORGS LÄN</t>
        </is>
      </c>
      <c r="E6673" t="inlineStr">
        <is>
          <t>HUDIKSVALL</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15314-2023</t>
        </is>
      </c>
      <c r="B6674" s="1" t="n">
        <v>45019</v>
      </c>
      <c r="C6674" s="1" t="n">
        <v>45677</v>
      </c>
      <c r="D6674" t="inlineStr">
        <is>
          <t>GÄVLEBORGS LÄN</t>
        </is>
      </c>
      <c r="E6674" t="inlineStr">
        <is>
          <t>GÄVLE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15311-2023</t>
        </is>
      </c>
      <c r="B6675" s="1" t="n">
        <v>45019</v>
      </c>
      <c r="C6675" s="1" t="n">
        <v>45677</v>
      </c>
      <c r="D6675" t="inlineStr">
        <is>
          <t>GÄVLEBORGS LÄN</t>
        </is>
      </c>
      <c r="E6675" t="inlineStr">
        <is>
          <t>GÄVLE</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15385-2023</t>
        </is>
      </c>
      <c r="B6676" s="1" t="n">
        <v>45019</v>
      </c>
      <c r="C6676" s="1" t="n">
        <v>45677</v>
      </c>
      <c r="D6676" t="inlineStr">
        <is>
          <t>GÄVLEBORGS LÄN</t>
        </is>
      </c>
      <c r="E6676" t="inlineStr">
        <is>
          <t>NORDANSTIG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15306-2023</t>
        </is>
      </c>
      <c r="B6677" s="1" t="n">
        <v>45019</v>
      </c>
      <c r="C6677" s="1" t="n">
        <v>45677</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15312-2023</t>
        </is>
      </c>
      <c r="B6678" s="1" t="n">
        <v>45019</v>
      </c>
      <c r="C6678" s="1" t="n">
        <v>45677</v>
      </c>
      <c r="D6678" t="inlineStr">
        <is>
          <t>GÄVLEBORGS LÄN</t>
        </is>
      </c>
      <c r="E6678" t="inlineStr">
        <is>
          <t>GÄVLE</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15390-2023</t>
        </is>
      </c>
      <c r="B6679" s="1" t="n">
        <v>45019</v>
      </c>
      <c r="C6679" s="1" t="n">
        <v>45677</v>
      </c>
      <c r="D6679" t="inlineStr">
        <is>
          <t>GÄVLEBORGS LÄN</t>
        </is>
      </c>
      <c r="E6679" t="inlineStr">
        <is>
          <t>NORDANSTIG</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15494-2023</t>
        </is>
      </c>
      <c r="B6680" s="1" t="n">
        <v>45020</v>
      </c>
      <c r="C6680" s="1" t="n">
        <v>45677</v>
      </c>
      <c r="D6680" t="inlineStr">
        <is>
          <t>GÄVLEBORGS LÄN</t>
        </is>
      </c>
      <c r="E6680" t="inlineStr">
        <is>
          <t>NORDANSTIG</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15464-2023</t>
        </is>
      </c>
      <c r="B6681" s="1" t="n">
        <v>45020</v>
      </c>
      <c r="C6681" s="1" t="n">
        <v>45677</v>
      </c>
      <c r="D6681" t="inlineStr">
        <is>
          <t>GÄVLEBORGS LÄN</t>
        </is>
      </c>
      <c r="E6681" t="inlineStr">
        <is>
          <t>NORDANSTIG</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15496-2023</t>
        </is>
      </c>
      <c r="B6682" s="1" t="n">
        <v>45020</v>
      </c>
      <c r="C6682" s="1" t="n">
        <v>45677</v>
      </c>
      <c r="D6682" t="inlineStr">
        <is>
          <t>GÄVLEBORGS LÄN</t>
        </is>
      </c>
      <c r="E6682" t="inlineStr">
        <is>
          <t>NORDANSTIG</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15521-2023</t>
        </is>
      </c>
      <c r="B6683" s="1" t="n">
        <v>45020</v>
      </c>
      <c r="C6683" s="1" t="n">
        <v>45677</v>
      </c>
      <c r="D6683" t="inlineStr">
        <is>
          <t>GÄVLEBORGS LÄN</t>
        </is>
      </c>
      <c r="E6683" t="inlineStr">
        <is>
          <t>HUDIKSVALL</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15553-2023</t>
        </is>
      </c>
      <c r="B6684" s="1" t="n">
        <v>45020</v>
      </c>
      <c r="C6684" s="1" t="n">
        <v>45677</v>
      </c>
      <c r="D6684" t="inlineStr">
        <is>
          <t>GÄVLEBORGS LÄN</t>
        </is>
      </c>
      <c r="E6684" t="inlineStr">
        <is>
          <t>HUDIKSVALL</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15585-2023</t>
        </is>
      </c>
      <c r="B6685" s="1" t="n">
        <v>45020</v>
      </c>
      <c r="C6685" s="1" t="n">
        <v>45677</v>
      </c>
      <c r="D6685" t="inlineStr">
        <is>
          <t>GÄVLEBORGS LÄN</t>
        </is>
      </c>
      <c r="E6685" t="inlineStr">
        <is>
          <t>OVANÅKER</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15539-2023</t>
        </is>
      </c>
      <c r="B6686" s="1" t="n">
        <v>45020</v>
      </c>
      <c r="C6686" s="1" t="n">
        <v>45677</v>
      </c>
      <c r="D6686" t="inlineStr">
        <is>
          <t>GÄVLEBORGS LÄN</t>
        </is>
      </c>
      <c r="E6686" t="inlineStr">
        <is>
          <t>NORDANSTIG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15537-2023</t>
        </is>
      </c>
      <c r="B6687" s="1" t="n">
        <v>45020</v>
      </c>
      <c r="C6687" s="1" t="n">
        <v>45677</v>
      </c>
      <c r="D6687" t="inlineStr">
        <is>
          <t>GÄVLEBORGS LÄN</t>
        </is>
      </c>
      <c r="E6687" t="inlineStr">
        <is>
          <t>LJUSDAL</t>
        </is>
      </c>
      <c r="G6687" t="n">
        <v>9.5</v>
      </c>
      <c r="H6687" t="n">
        <v>0</v>
      </c>
      <c r="I6687" t="n">
        <v>0</v>
      </c>
      <c r="J6687" t="n">
        <v>0</v>
      </c>
      <c r="K6687" t="n">
        <v>0</v>
      </c>
      <c r="L6687" t="n">
        <v>0</v>
      </c>
      <c r="M6687" t="n">
        <v>0</v>
      </c>
      <c r="N6687" t="n">
        <v>0</v>
      </c>
      <c r="O6687" t="n">
        <v>0</v>
      </c>
      <c r="P6687" t="n">
        <v>0</v>
      </c>
      <c r="Q6687" t="n">
        <v>0</v>
      </c>
      <c r="R6687" s="2" t="inlineStr"/>
    </row>
    <row r="6688" ht="15" customHeight="1">
      <c r="A6688" t="inlineStr">
        <is>
          <t>A 15736-2023</t>
        </is>
      </c>
      <c r="B6688" s="1" t="n">
        <v>45021</v>
      </c>
      <c r="C6688" s="1" t="n">
        <v>45677</v>
      </c>
      <c r="D6688" t="inlineStr">
        <is>
          <t>GÄVLEBORGS LÄN</t>
        </is>
      </c>
      <c r="E6688" t="inlineStr">
        <is>
          <t>HUDIKSVALL</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15737-2023</t>
        </is>
      </c>
      <c r="B6689" s="1" t="n">
        <v>45021</v>
      </c>
      <c r="C6689" s="1" t="n">
        <v>45677</v>
      </c>
      <c r="D6689" t="inlineStr">
        <is>
          <t>GÄVLEBORGS LÄN</t>
        </is>
      </c>
      <c r="E6689" t="inlineStr">
        <is>
          <t>BOLLNÄS</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15833-2023</t>
        </is>
      </c>
      <c r="B6690" s="1" t="n">
        <v>45022</v>
      </c>
      <c r="C6690" s="1" t="n">
        <v>45677</v>
      </c>
      <c r="D6690" t="inlineStr">
        <is>
          <t>GÄVLEBORGS LÄN</t>
        </is>
      </c>
      <c r="E6690" t="inlineStr">
        <is>
          <t>OCKELBO</t>
        </is>
      </c>
      <c r="F6690" t="inlineStr">
        <is>
          <t>Bergvik skog väst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15921-2023</t>
        </is>
      </c>
      <c r="B6691" s="1" t="n">
        <v>45022</v>
      </c>
      <c r="C6691" s="1" t="n">
        <v>45677</v>
      </c>
      <c r="D6691" t="inlineStr">
        <is>
          <t>GÄVLEBORGS LÄN</t>
        </is>
      </c>
      <c r="E6691" t="inlineStr">
        <is>
          <t>BOLLNÄS</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15834-2023</t>
        </is>
      </c>
      <c r="B6692" s="1" t="n">
        <v>45022</v>
      </c>
      <c r="C6692" s="1" t="n">
        <v>45677</v>
      </c>
      <c r="D6692" t="inlineStr">
        <is>
          <t>GÄVLEBORGS LÄN</t>
        </is>
      </c>
      <c r="E6692" t="inlineStr">
        <is>
          <t>OCKELBO</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15838-2023</t>
        </is>
      </c>
      <c r="B6693" s="1" t="n">
        <v>45022</v>
      </c>
      <c r="C6693" s="1" t="n">
        <v>45677</v>
      </c>
      <c r="D6693" t="inlineStr">
        <is>
          <t>GÄVLEBORGS LÄN</t>
        </is>
      </c>
      <c r="E6693" t="inlineStr">
        <is>
          <t>OCKELBO</t>
        </is>
      </c>
      <c r="F6693" t="inlineStr">
        <is>
          <t>Bergvik skog väst AB</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15849-2023</t>
        </is>
      </c>
      <c r="B6694" s="1" t="n">
        <v>45022</v>
      </c>
      <c r="C6694" s="1" t="n">
        <v>45677</v>
      </c>
      <c r="D6694" t="inlineStr">
        <is>
          <t>GÄVLEBORGS LÄN</t>
        </is>
      </c>
      <c r="E6694" t="inlineStr">
        <is>
          <t>OCKELBO</t>
        </is>
      </c>
      <c r="F6694" t="inlineStr">
        <is>
          <t>Bergvik skog väst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15835-2023</t>
        </is>
      </c>
      <c r="B6695" s="1" t="n">
        <v>45022</v>
      </c>
      <c r="C6695" s="1" t="n">
        <v>45677</v>
      </c>
      <c r="D6695" t="inlineStr">
        <is>
          <t>GÄVLEBORGS LÄN</t>
        </is>
      </c>
      <c r="E6695" t="inlineStr">
        <is>
          <t>OCKELBO</t>
        </is>
      </c>
      <c r="F6695" t="inlineStr">
        <is>
          <t>Bergvik skog väst AB</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15839-2023</t>
        </is>
      </c>
      <c r="B6696" s="1" t="n">
        <v>45022</v>
      </c>
      <c r="C6696" s="1" t="n">
        <v>45677</v>
      </c>
      <c r="D6696" t="inlineStr">
        <is>
          <t>GÄVLEBORGS LÄN</t>
        </is>
      </c>
      <c r="E6696" t="inlineStr">
        <is>
          <t>OCKELBO</t>
        </is>
      </c>
      <c r="F6696" t="inlineStr">
        <is>
          <t>Bergvik skog väst AB</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15859-2023</t>
        </is>
      </c>
      <c r="B6697" s="1" t="n">
        <v>45022</v>
      </c>
      <c r="C6697" s="1" t="n">
        <v>45677</v>
      </c>
      <c r="D6697" t="inlineStr">
        <is>
          <t>GÄVLEBORGS LÄN</t>
        </is>
      </c>
      <c r="E6697" t="inlineStr">
        <is>
          <t>HUDIKSVALL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15873-2023</t>
        </is>
      </c>
      <c r="B6698" s="1" t="n">
        <v>45022</v>
      </c>
      <c r="C6698" s="1" t="n">
        <v>45677</v>
      </c>
      <c r="D6698" t="inlineStr">
        <is>
          <t>GÄVLEBORGS LÄN</t>
        </is>
      </c>
      <c r="E6698" t="inlineStr">
        <is>
          <t>GÄVLE</t>
        </is>
      </c>
      <c r="F6698" t="inlineStr">
        <is>
          <t>Bergvik skog öst AB</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15961-2023</t>
        </is>
      </c>
      <c r="B6699" s="1" t="n">
        <v>45022</v>
      </c>
      <c r="C6699" s="1" t="n">
        <v>45677</v>
      </c>
      <c r="D6699" t="inlineStr">
        <is>
          <t>GÄVLEBORGS LÄN</t>
        </is>
      </c>
      <c r="E6699" t="inlineStr">
        <is>
          <t>HUDIKSVALL</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15966-2023</t>
        </is>
      </c>
      <c r="B6700" s="1" t="n">
        <v>45022</v>
      </c>
      <c r="C6700" s="1" t="n">
        <v>45677</v>
      </c>
      <c r="D6700" t="inlineStr">
        <is>
          <t>GÄVLEBORGS LÄN</t>
        </is>
      </c>
      <c r="E6700" t="inlineStr">
        <is>
          <t>OCKELBO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15923-2023</t>
        </is>
      </c>
      <c r="B6701" s="1" t="n">
        <v>45022</v>
      </c>
      <c r="C6701" s="1" t="n">
        <v>45677</v>
      </c>
      <c r="D6701" t="inlineStr">
        <is>
          <t>GÄVLEBORGS LÄN</t>
        </is>
      </c>
      <c r="E6701" t="inlineStr">
        <is>
          <t>BOLLNÄS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16247-2023</t>
        </is>
      </c>
      <c r="B6702" s="1" t="n">
        <v>45022</v>
      </c>
      <c r="C6702" s="1" t="n">
        <v>45677</v>
      </c>
      <c r="D6702" t="inlineStr">
        <is>
          <t>GÄVLEBORGS LÄN</t>
        </is>
      </c>
      <c r="E6702" t="inlineStr">
        <is>
          <t>GÄVLE</t>
        </is>
      </c>
      <c r="F6702" t="inlineStr">
        <is>
          <t>Bergvik skog väst AB</t>
        </is>
      </c>
      <c r="G6702" t="n">
        <v>31.7</v>
      </c>
      <c r="H6702" t="n">
        <v>0</v>
      </c>
      <c r="I6702" t="n">
        <v>0</v>
      </c>
      <c r="J6702" t="n">
        <v>0</v>
      </c>
      <c r="K6702" t="n">
        <v>0</v>
      </c>
      <c r="L6702" t="n">
        <v>0</v>
      </c>
      <c r="M6702" t="n">
        <v>0</v>
      </c>
      <c r="N6702" t="n">
        <v>0</v>
      </c>
      <c r="O6702" t="n">
        <v>0</v>
      </c>
      <c r="P6702" t="n">
        <v>0</v>
      </c>
      <c r="Q6702" t="n">
        <v>0</v>
      </c>
      <c r="R6702" s="2" t="inlineStr"/>
    </row>
    <row r="6703" ht="15" customHeight="1">
      <c r="A6703" t="inlineStr">
        <is>
          <t>A 16260-2023</t>
        </is>
      </c>
      <c r="B6703" s="1" t="n">
        <v>45022</v>
      </c>
      <c r="C6703" s="1" t="n">
        <v>45677</v>
      </c>
      <c r="D6703" t="inlineStr">
        <is>
          <t>GÄVLEBORGS LÄN</t>
        </is>
      </c>
      <c r="E6703" t="inlineStr">
        <is>
          <t>SANDVIKEN</t>
        </is>
      </c>
      <c r="F6703" t="inlineStr">
        <is>
          <t>Bergvik skog väst AB</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15872-2023</t>
        </is>
      </c>
      <c r="B6704" s="1" t="n">
        <v>45022</v>
      </c>
      <c r="C6704" s="1" t="n">
        <v>45677</v>
      </c>
      <c r="D6704" t="inlineStr">
        <is>
          <t>GÄVLEBORGS LÄN</t>
        </is>
      </c>
      <c r="E6704" t="inlineStr">
        <is>
          <t>HUDIKSVALL</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15877-2023</t>
        </is>
      </c>
      <c r="B6705" s="1" t="n">
        <v>45022</v>
      </c>
      <c r="C6705" s="1" t="n">
        <v>45677</v>
      </c>
      <c r="D6705" t="inlineStr">
        <is>
          <t>GÄVLEBORGS LÄN</t>
        </is>
      </c>
      <c r="E6705" t="inlineStr">
        <is>
          <t>HUDIKSVALL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15883-2023</t>
        </is>
      </c>
      <c r="B6706" s="1" t="n">
        <v>45022</v>
      </c>
      <c r="C6706" s="1" t="n">
        <v>45677</v>
      </c>
      <c r="D6706" t="inlineStr">
        <is>
          <t>GÄVLEBORGS LÄN</t>
        </is>
      </c>
      <c r="E6706" t="inlineStr">
        <is>
          <t>HUDIKSVALL</t>
        </is>
      </c>
      <c r="G6706" t="n">
        <v>9.6</v>
      </c>
      <c r="H6706" t="n">
        <v>0</v>
      </c>
      <c r="I6706" t="n">
        <v>0</v>
      </c>
      <c r="J6706" t="n">
        <v>0</v>
      </c>
      <c r="K6706" t="n">
        <v>0</v>
      </c>
      <c r="L6706" t="n">
        <v>0</v>
      </c>
      <c r="M6706" t="n">
        <v>0</v>
      </c>
      <c r="N6706" t="n">
        <v>0</v>
      </c>
      <c r="O6706" t="n">
        <v>0</v>
      </c>
      <c r="P6706" t="n">
        <v>0</v>
      </c>
      <c r="Q6706" t="n">
        <v>0</v>
      </c>
      <c r="R6706" s="2" t="inlineStr"/>
      <c r="U6706">
        <f>HYPERLINK("https://klasma.github.io/Logging_2184/knärot/A 15883-2023 karta knärot.png", "A 15883-2023")</f>
        <v/>
      </c>
      <c r="V6706">
        <f>HYPERLINK("https://klasma.github.io/Logging_2184/klagomål/A 15883-2023 FSC-klagomål.docx", "A 15883-2023")</f>
        <v/>
      </c>
      <c r="W6706">
        <f>HYPERLINK("https://klasma.github.io/Logging_2184/klagomålsmail/A 15883-2023 FSC-klagomål mail.docx", "A 15883-2023")</f>
        <v/>
      </c>
      <c r="X6706">
        <f>HYPERLINK("https://klasma.github.io/Logging_2184/tillsyn/A 15883-2023 tillsynsbegäran.docx", "A 15883-2023")</f>
        <v/>
      </c>
      <c r="Y6706">
        <f>HYPERLINK("https://klasma.github.io/Logging_2184/tillsynsmail/A 15883-2023 tillsynsbegäran mail.docx", "A 15883-2023")</f>
        <v/>
      </c>
    </row>
    <row r="6707" ht="15" customHeight="1">
      <c r="A6707" t="inlineStr">
        <is>
          <t>A 15907-2023</t>
        </is>
      </c>
      <c r="B6707" s="1" t="n">
        <v>45022</v>
      </c>
      <c r="C6707" s="1" t="n">
        <v>45677</v>
      </c>
      <c r="D6707" t="inlineStr">
        <is>
          <t>GÄVLEBORGS LÄN</t>
        </is>
      </c>
      <c r="E6707" t="inlineStr">
        <is>
          <t>SANDVIKEN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16385-2023</t>
        </is>
      </c>
      <c r="B6708" s="1" t="n">
        <v>45022</v>
      </c>
      <c r="C6708" s="1" t="n">
        <v>45677</v>
      </c>
      <c r="D6708" t="inlineStr">
        <is>
          <t>GÄVLEBORGS LÄN</t>
        </is>
      </c>
      <c r="E6708" t="inlineStr">
        <is>
          <t>SANDVIKEN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16242-2023</t>
        </is>
      </c>
      <c r="B6709" s="1" t="n">
        <v>45022</v>
      </c>
      <c r="C6709" s="1" t="n">
        <v>45677</v>
      </c>
      <c r="D6709" t="inlineStr">
        <is>
          <t>GÄVLEBORGS LÄN</t>
        </is>
      </c>
      <c r="E6709" t="inlineStr">
        <is>
          <t>GÄVLE</t>
        </is>
      </c>
      <c r="F6709" t="inlineStr">
        <is>
          <t>Bergvik skog väst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16258-2023</t>
        </is>
      </c>
      <c r="B6710" s="1" t="n">
        <v>45022</v>
      </c>
      <c r="C6710" s="1" t="n">
        <v>45677</v>
      </c>
      <c r="D6710" t="inlineStr">
        <is>
          <t>GÄVLEBORGS LÄN</t>
        </is>
      </c>
      <c r="E6710" t="inlineStr">
        <is>
          <t>SANDVIKEN</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16254-2023</t>
        </is>
      </c>
      <c r="B6711" s="1" t="n">
        <v>45022</v>
      </c>
      <c r="C6711" s="1" t="n">
        <v>45677</v>
      </c>
      <c r="D6711" t="inlineStr">
        <is>
          <t>GÄVLEBORGS LÄN</t>
        </is>
      </c>
      <c r="E6711" t="inlineStr">
        <is>
          <t>GÄVLE</t>
        </is>
      </c>
      <c r="F6711" t="inlineStr">
        <is>
          <t>Bergvik skog väst AB</t>
        </is>
      </c>
      <c r="G6711" t="n">
        <v>39.2</v>
      </c>
      <c r="H6711" t="n">
        <v>0</v>
      </c>
      <c r="I6711" t="n">
        <v>0</v>
      </c>
      <c r="J6711" t="n">
        <v>0</v>
      </c>
      <c r="K6711" t="n">
        <v>0</v>
      </c>
      <c r="L6711" t="n">
        <v>0</v>
      </c>
      <c r="M6711" t="n">
        <v>0</v>
      </c>
      <c r="N6711" t="n">
        <v>0</v>
      </c>
      <c r="O6711" t="n">
        <v>0</v>
      </c>
      <c r="P6711" t="n">
        <v>0</v>
      </c>
      <c r="Q6711" t="n">
        <v>0</v>
      </c>
      <c r="R6711" s="2" t="inlineStr"/>
    </row>
    <row r="6712" ht="15" customHeight="1">
      <c r="A6712" t="inlineStr">
        <is>
          <t>A 16384-2023</t>
        </is>
      </c>
      <c r="B6712" s="1" t="n">
        <v>45022</v>
      </c>
      <c r="C6712" s="1" t="n">
        <v>45677</v>
      </c>
      <c r="D6712" t="inlineStr">
        <is>
          <t>GÄVLEBORGS LÄN</t>
        </is>
      </c>
      <c r="E6712" t="inlineStr">
        <is>
          <t>SANDVIKEN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16023-2023</t>
        </is>
      </c>
      <c r="B6713" s="1" t="n">
        <v>45026</v>
      </c>
      <c r="C6713" s="1" t="n">
        <v>45677</v>
      </c>
      <c r="D6713" t="inlineStr">
        <is>
          <t>GÄVLEBORGS LÄN</t>
        </is>
      </c>
      <c r="E6713" t="inlineStr">
        <is>
          <t>GÄVLE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16025-2023</t>
        </is>
      </c>
      <c r="B6714" s="1" t="n">
        <v>45027</v>
      </c>
      <c r="C6714" s="1" t="n">
        <v>45677</v>
      </c>
      <c r="D6714" t="inlineStr">
        <is>
          <t>GÄVLEBORGS LÄN</t>
        </is>
      </c>
      <c r="E6714" t="inlineStr">
        <is>
          <t>HUDIKSVALL</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16057-2023</t>
        </is>
      </c>
      <c r="B6715" s="1" t="n">
        <v>45027</v>
      </c>
      <c r="C6715" s="1" t="n">
        <v>45677</v>
      </c>
      <c r="D6715" t="inlineStr">
        <is>
          <t>GÄVLEBORGS LÄN</t>
        </is>
      </c>
      <c r="E6715" t="inlineStr">
        <is>
          <t>GÄVLE</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16081-2023</t>
        </is>
      </c>
      <c r="B6716" s="1" t="n">
        <v>45027</v>
      </c>
      <c r="C6716" s="1" t="n">
        <v>45677</v>
      </c>
      <c r="D6716" t="inlineStr">
        <is>
          <t>GÄVLEBORGS LÄN</t>
        </is>
      </c>
      <c r="E6716" t="inlineStr">
        <is>
          <t>LJUSDAL</t>
        </is>
      </c>
      <c r="F6716" t="inlineStr">
        <is>
          <t>Bergvik skog väst AB</t>
        </is>
      </c>
      <c r="G6716" t="n">
        <v>46.6</v>
      </c>
      <c r="H6716" t="n">
        <v>0</v>
      </c>
      <c r="I6716" t="n">
        <v>0</v>
      </c>
      <c r="J6716" t="n">
        <v>0</v>
      </c>
      <c r="K6716" t="n">
        <v>0</v>
      </c>
      <c r="L6716" t="n">
        <v>0</v>
      </c>
      <c r="M6716" t="n">
        <v>0</v>
      </c>
      <c r="N6716" t="n">
        <v>0</v>
      </c>
      <c r="O6716" t="n">
        <v>0</v>
      </c>
      <c r="P6716" t="n">
        <v>0</v>
      </c>
      <c r="Q6716" t="n">
        <v>0</v>
      </c>
      <c r="R6716" s="2" t="inlineStr"/>
    </row>
    <row r="6717" ht="15" customHeight="1">
      <c r="A6717" t="inlineStr">
        <is>
          <t>A 16104-2023</t>
        </is>
      </c>
      <c r="B6717" s="1" t="n">
        <v>45027</v>
      </c>
      <c r="C6717" s="1" t="n">
        <v>45677</v>
      </c>
      <c r="D6717" t="inlineStr">
        <is>
          <t>GÄVLEBORGS LÄN</t>
        </is>
      </c>
      <c r="E6717" t="inlineStr">
        <is>
          <t>LJUSDAL</t>
        </is>
      </c>
      <c r="F6717" t="inlineStr">
        <is>
          <t>Bergvik skog väst AB</t>
        </is>
      </c>
      <c r="G6717" t="n">
        <v>18.5</v>
      </c>
      <c r="H6717" t="n">
        <v>0</v>
      </c>
      <c r="I6717" t="n">
        <v>0</v>
      </c>
      <c r="J6717" t="n">
        <v>0</v>
      </c>
      <c r="K6717" t="n">
        <v>0</v>
      </c>
      <c r="L6717" t="n">
        <v>0</v>
      </c>
      <c r="M6717" t="n">
        <v>0</v>
      </c>
      <c r="N6717" t="n">
        <v>0</v>
      </c>
      <c r="O6717" t="n">
        <v>0</v>
      </c>
      <c r="P6717" t="n">
        <v>0</v>
      </c>
      <c r="Q6717" t="n">
        <v>0</v>
      </c>
      <c r="R6717" s="2" t="inlineStr"/>
    </row>
    <row r="6718" ht="15" customHeight="1">
      <c r="A6718" t="inlineStr">
        <is>
          <t>A 16106-2023</t>
        </is>
      </c>
      <c r="B6718" s="1" t="n">
        <v>45027</v>
      </c>
      <c r="C6718" s="1" t="n">
        <v>45677</v>
      </c>
      <c r="D6718" t="inlineStr">
        <is>
          <t>GÄVLEBORGS LÄN</t>
        </is>
      </c>
      <c r="E6718" t="inlineStr">
        <is>
          <t>SÖDERHAMN</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16111-2023</t>
        </is>
      </c>
      <c r="B6719" s="1" t="n">
        <v>45027</v>
      </c>
      <c r="C6719" s="1" t="n">
        <v>45677</v>
      </c>
      <c r="D6719" t="inlineStr">
        <is>
          <t>GÄVLEBORGS LÄN</t>
        </is>
      </c>
      <c r="E6719" t="inlineStr">
        <is>
          <t>LJUSDAL</t>
        </is>
      </c>
      <c r="F6719" t="inlineStr">
        <is>
          <t>Bergvik skog väst AB</t>
        </is>
      </c>
      <c r="G6719" t="n">
        <v>21.5</v>
      </c>
      <c r="H6719" t="n">
        <v>0</v>
      </c>
      <c r="I6719" t="n">
        <v>0</v>
      </c>
      <c r="J6719" t="n">
        <v>0</v>
      </c>
      <c r="K6719" t="n">
        <v>0</v>
      </c>
      <c r="L6719" t="n">
        <v>0</v>
      </c>
      <c r="M6719" t="n">
        <v>0</v>
      </c>
      <c r="N6719" t="n">
        <v>0</v>
      </c>
      <c r="O6719" t="n">
        <v>0</v>
      </c>
      <c r="P6719" t="n">
        <v>0</v>
      </c>
      <c r="Q6719" t="n">
        <v>0</v>
      </c>
      <c r="R6719" s="2" t="inlineStr"/>
    </row>
    <row r="6720" ht="15" customHeight="1">
      <c r="A6720" t="inlineStr">
        <is>
          <t>A 16047-2023</t>
        </is>
      </c>
      <c r="B6720" s="1" t="n">
        <v>45027</v>
      </c>
      <c r="C6720" s="1" t="n">
        <v>45677</v>
      </c>
      <c r="D6720" t="inlineStr">
        <is>
          <t>GÄVLEBORGS LÄN</t>
        </is>
      </c>
      <c r="E6720" t="inlineStr">
        <is>
          <t>LJUSDAL</t>
        </is>
      </c>
      <c r="F6720" t="inlineStr">
        <is>
          <t>Holmen skog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16062-2023</t>
        </is>
      </c>
      <c r="B6721" s="1" t="n">
        <v>45027</v>
      </c>
      <c r="C6721" s="1" t="n">
        <v>45677</v>
      </c>
      <c r="D6721" t="inlineStr">
        <is>
          <t>GÄVLEBORGS LÄN</t>
        </is>
      </c>
      <c r="E6721" t="inlineStr">
        <is>
          <t>GÄVLE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16116-2023</t>
        </is>
      </c>
      <c r="B6722" s="1" t="n">
        <v>45027</v>
      </c>
      <c r="C6722" s="1" t="n">
        <v>45677</v>
      </c>
      <c r="D6722" t="inlineStr">
        <is>
          <t>GÄVLEBORGS LÄN</t>
        </is>
      </c>
      <c r="E6722" t="inlineStr">
        <is>
          <t>SÖDERHAMN</t>
        </is>
      </c>
      <c r="F6722" t="inlineStr">
        <is>
          <t>Bergvik skog väst AB</t>
        </is>
      </c>
      <c r="G6722" t="n">
        <v>15.9</v>
      </c>
      <c r="H6722" t="n">
        <v>0</v>
      </c>
      <c r="I6722" t="n">
        <v>0</v>
      </c>
      <c r="J6722" t="n">
        <v>0</v>
      </c>
      <c r="K6722" t="n">
        <v>0</v>
      </c>
      <c r="L6722" t="n">
        <v>0</v>
      </c>
      <c r="M6722" t="n">
        <v>0</v>
      </c>
      <c r="N6722" t="n">
        <v>0</v>
      </c>
      <c r="O6722" t="n">
        <v>0</v>
      </c>
      <c r="P6722" t="n">
        <v>0</v>
      </c>
      <c r="Q6722" t="n">
        <v>0</v>
      </c>
      <c r="R6722" s="2" t="inlineStr"/>
    </row>
    <row r="6723" ht="15" customHeight="1">
      <c r="A6723" t="inlineStr">
        <is>
          <t>A 16125-2023</t>
        </is>
      </c>
      <c r="B6723" s="1" t="n">
        <v>45027</v>
      </c>
      <c r="C6723" s="1" t="n">
        <v>45677</v>
      </c>
      <c r="D6723" t="inlineStr">
        <is>
          <t>GÄVLEBORGS LÄN</t>
        </is>
      </c>
      <c r="E6723" t="inlineStr">
        <is>
          <t>NORDANSTIG</t>
        </is>
      </c>
      <c r="F6723" t="inlineStr">
        <is>
          <t>Holmen skog AB</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16124-2023</t>
        </is>
      </c>
      <c r="B6724" s="1" t="n">
        <v>45027</v>
      </c>
      <c r="C6724" s="1" t="n">
        <v>45677</v>
      </c>
      <c r="D6724" t="inlineStr">
        <is>
          <t>GÄVLEBORGS LÄN</t>
        </is>
      </c>
      <c r="E6724" t="inlineStr">
        <is>
          <t>SÖDERHAMN</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16101-2023</t>
        </is>
      </c>
      <c r="B6725" s="1" t="n">
        <v>45027</v>
      </c>
      <c r="C6725" s="1" t="n">
        <v>45677</v>
      </c>
      <c r="D6725" t="inlineStr">
        <is>
          <t>GÄVLEBORGS LÄN</t>
        </is>
      </c>
      <c r="E6725" t="inlineStr">
        <is>
          <t>SÖDERHAMN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16113-2023</t>
        </is>
      </c>
      <c r="B6726" s="1" t="n">
        <v>45027</v>
      </c>
      <c r="C6726" s="1" t="n">
        <v>45677</v>
      </c>
      <c r="D6726" t="inlineStr">
        <is>
          <t>GÄVLEBORGS LÄN</t>
        </is>
      </c>
      <c r="E6726" t="inlineStr">
        <is>
          <t>SÖDERHAMN</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16123-2023</t>
        </is>
      </c>
      <c r="B6727" s="1" t="n">
        <v>45027</v>
      </c>
      <c r="C6727" s="1" t="n">
        <v>45677</v>
      </c>
      <c r="D6727" t="inlineStr">
        <is>
          <t>GÄVLEBORGS LÄN</t>
        </is>
      </c>
      <c r="E6727" t="inlineStr">
        <is>
          <t>HUDIKSVALL</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16144-2023</t>
        </is>
      </c>
      <c r="B6728" s="1" t="n">
        <v>45027</v>
      </c>
      <c r="C6728" s="1" t="n">
        <v>45677</v>
      </c>
      <c r="D6728" t="inlineStr">
        <is>
          <t>GÄVLEBORGS LÄN</t>
        </is>
      </c>
      <c r="E6728" t="inlineStr">
        <is>
          <t>OCKELBO</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16073-2023</t>
        </is>
      </c>
      <c r="B6729" s="1" t="n">
        <v>45027</v>
      </c>
      <c r="C6729" s="1" t="n">
        <v>45677</v>
      </c>
      <c r="D6729" t="inlineStr">
        <is>
          <t>GÄVLEBORGS LÄN</t>
        </is>
      </c>
      <c r="E6729" t="inlineStr">
        <is>
          <t>HUDIKSVALL</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16100-2023</t>
        </is>
      </c>
      <c r="B6730" s="1" t="n">
        <v>45027</v>
      </c>
      <c r="C6730" s="1" t="n">
        <v>45677</v>
      </c>
      <c r="D6730" t="inlineStr">
        <is>
          <t>GÄVLEBORGS LÄN</t>
        </is>
      </c>
      <c r="E6730" t="inlineStr">
        <is>
          <t>LJUSDAL</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16107-2023</t>
        </is>
      </c>
      <c r="B6731" s="1" t="n">
        <v>45027</v>
      </c>
      <c r="C6731" s="1" t="n">
        <v>45677</v>
      </c>
      <c r="D6731" t="inlineStr">
        <is>
          <t>GÄVLEBORGS LÄN</t>
        </is>
      </c>
      <c r="E6731" t="inlineStr">
        <is>
          <t>SÖDERHAMN</t>
        </is>
      </c>
      <c r="F6731" t="inlineStr">
        <is>
          <t>Bergvik skog väst AB</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16141-2023</t>
        </is>
      </c>
      <c r="B6732" s="1" t="n">
        <v>45027</v>
      </c>
      <c r="C6732" s="1" t="n">
        <v>45677</v>
      </c>
      <c r="D6732" t="inlineStr">
        <is>
          <t>GÄVLEBORGS LÄN</t>
        </is>
      </c>
      <c r="E6732" t="inlineStr">
        <is>
          <t>OCKELBO</t>
        </is>
      </c>
      <c r="F6732" t="inlineStr">
        <is>
          <t>Bergvik skog väst AB</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16178-2023</t>
        </is>
      </c>
      <c r="B6733" s="1" t="n">
        <v>45027</v>
      </c>
      <c r="C6733" s="1" t="n">
        <v>45677</v>
      </c>
      <c r="D6733" t="inlineStr">
        <is>
          <t>GÄVLEBORGS LÄN</t>
        </is>
      </c>
      <c r="E6733" t="inlineStr">
        <is>
          <t>SÖDERHAMN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16231-2023</t>
        </is>
      </c>
      <c r="B6734" s="1" t="n">
        <v>45028</v>
      </c>
      <c r="C6734" s="1" t="n">
        <v>45677</v>
      </c>
      <c r="D6734" t="inlineStr">
        <is>
          <t>GÄVLEBORGS LÄN</t>
        </is>
      </c>
      <c r="E6734" t="inlineStr">
        <is>
          <t>SÖDERHAMN</t>
        </is>
      </c>
      <c r="F6734" t="inlineStr">
        <is>
          <t>Bergvik skog väst AB</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16244-2023</t>
        </is>
      </c>
      <c r="B6735" s="1" t="n">
        <v>45028</v>
      </c>
      <c r="C6735" s="1" t="n">
        <v>45677</v>
      </c>
      <c r="D6735" t="inlineStr">
        <is>
          <t>GÄVLEBORGS LÄN</t>
        </is>
      </c>
      <c r="E6735" t="inlineStr">
        <is>
          <t>SÖDERHAMN</t>
        </is>
      </c>
      <c r="F6735" t="inlineStr">
        <is>
          <t>Bergvik skog väst AB</t>
        </is>
      </c>
      <c r="G6735" t="n">
        <v>15.5</v>
      </c>
      <c r="H6735" t="n">
        <v>0</v>
      </c>
      <c r="I6735" t="n">
        <v>0</v>
      </c>
      <c r="J6735" t="n">
        <v>0</v>
      </c>
      <c r="K6735" t="n">
        <v>0</v>
      </c>
      <c r="L6735" t="n">
        <v>0</v>
      </c>
      <c r="M6735" t="n">
        <v>0</v>
      </c>
      <c r="N6735" t="n">
        <v>0</v>
      </c>
      <c r="O6735" t="n">
        <v>0</v>
      </c>
      <c r="P6735" t="n">
        <v>0</v>
      </c>
      <c r="Q6735" t="n">
        <v>0</v>
      </c>
      <c r="R6735" s="2" t="inlineStr"/>
    </row>
    <row r="6736" ht="15" customHeight="1">
      <c r="A6736" t="inlineStr">
        <is>
          <t>A 16197-2023</t>
        </is>
      </c>
      <c r="B6736" s="1" t="n">
        <v>45028</v>
      </c>
      <c r="C6736" s="1" t="n">
        <v>45677</v>
      </c>
      <c r="D6736" t="inlineStr">
        <is>
          <t>GÄVLEBORGS LÄN</t>
        </is>
      </c>
      <c r="E6736" t="inlineStr">
        <is>
          <t>LJUSDAL</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16206-2023</t>
        </is>
      </c>
      <c r="B6737" s="1" t="n">
        <v>45028</v>
      </c>
      <c r="C6737" s="1" t="n">
        <v>45677</v>
      </c>
      <c r="D6737" t="inlineStr">
        <is>
          <t>GÄVLEBORGS LÄN</t>
        </is>
      </c>
      <c r="E6737" t="inlineStr">
        <is>
          <t>SÖDERHAMN</t>
        </is>
      </c>
      <c r="F6737" t="inlineStr">
        <is>
          <t>Bergvik skog väst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16228-2023</t>
        </is>
      </c>
      <c r="B6738" s="1" t="n">
        <v>45028</v>
      </c>
      <c r="C6738" s="1" t="n">
        <v>45677</v>
      </c>
      <c r="D6738" t="inlineStr">
        <is>
          <t>GÄVLEBORGS LÄN</t>
        </is>
      </c>
      <c r="E6738" t="inlineStr">
        <is>
          <t>LJUSDAL</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16327-2023</t>
        </is>
      </c>
      <c r="B6739" s="1" t="n">
        <v>45028</v>
      </c>
      <c r="C6739" s="1" t="n">
        <v>45677</v>
      </c>
      <c r="D6739" t="inlineStr">
        <is>
          <t>GÄVLEBORGS LÄN</t>
        </is>
      </c>
      <c r="E6739" t="inlineStr">
        <is>
          <t>HUDIKSVALL</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16340-2023</t>
        </is>
      </c>
      <c r="B6740" s="1" t="n">
        <v>45028</v>
      </c>
      <c r="C6740" s="1" t="n">
        <v>45677</v>
      </c>
      <c r="D6740" t="inlineStr">
        <is>
          <t>GÄVLEBORGS LÄN</t>
        </is>
      </c>
      <c r="E6740" t="inlineStr">
        <is>
          <t>SÖDERHAMN</t>
        </is>
      </c>
      <c r="F6740" t="inlineStr">
        <is>
          <t>Bergvik skog väst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16209-2023</t>
        </is>
      </c>
      <c r="B6741" s="1" t="n">
        <v>45028</v>
      </c>
      <c r="C6741" s="1" t="n">
        <v>45677</v>
      </c>
      <c r="D6741" t="inlineStr">
        <is>
          <t>GÄVLEBORGS LÄN</t>
        </is>
      </c>
      <c r="E6741" t="inlineStr">
        <is>
          <t>SÖDERHAMN</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16243-2023</t>
        </is>
      </c>
      <c r="B6742" s="1" t="n">
        <v>45028</v>
      </c>
      <c r="C6742" s="1" t="n">
        <v>45677</v>
      </c>
      <c r="D6742" t="inlineStr">
        <is>
          <t>GÄVLEBORGS LÄN</t>
        </is>
      </c>
      <c r="E6742" t="inlineStr">
        <is>
          <t>SÖDERHAMN</t>
        </is>
      </c>
      <c r="F6742" t="inlineStr">
        <is>
          <t>Bergvik skog väst AB</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16248-2023</t>
        </is>
      </c>
      <c r="B6743" s="1" t="n">
        <v>45028</v>
      </c>
      <c r="C6743" s="1" t="n">
        <v>45677</v>
      </c>
      <c r="D6743" t="inlineStr">
        <is>
          <t>GÄVLEBORGS LÄN</t>
        </is>
      </c>
      <c r="E6743" t="inlineStr">
        <is>
          <t>SÖDERHAMN</t>
        </is>
      </c>
      <c r="F6743" t="inlineStr">
        <is>
          <t>Bergvik skog väst AB</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16337-2023</t>
        </is>
      </c>
      <c r="B6744" s="1" t="n">
        <v>45028</v>
      </c>
      <c r="C6744" s="1" t="n">
        <v>45677</v>
      </c>
      <c r="D6744" t="inlineStr">
        <is>
          <t>GÄVLEBORGS LÄN</t>
        </is>
      </c>
      <c r="E6744" t="inlineStr">
        <is>
          <t>SÖDERHAMN</t>
        </is>
      </c>
      <c r="F6744" t="inlineStr">
        <is>
          <t>Bergvik skog väst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16421-2023</t>
        </is>
      </c>
      <c r="B6745" s="1" t="n">
        <v>45029</v>
      </c>
      <c r="C6745" s="1" t="n">
        <v>45677</v>
      </c>
      <c r="D6745" t="inlineStr">
        <is>
          <t>GÄVLEBORGS LÄN</t>
        </is>
      </c>
      <c r="E6745" t="inlineStr">
        <is>
          <t>GÄVLE</t>
        </is>
      </c>
      <c r="F6745" t="inlineStr">
        <is>
          <t>Bergvik skog öst AB</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16432-2023</t>
        </is>
      </c>
      <c r="B6746" s="1" t="n">
        <v>45029</v>
      </c>
      <c r="C6746" s="1" t="n">
        <v>45677</v>
      </c>
      <c r="D6746" t="inlineStr">
        <is>
          <t>GÄVLEBORGS LÄN</t>
        </is>
      </c>
      <c r="E6746" t="inlineStr">
        <is>
          <t>GÄVLE</t>
        </is>
      </c>
      <c r="F6746" t="inlineStr">
        <is>
          <t>Bergvik skog öst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16443-2023</t>
        </is>
      </c>
      <c r="B6747" s="1" t="n">
        <v>45029</v>
      </c>
      <c r="C6747" s="1" t="n">
        <v>45677</v>
      </c>
      <c r="D6747" t="inlineStr">
        <is>
          <t>GÄVLEBORGS LÄN</t>
        </is>
      </c>
      <c r="E6747" t="inlineStr">
        <is>
          <t>LJUSDAL</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16575-2023</t>
        </is>
      </c>
      <c r="B6748" s="1" t="n">
        <v>45030</v>
      </c>
      <c r="C6748" s="1" t="n">
        <v>45677</v>
      </c>
      <c r="D6748" t="inlineStr">
        <is>
          <t>GÄVLEBORGS LÄN</t>
        </is>
      </c>
      <c r="E6748" t="inlineStr">
        <is>
          <t>LJUSDAL</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16504-2023</t>
        </is>
      </c>
      <c r="B6749" s="1" t="n">
        <v>45029</v>
      </c>
      <c r="C6749" s="1" t="n">
        <v>45677</v>
      </c>
      <c r="D6749" t="inlineStr">
        <is>
          <t>GÄVLEBORGS LÄN</t>
        </is>
      </c>
      <c r="E6749" t="inlineStr">
        <is>
          <t>GÄVLE</t>
        </is>
      </c>
      <c r="F6749" t="inlineStr">
        <is>
          <t>Kyrkan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16515-2023</t>
        </is>
      </c>
      <c r="B6750" s="1" t="n">
        <v>45029</v>
      </c>
      <c r="C6750" s="1" t="n">
        <v>45677</v>
      </c>
      <c r="D6750" t="inlineStr">
        <is>
          <t>GÄVLEBORGS LÄN</t>
        </is>
      </c>
      <c r="E6750" t="inlineStr">
        <is>
          <t>NORDANSTIG</t>
        </is>
      </c>
      <c r="F6750" t="inlineStr">
        <is>
          <t>Holmen skog AB</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16520-2023</t>
        </is>
      </c>
      <c r="B6751" s="1" t="n">
        <v>45029</v>
      </c>
      <c r="C6751" s="1" t="n">
        <v>45677</v>
      </c>
      <c r="D6751" t="inlineStr">
        <is>
          <t>GÄVLEBORGS LÄN</t>
        </is>
      </c>
      <c r="E6751" t="inlineStr">
        <is>
          <t>NORDANSTIG</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16632-2023</t>
        </is>
      </c>
      <c r="B6752" s="1" t="n">
        <v>45030</v>
      </c>
      <c r="C6752" s="1" t="n">
        <v>45677</v>
      </c>
      <c r="D6752" t="inlineStr">
        <is>
          <t>GÄVLEBORGS LÄN</t>
        </is>
      </c>
      <c r="E6752" t="inlineStr">
        <is>
          <t>GÄVLE</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16624-2023</t>
        </is>
      </c>
      <c r="B6753" s="1" t="n">
        <v>45030</v>
      </c>
      <c r="C6753" s="1" t="n">
        <v>45677</v>
      </c>
      <c r="D6753" t="inlineStr">
        <is>
          <t>GÄVLEBORGS LÄN</t>
        </is>
      </c>
      <c r="E6753" t="inlineStr">
        <is>
          <t>GÄVLE</t>
        </is>
      </c>
      <c r="F6753" t="inlineStr">
        <is>
          <t>Bergvik skog väst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16663-2023</t>
        </is>
      </c>
      <c r="B6754" s="1" t="n">
        <v>45030</v>
      </c>
      <c r="C6754" s="1" t="n">
        <v>45677</v>
      </c>
      <c r="D6754" t="inlineStr">
        <is>
          <t>GÄVLEBORGS LÄN</t>
        </is>
      </c>
      <c r="E6754" t="inlineStr">
        <is>
          <t>GÄVLE</t>
        </is>
      </c>
      <c r="F6754" t="inlineStr">
        <is>
          <t>Bergvik skog väst AB</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16715-2023</t>
        </is>
      </c>
      <c r="B6755" s="1" t="n">
        <v>45030</v>
      </c>
      <c r="C6755" s="1" t="n">
        <v>45677</v>
      </c>
      <c r="D6755" t="inlineStr">
        <is>
          <t>GÄVLEBORGS LÄN</t>
        </is>
      </c>
      <c r="E6755" t="inlineStr">
        <is>
          <t>OCKELBO</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16717-2023</t>
        </is>
      </c>
      <c r="B6756" s="1" t="n">
        <v>45030</v>
      </c>
      <c r="C6756" s="1" t="n">
        <v>45677</v>
      </c>
      <c r="D6756" t="inlineStr">
        <is>
          <t>GÄVLEBORGS LÄN</t>
        </is>
      </c>
      <c r="E6756" t="inlineStr">
        <is>
          <t>BOLLNÄS</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16849-2023</t>
        </is>
      </c>
      <c r="B6757" s="1" t="n">
        <v>45033</v>
      </c>
      <c r="C6757" s="1" t="n">
        <v>45677</v>
      </c>
      <c r="D6757" t="inlineStr">
        <is>
          <t>GÄVLEBORGS LÄN</t>
        </is>
      </c>
      <c r="E6757" t="inlineStr">
        <is>
          <t>HUDIKSVALL</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16887-2023</t>
        </is>
      </c>
      <c r="B6758" s="1" t="n">
        <v>45033</v>
      </c>
      <c r="C6758" s="1" t="n">
        <v>45677</v>
      </c>
      <c r="D6758" t="inlineStr">
        <is>
          <t>GÄVLEBORGS LÄN</t>
        </is>
      </c>
      <c r="E6758" t="inlineStr">
        <is>
          <t>BOLLNÄS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16951-2023</t>
        </is>
      </c>
      <c r="B6759" s="1" t="n">
        <v>45033</v>
      </c>
      <c r="C6759" s="1" t="n">
        <v>45677</v>
      </c>
      <c r="D6759" t="inlineStr">
        <is>
          <t>GÄVLEBORGS LÄN</t>
        </is>
      </c>
      <c r="E6759" t="inlineStr">
        <is>
          <t>SÖDERHAMN</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16808-2023</t>
        </is>
      </c>
      <c r="B6760" s="1" t="n">
        <v>45033</v>
      </c>
      <c r="C6760" s="1" t="n">
        <v>45677</v>
      </c>
      <c r="D6760" t="inlineStr">
        <is>
          <t>GÄVLEBORGS LÄN</t>
        </is>
      </c>
      <c r="E6760" t="inlineStr">
        <is>
          <t>OCKELBO</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16846-2023</t>
        </is>
      </c>
      <c r="B6761" s="1" t="n">
        <v>45033</v>
      </c>
      <c r="C6761" s="1" t="n">
        <v>45677</v>
      </c>
      <c r="D6761" t="inlineStr">
        <is>
          <t>GÄVLEBORGS LÄN</t>
        </is>
      </c>
      <c r="E6761" t="inlineStr">
        <is>
          <t>OCKELBO</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16911-2023</t>
        </is>
      </c>
      <c r="B6762" s="1" t="n">
        <v>45033</v>
      </c>
      <c r="C6762" s="1" t="n">
        <v>45677</v>
      </c>
      <c r="D6762" t="inlineStr">
        <is>
          <t>GÄVLEBORGS LÄN</t>
        </is>
      </c>
      <c r="E6762" t="inlineStr">
        <is>
          <t>OCKELBO</t>
        </is>
      </c>
      <c r="F6762" t="inlineStr">
        <is>
          <t>Bergvik skog väst AB</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16950-2023</t>
        </is>
      </c>
      <c r="B6763" s="1" t="n">
        <v>45033</v>
      </c>
      <c r="C6763" s="1" t="n">
        <v>45677</v>
      </c>
      <c r="D6763" t="inlineStr">
        <is>
          <t>GÄVLEBORGS LÄN</t>
        </is>
      </c>
      <c r="E6763" t="inlineStr">
        <is>
          <t>OCKELBO</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16961-2023</t>
        </is>
      </c>
      <c r="B6764" s="1" t="n">
        <v>45033</v>
      </c>
      <c r="C6764" s="1" t="n">
        <v>45677</v>
      </c>
      <c r="D6764" t="inlineStr">
        <is>
          <t>GÄVLEBORGS LÄN</t>
        </is>
      </c>
      <c r="E6764" t="inlineStr">
        <is>
          <t>OVANÅKER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16934-2023</t>
        </is>
      </c>
      <c r="B6765" s="1" t="n">
        <v>45033</v>
      </c>
      <c r="C6765" s="1" t="n">
        <v>45677</v>
      </c>
      <c r="D6765" t="inlineStr">
        <is>
          <t>GÄVLEBORGS LÄN</t>
        </is>
      </c>
      <c r="E6765" t="inlineStr">
        <is>
          <t>HUDIKSVALL</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16968-2023</t>
        </is>
      </c>
      <c r="B6766" s="1" t="n">
        <v>45033</v>
      </c>
      <c r="C6766" s="1" t="n">
        <v>45677</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17003-2023</t>
        </is>
      </c>
      <c r="B6767" s="1" t="n">
        <v>45034</v>
      </c>
      <c r="C6767" s="1" t="n">
        <v>45677</v>
      </c>
      <c r="D6767" t="inlineStr">
        <is>
          <t>GÄVLEBORGS LÄN</t>
        </is>
      </c>
      <c r="E6767" t="inlineStr">
        <is>
          <t>LJUSDAL</t>
        </is>
      </c>
      <c r="F6767" t="inlineStr">
        <is>
          <t>SCA</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16890-2023</t>
        </is>
      </c>
      <c r="B6768" s="1" t="n">
        <v>45033</v>
      </c>
      <c r="C6768" s="1" t="n">
        <v>45677</v>
      </c>
      <c r="D6768" t="inlineStr">
        <is>
          <t>GÄVLEBORGS LÄN</t>
        </is>
      </c>
      <c r="E6768" t="inlineStr">
        <is>
          <t>BOLLNÄS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16902-2023</t>
        </is>
      </c>
      <c r="B6769" s="1" t="n">
        <v>45033</v>
      </c>
      <c r="C6769" s="1" t="n">
        <v>45677</v>
      </c>
      <c r="D6769" t="inlineStr">
        <is>
          <t>GÄVLEBORGS LÄN</t>
        </is>
      </c>
      <c r="E6769" t="inlineStr">
        <is>
          <t>BOLLNÄS</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16907-2023</t>
        </is>
      </c>
      <c r="B6770" s="1" t="n">
        <v>45033</v>
      </c>
      <c r="C6770" s="1" t="n">
        <v>45677</v>
      </c>
      <c r="D6770" t="inlineStr">
        <is>
          <t>GÄVLEBORGS LÄN</t>
        </is>
      </c>
      <c r="E6770" t="inlineStr">
        <is>
          <t>BOLLNÄS</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16931-2023</t>
        </is>
      </c>
      <c r="B6771" s="1" t="n">
        <v>45033</v>
      </c>
      <c r="C6771" s="1" t="n">
        <v>45677</v>
      </c>
      <c r="D6771" t="inlineStr">
        <is>
          <t>GÄVLEBORGS LÄN</t>
        </is>
      </c>
      <c r="E6771" t="inlineStr">
        <is>
          <t>SÖDERHAMN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17004-2023</t>
        </is>
      </c>
      <c r="B6772" s="1" t="n">
        <v>45033</v>
      </c>
      <c r="C6772" s="1" t="n">
        <v>45677</v>
      </c>
      <c r="D6772" t="inlineStr">
        <is>
          <t>GÄVLEBORGS LÄN</t>
        </is>
      </c>
      <c r="E6772" t="inlineStr">
        <is>
          <t>LJUSDAL</t>
        </is>
      </c>
      <c r="F6772" t="inlineStr">
        <is>
          <t>SCA</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17005-2023</t>
        </is>
      </c>
      <c r="B6773" s="1" t="n">
        <v>45034</v>
      </c>
      <c r="C6773" s="1" t="n">
        <v>45677</v>
      </c>
      <c r="D6773" t="inlineStr">
        <is>
          <t>GÄVLEBORGS LÄN</t>
        </is>
      </c>
      <c r="E6773" t="inlineStr">
        <is>
          <t>LJUSDAL</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17360-2023</t>
        </is>
      </c>
      <c r="B6774" s="1" t="n">
        <v>45033</v>
      </c>
      <c r="C6774" s="1" t="n">
        <v>45677</v>
      </c>
      <c r="D6774" t="inlineStr">
        <is>
          <t>GÄVLEBORGS LÄN</t>
        </is>
      </c>
      <c r="E6774" t="inlineStr">
        <is>
          <t>HUDIKSVALL</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17052-2023</t>
        </is>
      </c>
      <c r="B6775" s="1" t="n">
        <v>45034</v>
      </c>
      <c r="C6775" s="1" t="n">
        <v>45677</v>
      </c>
      <c r="D6775" t="inlineStr">
        <is>
          <t>GÄVLEBORGS LÄN</t>
        </is>
      </c>
      <c r="E6775" t="inlineStr">
        <is>
          <t>NORDANSTIG</t>
        </is>
      </c>
      <c r="F6775" t="inlineStr">
        <is>
          <t>Holmen skog AB</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17097-2023</t>
        </is>
      </c>
      <c r="B6776" s="1" t="n">
        <v>45034</v>
      </c>
      <c r="C6776" s="1" t="n">
        <v>45677</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17062-2023</t>
        </is>
      </c>
      <c r="B6777" s="1" t="n">
        <v>45034</v>
      </c>
      <c r="C6777" s="1" t="n">
        <v>45677</v>
      </c>
      <c r="D6777" t="inlineStr">
        <is>
          <t>GÄVLEBORGS LÄN</t>
        </is>
      </c>
      <c r="E6777" t="inlineStr">
        <is>
          <t>GÄVLE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17088-2023</t>
        </is>
      </c>
      <c r="B6778" s="1" t="n">
        <v>45034</v>
      </c>
      <c r="C6778" s="1" t="n">
        <v>45677</v>
      </c>
      <c r="D6778" t="inlineStr">
        <is>
          <t>GÄVLEBORGS LÄN</t>
        </is>
      </c>
      <c r="E6778" t="inlineStr">
        <is>
          <t>GÄVLE</t>
        </is>
      </c>
      <c r="F6778" t="inlineStr">
        <is>
          <t>Bergvik skog öst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17106-2023</t>
        </is>
      </c>
      <c r="B6779" s="1" t="n">
        <v>45034</v>
      </c>
      <c r="C6779" s="1" t="n">
        <v>45677</v>
      </c>
      <c r="D6779" t="inlineStr">
        <is>
          <t>GÄVLEBORGS LÄN</t>
        </is>
      </c>
      <c r="E6779" t="inlineStr">
        <is>
          <t>SANDVIKEN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17146-2023</t>
        </is>
      </c>
      <c r="B6780" s="1" t="n">
        <v>45034</v>
      </c>
      <c r="C6780" s="1" t="n">
        <v>45677</v>
      </c>
      <c r="D6780" t="inlineStr">
        <is>
          <t>GÄVLEBORGS LÄN</t>
        </is>
      </c>
      <c r="E6780" t="inlineStr">
        <is>
          <t>SÖDERHAMN</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17164-2023</t>
        </is>
      </c>
      <c r="B6781" s="1" t="n">
        <v>45034</v>
      </c>
      <c r="C6781" s="1" t="n">
        <v>45677</v>
      </c>
      <c r="D6781" t="inlineStr">
        <is>
          <t>GÄVLEBORGS LÄN</t>
        </is>
      </c>
      <c r="E6781" t="inlineStr">
        <is>
          <t>HUDIKSVALL</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17154-2023</t>
        </is>
      </c>
      <c r="B6782" s="1" t="n">
        <v>45034</v>
      </c>
      <c r="C6782" s="1" t="n">
        <v>45677</v>
      </c>
      <c r="D6782" t="inlineStr">
        <is>
          <t>GÄVLEBORGS LÄN</t>
        </is>
      </c>
      <c r="E6782" t="inlineStr">
        <is>
          <t>SANDVIKEN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17057-2023</t>
        </is>
      </c>
      <c r="B6783" s="1" t="n">
        <v>45034</v>
      </c>
      <c r="C6783" s="1" t="n">
        <v>45677</v>
      </c>
      <c r="D6783" t="inlineStr">
        <is>
          <t>GÄVLEBORGS LÄN</t>
        </is>
      </c>
      <c r="E6783" t="inlineStr">
        <is>
          <t>GÄVLE</t>
        </is>
      </c>
      <c r="F6783" t="inlineStr">
        <is>
          <t>Bergvik skog öst AB</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17182-2023</t>
        </is>
      </c>
      <c r="B6784" s="1" t="n">
        <v>45034</v>
      </c>
      <c r="C6784" s="1" t="n">
        <v>45677</v>
      </c>
      <c r="D6784" t="inlineStr">
        <is>
          <t>GÄVLEBORGS LÄN</t>
        </is>
      </c>
      <c r="E6784" t="inlineStr">
        <is>
          <t>HUDIKSVALL</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17406-2023</t>
        </is>
      </c>
      <c r="B6785" s="1" t="n">
        <v>45035</v>
      </c>
      <c r="C6785" s="1" t="n">
        <v>45677</v>
      </c>
      <c r="D6785" t="inlineStr">
        <is>
          <t>GÄVLEBORGS LÄN</t>
        </is>
      </c>
      <c r="E6785" t="inlineStr">
        <is>
          <t>SANDVIKEN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17412-2023</t>
        </is>
      </c>
      <c r="B6786" s="1" t="n">
        <v>45035</v>
      </c>
      <c r="C6786" s="1" t="n">
        <v>45677</v>
      </c>
      <c r="D6786" t="inlineStr">
        <is>
          <t>GÄVLEBORGS LÄN</t>
        </is>
      </c>
      <c r="E6786" t="inlineStr">
        <is>
          <t>SÖDERHAMN</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17244-2023</t>
        </is>
      </c>
      <c r="B6787" s="1" t="n">
        <v>45035</v>
      </c>
      <c r="C6787" s="1" t="n">
        <v>45677</v>
      </c>
      <c r="D6787" t="inlineStr">
        <is>
          <t>GÄVLEBORGS LÄN</t>
        </is>
      </c>
      <c r="E6787" t="inlineStr">
        <is>
          <t>LJUSDAL</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17230-2023</t>
        </is>
      </c>
      <c r="B6788" s="1" t="n">
        <v>45035</v>
      </c>
      <c r="C6788" s="1" t="n">
        <v>45677</v>
      </c>
      <c r="D6788" t="inlineStr">
        <is>
          <t>GÄVLEBORGS LÄN</t>
        </is>
      </c>
      <c r="E6788" t="inlineStr">
        <is>
          <t>LJUSDAL</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17228-2023</t>
        </is>
      </c>
      <c r="B6789" s="1" t="n">
        <v>45035</v>
      </c>
      <c r="C6789" s="1" t="n">
        <v>45677</v>
      </c>
      <c r="D6789" t="inlineStr">
        <is>
          <t>GÄVLEBORGS LÄN</t>
        </is>
      </c>
      <c r="E6789" t="inlineStr">
        <is>
          <t>LJUSDAL</t>
        </is>
      </c>
      <c r="F6789" t="inlineStr">
        <is>
          <t>Holmen skog AB</t>
        </is>
      </c>
      <c r="G6789" t="n">
        <v>1.8</v>
      </c>
      <c r="H6789" t="n">
        <v>0</v>
      </c>
      <c r="I6789" t="n">
        <v>0</v>
      </c>
      <c r="J6789" t="n">
        <v>0</v>
      </c>
      <c r="K6789" t="n">
        <v>0</v>
      </c>
      <c r="L6789" t="n">
        <v>0</v>
      </c>
      <c r="M6789" t="n">
        <v>0</v>
      </c>
      <c r="N6789" t="n">
        <v>0</v>
      </c>
      <c r="O6789" t="n">
        <v>0</v>
      </c>
      <c r="P6789" t="n">
        <v>0</v>
      </c>
      <c r="Q6789" t="n">
        <v>0</v>
      </c>
      <c r="R6789" s="2" t="inlineStr"/>
      <c r="U6789">
        <f>HYPERLINK("https://klasma.github.io/Logging_2161/knärot/A 17228-2023 karta knärot.png", "A 17228-2023")</f>
        <v/>
      </c>
      <c r="V6789">
        <f>HYPERLINK("https://klasma.github.io/Logging_2161/klagomål/A 17228-2023 FSC-klagomål.docx", "A 17228-2023")</f>
        <v/>
      </c>
      <c r="W6789">
        <f>HYPERLINK("https://klasma.github.io/Logging_2161/klagomålsmail/A 17228-2023 FSC-klagomål mail.docx", "A 17228-2023")</f>
        <v/>
      </c>
      <c r="X6789">
        <f>HYPERLINK("https://klasma.github.io/Logging_2161/tillsyn/A 17228-2023 tillsynsbegäran.docx", "A 17228-2023")</f>
        <v/>
      </c>
      <c r="Y6789">
        <f>HYPERLINK("https://klasma.github.io/Logging_2161/tillsynsmail/A 17228-2023 tillsynsbegäran mail.docx", "A 17228-2023")</f>
        <v/>
      </c>
    </row>
    <row r="6790" ht="15" customHeight="1">
      <c r="A6790" t="inlineStr">
        <is>
          <t>A 17241-2023</t>
        </is>
      </c>
      <c r="B6790" s="1" t="n">
        <v>45035</v>
      </c>
      <c r="C6790" s="1" t="n">
        <v>45677</v>
      </c>
      <c r="D6790" t="inlineStr">
        <is>
          <t>GÄVLEBORGS LÄN</t>
        </is>
      </c>
      <c r="E6790" t="inlineStr">
        <is>
          <t>LJUSDAL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17384-2023</t>
        </is>
      </c>
      <c r="B6791" s="1" t="n">
        <v>45035</v>
      </c>
      <c r="C6791" s="1" t="n">
        <v>45677</v>
      </c>
      <c r="D6791" t="inlineStr">
        <is>
          <t>GÄVLEBORGS LÄN</t>
        </is>
      </c>
      <c r="E6791" t="inlineStr">
        <is>
          <t>OVANÅKER</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17426-2023</t>
        </is>
      </c>
      <c r="B6792" s="1" t="n">
        <v>45035</v>
      </c>
      <c r="C6792" s="1" t="n">
        <v>45677</v>
      </c>
      <c r="D6792" t="inlineStr">
        <is>
          <t>GÄVLEBORGS LÄN</t>
        </is>
      </c>
      <c r="E6792" t="inlineStr">
        <is>
          <t>HUDIKSVALL</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17449-2023</t>
        </is>
      </c>
      <c r="B6793" s="1" t="n">
        <v>45036</v>
      </c>
      <c r="C6793" s="1" t="n">
        <v>45677</v>
      </c>
      <c r="D6793" t="inlineStr">
        <is>
          <t>GÄVLEBORGS LÄN</t>
        </is>
      </c>
      <c r="E6793" t="inlineStr">
        <is>
          <t>GÄVLE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17601-2023</t>
        </is>
      </c>
      <c r="B6794" s="1" t="n">
        <v>45036</v>
      </c>
      <c r="C6794" s="1" t="n">
        <v>45677</v>
      </c>
      <c r="D6794" t="inlineStr">
        <is>
          <t>GÄVLEBORGS LÄN</t>
        </is>
      </c>
      <c r="E6794" t="inlineStr">
        <is>
          <t>SANDVIKEN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17466-2023</t>
        </is>
      </c>
      <c r="B6795" s="1" t="n">
        <v>45036</v>
      </c>
      <c r="C6795" s="1" t="n">
        <v>45677</v>
      </c>
      <c r="D6795" t="inlineStr">
        <is>
          <t>GÄVLEBORGS LÄN</t>
        </is>
      </c>
      <c r="E6795" t="inlineStr">
        <is>
          <t>OVANÅKER</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17489-2023</t>
        </is>
      </c>
      <c r="B6796" s="1" t="n">
        <v>45036</v>
      </c>
      <c r="C6796" s="1" t="n">
        <v>45677</v>
      </c>
      <c r="D6796" t="inlineStr">
        <is>
          <t>GÄVLEBORGS LÄN</t>
        </is>
      </c>
      <c r="E6796" t="inlineStr">
        <is>
          <t>OVANÅKER</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17492-2023</t>
        </is>
      </c>
      <c r="B6797" s="1" t="n">
        <v>45036</v>
      </c>
      <c r="C6797" s="1" t="n">
        <v>45677</v>
      </c>
      <c r="D6797" t="inlineStr">
        <is>
          <t>GÄVLEBORGS LÄN</t>
        </is>
      </c>
      <c r="E6797" t="inlineStr">
        <is>
          <t>OVANÅKER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17499-2023</t>
        </is>
      </c>
      <c r="B6798" s="1" t="n">
        <v>45036</v>
      </c>
      <c r="C6798" s="1" t="n">
        <v>45677</v>
      </c>
      <c r="D6798" t="inlineStr">
        <is>
          <t>GÄVLEBORGS LÄN</t>
        </is>
      </c>
      <c r="E6798" t="inlineStr">
        <is>
          <t>LJUSDAL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17521-2023</t>
        </is>
      </c>
      <c r="B6799" s="1" t="n">
        <v>45036</v>
      </c>
      <c r="C6799" s="1" t="n">
        <v>45677</v>
      </c>
      <c r="D6799" t="inlineStr">
        <is>
          <t>GÄVLEBORGS LÄN</t>
        </is>
      </c>
      <c r="E6799" t="inlineStr">
        <is>
          <t>OVANÅKER</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17570-2023</t>
        </is>
      </c>
      <c r="B6800" s="1" t="n">
        <v>45036</v>
      </c>
      <c r="C6800" s="1" t="n">
        <v>45677</v>
      </c>
      <c r="D6800" t="inlineStr">
        <is>
          <t>GÄVLEBORGS LÄN</t>
        </is>
      </c>
      <c r="E6800" t="inlineStr">
        <is>
          <t>GÄVLE</t>
        </is>
      </c>
      <c r="F6800" t="inlineStr">
        <is>
          <t>Bergvik skog öst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17526-2023</t>
        </is>
      </c>
      <c r="B6801" s="1" t="n">
        <v>45036</v>
      </c>
      <c r="C6801" s="1" t="n">
        <v>45677</v>
      </c>
      <c r="D6801" t="inlineStr">
        <is>
          <t>GÄVLEBORGS LÄN</t>
        </is>
      </c>
      <c r="E6801" t="inlineStr">
        <is>
          <t>LJUSDAL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17522-2023</t>
        </is>
      </c>
      <c r="B6802" s="1" t="n">
        <v>45036</v>
      </c>
      <c r="C6802" s="1" t="n">
        <v>45677</v>
      </c>
      <c r="D6802" t="inlineStr">
        <is>
          <t>GÄVLEBORGS LÄN</t>
        </is>
      </c>
      <c r="E6802" t="inlineStr">
        <is>
          <t>LJUSDAL</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17604-2023</t>
        </is>
      </c>
      <c r="B6803" s="1" t="n">
        <v>45036</v>
      </c>
      <c r="C6803" s="1" t="n">
        <v>45677</v>
      </c>
      <c r="D6803" t="inlineStr">
        <is>
          <t>GÄVLEBORGS LÄN</t>
        </is>
      </c>
      <c r="E6803" t="inlineStr">
        <is>
          <t>BOLLNÄS</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17667-2023</t>
        </is>
      </c>
      <c r="B6804" s="1" t="n">
        <v>45037</v>
      </c>
      <c r="C6804" s="1" t="n">
        <v>45677</v>
      </c>
      <c r="D6804" t="inlineStr">
        <is>
          <t>GÄVLEBORGS LÄN</t>
        </is>
      </c>
      <c r="E6804" t="inlineStr">
        <is>
          <t>LJUSDAL</t>
        </is>
      </c>
      <c r="F6804" t="inlineStr">
        <is>
          <t>SCA</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17699-2023</t>
        </is>
      </c>
      <c r="B6805" s="1" t="n">
        <v>45037</v>
      </c>
      <c r="C6805" s="1" t="n">
        <v>45677</v>
      </c>
      <c r="D6805" t="inlineStr">
        <is>
          <t>GÄVLEBORGS LÄN</t>
        </is>
      </c>
      <c r="E6805" t="inlineStr">
        <is>
          <t>LJUSDAL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17681-2023</t>
        </is>
      </c>
      <c r="B6806" s="1" t="n">
        <v>45037</v>
      </c>
      <c r="C6806" s="1" t="n">
        <v>45677</v>
      </c>
      <c r="D6806" t="inlineStr">
        <is>
          <t>GÄVLEBORGS LÄN</t>
        </is>
      </c>
      <c r="E6806" t="inlineStr">
        <is>
          <t>LJUSDAL</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17696-2023</t>
        </is>
      </c>
      <c r="B6807" s="1" t="n">
        <v>45037</v>
      </c>
      <c r="C6807" s="1" t="n">
        <v>45677</v>
      </c>
      <c r="D6807" t="inlineStr">
        <is>
          <t>GÄVLEBORGS LÄN</t>
        </is>
      </c>
      <c r="E6807" t="inlineStr">
        <is>
          <t>LJUSDAL</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17804-2023</t>
        </is>
      </c>
      <c r="B6808" s="1" t="n">
        <v>45037</v>
      </c>
      <c r="C6808" s="1" t="n">
        <v>45677</v>
      </c>
      <c r="D6808" t="inlineStr">
        <is>
          <t>GÄVLEBORGS LÄN</t>
        </is>
      </c>
      <c r="E6808" t="inlineStr">
        <is>
          <t>OVANÅKER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17822-2023</t>
        </is>
      </c>
      <c r="B6809" s="1" t="n">
        <v>45037</v>
      </c>
      <c r="C6809" s="1" t="n">
        <v>45677</v>
      </c>
      <c r="D6809" t="inlineStr">
        <is>
          <t>GÄVLEBORGS LÄN</t>
        </is>
      </c>
      <c r="E6809" t="inlineStr">
        <is>
          <t>OVANÅKER</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17792-2023</t>
        </is>
      </c>
      <c r="B6810" s="1" t="n">
        <v>45037</v>
      </c>
      <c r="C6810" s="1" t="n">
        <v>45677</v>
      </c>
      <c r="D6810" t="inlineStr">
        <is>
          <t>GÄVLEBORGS LÄN</t>
        </is>
      </c>
      <c r="E6810" t="inlineStr">
        <is>
          <t>BOLLNÄS</t>
        </is>
      </c>
      <c r="F6810" t="inlineStr">
        <is>
          <t>Kyrkan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17840-2023</t>
        </is>
      </c>
      <c r="B6811" s="1" t="n">
        <v>45037</v>
      </c>
      <c r="C6811" s="1" t="n">
        <v>45677</v>
      </c>
      <c r="D6811" t="inlineStr">
        <is>
          <t>GÄVLEBORGS LÄN</t>
        </is>
      </c>
      <c r="E6811" t="inlineStr">
        <is>
          <t>NORDANSTIG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17843-2023</t>
        </is>
      </c>
      <c r="B6812" s="1" t="n">
        <v>45037</v>
      </c>
      <c r="C6812" s="1" t="n">
        <v>45677</v>
      </c>
      <c r="D6812" t="inlineStr">
        <is>
          <t>GÄVLEBORGS LÄN</t>
        </is>
      </c>
      <c r="E6812" t="inlineStr">
        <is>
          <t>NORDANSTIG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17867-2023</t>
        </is>
      </c>
      <c r="B6813" s="1" t="n">
        <v>45038</v>
      </c>
      <c r="C6813" s="1" t="n">
        <v>45677</v>
      </c>
      <c r="D6813" t="inlineStr">
        <is>
          <t>GÄVLEBORGS LÄN</t>
        </is>
      </c>
      <c r="E6813" t="inlineStr">
        <is>
          <t>BOLLNÄS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17903-2023</t>
        </is>
      </c>
      <c r="B6814" s="1" t="n">
        <v>45040</v>
      </c>
      <c r="C6814" s="1" t="n">
        <v>45677</v>
      </c>
      <c r="D6814" t="inlineStr">
        <is>
          <t>GÄVLEBORGS LÄN</t>
        </is>
      </c>
      <c r="E6814" t="inlineStr">
        <is>
          <t>GÄVLE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18137-2023</t>
        </is>
      </c>
      <c r="B6815" s="1" t="n">
        <v>45040</v>
      </c>
      <c r="C6815" s="1" t="n">
        <v>45677</v>
      </c>
      <c r="D6815" t="inlineStr">
        <is>
          <t>GÄVLEBORGS LÄN</t>
        </is>
      </c>
      <c r="E6815" t="inlineStr">
        <is>
          <t>SÖDERHAMN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17911-2023</t>
        </is>
      </c>
      <c r="B6816" s="1" t="n">
        <v>45040</v>
      </c>
      <c r="C6816" s="1" t="n">
        <v>45677</v>
      </c>
      <c r="D6816" t="inlineStr">
        <is>
          <t>GÄVLEBORGS LÄN</t>
        </is>
      </c>
      <c r="E6816" t="inlineStr">
        <is>
          <t>GÄVLE</t>
        </is>
      </c>
      <c r="F6816" t="inlineStr">
        <is>
          <t>Bergvik skog väst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18043-2023</t>
        </is>
      </c>
      <c r="B6817" s="1" t="n">
        <v>45040</v>
      </c>
      <c r="C6817" s="1" t="n">
        <v>45677</v>
      </c>
      <c r="D6817" t="inlineStr">
        <is>
          <t>GÄVLEBORGS LÄN</t>
        </is>
      </c>
      <c r="E6817" t="inlineStr">
        <is>
          <t>LJUSDAL</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17966-2023</t>
        </is>
      </c>
      <c r="B6818" s="1" t="n">
        <v>45040</v>
      </c>
      <c r="C6818" s="1" t="n">
        <v>45677</v>
      </c>
      <c r="D6818" t="inlineStr">
        <is>
          <t>GÄVLEBORGS LÄN</t>
        </is>
      </c>
      <c r="E6818" t="inlineStr">
        <is>
          <t>HUDIKSVALL</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18013-2023</t>
        </is>
      </c>
      <c r="B6819" s="1" t="n">
        <v>45040</v>
      </c>
      <c r="C6819" s="1" t="n">
        <v>45677</v>
      </c>
      <c r="D6819" t="inlineStr">
        <is>
          <t>GÄVLEBORGS LÄN</t>
        </is>
      </c>
      <c r="E6819" t="inlineStr">
        <is>
          <t>BOLLNÄS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18140-2023</t>
        </is>
      </c>
      <c r="B6820" s="1" t="n">
        <v>45041</v>
      </c>
      <c r="C6820" s="1" t="n">
        <v>45677</v>
      </c>
      <c r="D6820" t="inlineStr">
        <is>
          <t>GÄVLEBORGS LÄN</t>
        </is>
      </c>
      <c r="E6820" t="inlineStr">
        <is>
          <t>SÖDERHAMN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18141-2023</t>
        </is>
      </c>
      <c r="B6821" s="1" t="n">
        <v>45041</v>
      </c>
      <c r="C6821" s="1" t="n">
        <v>45677</v>
      </c>
      <c r="D6821" t="inlineStr">
        <is>
          <t>GÄVLEBORGS LÄN</t>
        </is>
      </c>
      <c r="E6821" t="inlineStr">
        <is>
          <t>SÖDERHAMN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18011-2023</t>
        </is>
      </c>
      <c r="B6822" s="1" t="n">
        <v>45040</v>
      </c>
      <c r="C6822" s="1" t="n">
        <v>45677</v>
      </c>
      <c r="D6822" t="inlineStr">
        <is>
          <t>GÄVLEBORGS LÄN</t>
        </is>
      </c>
      <c r="E6822" t="inlineStr">
        <is>
          <t>SANDVIKEN</t>
        </is>
      </c>
      <c r="F6822" t="inlineStr">
        <is>
          <t>Sveaskog</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18138-2023</t>
        </is>
      </c>
      <c r="B6823" s="1" t="n">
        <v>45040</v>
      </c>
      <c r="C6823" s="1" t="n">
        <v>45677</v>
      </c>
      <c r="D6823" t="inlineStr">
        <is>
          <t>GÄVLEBORGS LÄN</t>
        </is>
      </c>
      <c r="E6823" t="inlineStr">
        <is>
          <t>SÖDERHAMN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18142-2023</t>
        </is>
      </c>
      <c r="B6824" s="1" t="n">
        <v>45041</v>
      </c>
      <c r="C6824" s="1" t="n">
        <v>45677</v>
      </c>
      <c r="D6824" t="inlineStr">
        <is>
          <t>GÄVLEBORGS LÄN</t>
        </is>
      </c>
      <c r="E6824" t="inlineStr">
        <is>
          <t>SÖDERHAMN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18027-2023</t>
        </is>
      </c>
      <c r="B6825" s="1" t="n">
        <v>45040</v>
      </c>
      <c r="C6825" s="1" t="n">
        <v>45677</v>
      </c>
      <c r="D6825" t="inlineStr">
        <is>
          <t>GÄVLEBORGS LÄN</t>
        </is>
      </c>
      <c r="E6825" t="inlineStr">
        <is>
          <t>OVANÅKER</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18017-2023</t>
        </is>
      </c>
      <c r="B6826" s="1" t="n">
        <v>45040</v>
      </c>
      <c r="C6826" s="1" t="n">
        <v>45677</v>
      </c>
      <c r="D6826" t="inlineStr">
        <is>
          <t>GÄVLEBORGS LÄN</t>
        </is>
      </c>
      <c r="E6826" t="inlineStr">
        <is>
          <t>GÄVLE</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18195-2023</t>
        </is>
      </c>
      <c r="B6827" s="1" t="n">
        <v>45041</v>
      </c>
      <c r="C6827" s="1" t="n">
        <v>45677</v>
      </c>
      <c r="D6827" t="inlineStr">
        <is>
          <t>GÄVLEBORGS LÄN</t>
        </is>
      </c>
      <c r="E6827" t="inlineStr">
        <is>
          <t>SÖDERHAMN</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18200-2023</t>
        </is>
      </c>
      <c r="B6828" s="1" t="n">
        <v>45041</v>
      </c>
      <c r="C6828" s="1" t="n">
        <v>45677</v>
      </c>
      <c r="D6828" t="inlineStr">
        <is>
          <t>GÄVLEBORGS LÄN</t>
        </is>
      </c>
      <c r="E6828" t="inlineStr">
        <is>
          <t>SÖDERHAMN</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18251-2023</t>
        </is>
      </c>
      <c r="B6829" s="1" t="n">
        <v>45041</v>
      </c>
      <c r="C6829" s="1" t="n">
        <v>45677</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18180-2023</t>
        </is>
      </c>
      <c r="B6830" s="1" t="n">
        <v>45041</v>
      </c>
      <c r="C6830" s="1" t="n">
        <v>45677</v>
      </c>
      <c r="D6830" t="inlineStr">
        <is>
          <t>GÄVLEBORGS LÄN</t>
        </is>
      </c>
      <c r="E6830" t="inlineStr">
        <is>
          <t>HUDIKSVALL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18189-2023</t>
        </is>
      </c>
      <c r="B6831" s="1" t="n">
        <v>45041</v>
      </c>
      <c r="C6831" s="1" t="n">
        <v>45677</v>
      </c>
      <c r="D6831" t="inlineStr">
        <is>
          <t>GÄVLEBORGS LÄN</t>
        </is>
      </c>
      <c r="E6831" t="inlineStr">
        <is>
          <t>HUDIKSVALL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18193-2023</t>
        </is>
      </c>
      <c r="B6832" s="1" t="n">
        <v>45041</v>
      </c>
      <c r="C6832" s="1" t="n">
        <v>45677</v>
      </c>
      <c r="D6832" t="inlineStr">
        <is>
          <t>GÄVLEBORGS LÄN</t>
        </is>
      </c>
      <c r="E6832" t="inlineStr">
        <is>
          <t>SÖDERHAMN</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18272-2023</t>
        </is>
      </c>
      <c r="B6833" s="1" t="n">
        <v>45041</v>
      </c>
      <c r="C6833" s="1" t="n">
        <v>45677</v>
      </c>
      <c r="D6833" t="inlineStr">
        <is>
          <t>GÄVLEBORGS LÄN</t>
        </is>
      </c>
      <c r="E6833" t="inlineStr">
        <is>
          <t>SANDVIKEN</t>
        </is>
      </c>
      <c r="F6833" t="inlineStr">
        <is>
          <t>Kyrkan</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18205-2023</t>
        </is>
      </c>
      <c r="B6834" s="1" t="n">
        <v>45041</v>
      </c>
      <c r="C6834" s="1" t="n">
        <v>45677</v>
      </c>
      <c r="D6834" t="inlineStr">
        <is>
          <t>GÄVLEBORGS LÄN</t>
        </is>
      </c>
      <c r="E6834" t="inlineStr">
        <is>
          <t>HUDIKSVALL</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18226-2023</t>
        </is>
      </c>
      <c r="B6835" s="1" t="n">
        <v>45041</v>
      </c>
      <c r="C6835" s="1" t="n">
        <v>45677</v>
      </c>
      <c r="D6835" t="inlineStr">
        <is>
          <t>GÄVLEBORGS LÄN</t>
        </is>
      </c>
      <c r="E6835" t="inlineStr">
        <is>
          <t>HUDIKSVALL</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18213-2023</t>
        </is>
      </c>
      <c r="B6836" s="1" t="n">
        <v>45041</v>
      </c>
      <c r="C6836" s="1" t="n">
        <v>45677</v>
      </c>
      <c r="D6836" t="inlineStr">
        <is>
          <t>GÄVLEBORGS LÄN</t>
        </is>
      </c>
      <c r="E6836" t="inlineStr">
        <is>
          <t>SÖDERHAMN</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18279-2023</t>
        </is>
      </c>
      <c r="B6837" s="1" t="n">
        <v>45041</v>
      </c>
      <c r="C6837" s="1" t="n">
        <v>45677</v>
      </c>
      <c r="D6837" t="inlineStr">
        <is>
          <t>GÄVLEBORGS LÄN</t>
        </is>
      </c>
      <c r="E6837" t="inlineStr">
        <is>
          <t>NORDANSTIG</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18212-2023</t>
        </is>
      </c>
      <c r="B6838" s="1" t="n">
        <v>45041</v>
      </c>
      <c r="C6838" s="1" t="n">
        <v>45677</v>
      </c>
      <c r="D6838" t="inlineStr">
        <is>
          <t>GÄVLEBORGS LÄN</t>
        </is>
      </c>
      <c r="E6838" t="inlineStr">
        <is>
          <t>BOLLNÄS</t>
        </is>
      </c>
      <c r="F6838" t="inlineStr">
        <is>
          <t>Bergvik skog väst AB</t>
        </is>
      </c>
      <c r="G6838" t="n">
        <v>19.1</v>
      </c>
      <c r="H6838" t="n">
        <v>0</v>
      </c>
      <c r="I6838" t="n">
        <v>0</v>
      </c>
      <c r="J6838" t="n">
        <v>0</v>
      </c>
      <c r="K6838" t="n">
        <v>0</v>
      </c>
      <c r="L6838" t="n">
        <v>0</v>
      </c>
      <c r="M6838" t="n">
        <v>0</v>
      </c>
      <c r="N6838" t="n">
        <v>0</v>
      </c>
      <c r="O6838" t="n">
        <v>0</v>
      </c>
      <c r="P6838" t="n">
        <v>0</v>
      </c>
      <c r="Q6838" t="n">
        <v>0</v>
      </c>
      <c r="R6838" s="2" t="inlineStr"/>
    </row>
    <row r="6839" ht="15" customHeight="1">
      <c r="A6839" t="inlineStr">
        <is>
          <t>A 18224-2023</t>
        </is>
      </c>
      <c r="B6839" s="1" t="n">
        <v>45041</v>
      </c>
      <c r="C6839" s="1" t="n">
        <v>45677</v>
      </c>
      <c r="D6839" t="inlineStr">
        <is>
          <t>GÄVLEBORGS LÄN</t>
        </is>
      </c>
      <c r="E6839" t="inlineStr">
        <is>
          <t>SÖDERHAMN</t>
        </is>
      </c>
      <c r="F6839" t="inlineStr">
        <is>
          <t>Bergvik skog väst AB</t>
        </is>
      </c>
      <c r="G6839" t="n">
        <v>34.6</v>
      </c>
      <c r="H6839" t="n">
        <v>0</v>
      </c>
      <c r="I6839" t="n">
        <v>0</v>
      </c>
      <c r="J6839" t="n">
        <v>0</v>
      </c>
      <c r="K6839" t="n">
        <v>0</v>
      </c>
      <c r="L6839" t="n">
        <v>0</v>
      </c>
      <c r="M6839" t="n">
        <v>0</v>
      </c>
      <c r="N6839" t="n">
        <v>0</v>
      </c>
      <c r="O6839" t="n">
        <v>0</v>
      </c>
      <c r="P6839" t="n">
        <v>0</v>
      </c>
      <c r="Q6839" t="n">
        <v>0</v>
      </c>
      <c r="R6839" s="2" t="inlineStr"/>
    </row>
    <row r="6840" ht="15" customHeight="1">
      <c r="A6840" t="inlineStr">
        <is>
          <t>A 18291-2023</t>
        </is>
      </c>
      <c r="B6840" s="1" t="n">
        <v>45041</v>
      </c>
      <c r="C6840" s="1" t="n">
        <v>45677</v>
      </c>
      <c r="D6840" t="inlineStr">
        <is>
          <t>GÄVLEBORGS LÄN</t>
        </is>
      </c>
      <c r="E6840" t="inlineStr">
        <is>
          <t>OCKELBO</t>
        </is>
      </c>
      <c r="F6840" t="inlineStr">
        <is>
          <t>Bergvik skog väst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18314-2023</t>
        </is>
      </c>
      <c r="B6841" s="1" t="n">
        <v>45041</v>
      </c>
      <c r="C6841" s="1" t="n">
        <v>45677</v>
      </c>
      <c r="D6841" t="inlineStr">
        <is>
          <t>GÄVLEBORGS LÄN</t>
        </is>
      </c>
      <c r="E6841" t="inlineStr">
        <is>
          <t>LJUSDAL</t>
        </is>
      </c>
      <c r="F6841" t="inlineStr">
        <is>
          <t>Holmen skog AB</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18238-2023</t>
        </is>
      </c>
      <c r="B6842" s="1" t="n">
        <v>45041</v>
      </c>
      <c r="C6842" s="1" t="n">
        <v>45677</v>
      </c>
      <c r="D6842" t="inlineStr">
        <is>
          <t>GÄVLEBORGS LÄN</t>
        </is>
      </c>
      <c r="E6842" t="inlineStr">
        <is>
          <t>OCKELBO</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18288-2023</t>
        </is>
      </c>
      <c r="B6843" s="1" t="n">
        <v>45041</v>
      </c>
      <c r="C6843" s="1" t="n">
        <v>45677</v>
      </c>
      <c r="D6843" t="inlineStr">
        <is>
          <t>GÄVLEBORGS LÄN</t>
        </is>
      </c>
      <c r="E6843" t="inlineStr">
        <is>
          <t>NORDANSTIG</t>
        </is>
      </c>
      <c r="F6843" t="inlineStr">
        <is>
          <t>Holmen skog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18261-2023</t>
        </is>
      </c>
      <c r="B6844" s="1" t="n">
        <v>45041</v>
      </c>
      <c r="C6844" s="1" t="n">
        <v>45677</v>
      </c>
      <c r="D6844" t="inlineStr">
        <is>
          <t>GÄVLEBORGS LÄN</t>
        </is>
      </c>
      <c r="E6844" t="inlineStr">
        <is>
          <t>SANDVIKEN</t>
        </is>
      </c>
      <c r="F6844" t="inlineStr">
        <is>
          <t>Kyrkan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18284-2023</t>
        </is>
      </c>
      <c r="B6845" s="1" t="n">
        <v>45041</v>
      </c>
      <c r="C6845" s="1" t="n">
        <v>45677</v>
      </c>
      <c r="D6845" t="inlineStr">
        <is>
          <t>GÄVLEBORGS LÄN</t>
        </is>
      </c>
      <c r="E6845" t="inlineStr">
        <is>
          <t>HUDIKSVALL</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18311-2023</t>
        </is>
      </c>
      <c r="B6846" s="1" t="n">
        <v>45041</v>
      </c>
      <c r="C6846" s="1" t="n">
        <v>45677</v>
      </c>
      <c r="D6846" t="inlineStr">
        <is>
          <t>GÄVLEBORGS LÄN</t>
        </is>
      </c>
      <c r="E6846" t="inlineStr">
        <is>
          <t>BOLLNÄS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18308-2023</t>
        </is>
      </c>
      <c r="B6847" s="1" t="n">
        <v>45041</v>
      </c>
      <c r="C6847" s="1" t="n">
        <v>45677</v>
      </c>
      <c r="D6847" t="inlineStr">
        <is>
          <t>GÄVLEBORGS LÄN</t>
        </is>
      </c>
      <c r="E6847" t="inlineStr">
        <is>
          <t>BOLLNÄS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18401-2023</t>
        </is>
      </c>
      <c r="B6848" s="1" t="n">
        <v>45042</v>
      </c>
      <c r="C6848" s="1" t="n">
        <v>45677</v>
      </c>
      <c r="D6848" t="inlineStr">
        <is>
          <t>GÄVLEBORGS LÄN</t>
        </is>
      </c>
      <c r="E6848" t="inlineStr">
        <is>
          <t>NORDANSTIG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18420-2023</t>
        </is>
      </c>
      <c r="B6849" s="1" t="n">
        <v>45042</v>
      </c>
      <c r="C6849" s="1" t="n">
        <v>45677</v>
      </c>
      <c r="D6849" t="inlineStr">
        <is>
          <t>GÄVLEBORGS LÄN</t>
        </is>
      </c>
      <c r="E6849" t="inlineStr">
        <is>
          <t>HUDIKSVALL</t>
        </is>
      </c>
      <c r="G6849" t="n">
        <v>21.3</v>
      </c>
      <c r="H6849" t="n">
        <v>0</v>
      </c>
      <c r="I6849" t="n">
        <v>0</v>
      </c>
      <c r="J6849" t="n">
        <v>0</v>
      </c>
      <c r="K6849" t="n">
        <v>0</v>
      </c>
      <c r="L6849" t="n">
        <v>0</v>
      </c>
      <c r="M6849" t="n">
        <v>0</v>
      </c>
      <c r="N6849" t="n">
        <v>0</v>
      </c>
      <c r="O6849" t="n">
        <v>0</v>
      </c>
      <c r="P6849" t="n">
        <v>0</v>
      </c>
      <c r="Q6849" t="n">
        <v>0</v>
      </c>
      <c r="R6849" s="2" t="inlineStr"/>
    </row>
    <row r="6850" ht="15" customHeight="1">
      <c r="A6850" t="inlineStr">
        <is>
          <t>A 18488-2023</t>
        </is>
      </c>
      <c r="B6850" s="1" t="n">
        <v>45042</v>
      </c>
      <c r="C6850" s="1" t="n">
        <v>45677</v>
      </c>
      <c r="D6850" t="inlineStr">
        <is>
          <t>GÄVLEBORGS LÄN</t>
        </is>
      </c>
      <c r="E6850" t="inlineStr">
        <is>
          <t>LJUSDAL</t>
        </is>
      </c>
      <c r="F6850" t="inlineStr">
        <is>
          <t>Holmen skog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18568-2023</t>
        </is>
      </c>
      <c r="B6851" s="1" t="n">
        <v>45043</v>
      </c>
      <c r="C6851" s="1" t="n">
        <v>45677</v>
      </c>
      <c r="D6851" t="inlineStr">
        <is>
          <t>GÄVLEBORGS LÄN</t>
        </is>
      </c>
      <c r="E6851" t="inlineStr">
        <is>
          <t>HUDIKSVALL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18614-2023</t>
        </is>
      </c>
      <c r="B6852" s="1" t="n">
        <v>45043</v>
      </c>
      <c r="C6852" s="1" t="n">
        <v>45677</v>
      </c>
      <c r="D6852" t="inlineStr">
        <is>
          <t>GÄVLEBORGS LÄN</t>
        </is>
      </c>
      <c r="E6852" t="inlineStr">
        <is>
          <t>BOLLNÄS</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18638-2023</t>
        </is>
      </c>
      <c r="B6853" s="1" t="n">
        <v>45043</v>
      </c>
      <c r="C6853" s="1" t="n">
        <v>45677</v>
      </c>
      <c r="D6853" t="inlineStr">
        <is>
          <t>GÄVLEBORGS LÄN</t>
        </is>
      </c>
      <c r="E6853" t="inlineStr">
        <is>
          <t>NORDANSTIG</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18657-2023</t>
        </is>
      </c>
      <c r="B6854" s="1" t="n">
        <v>45043</v>
      </c>
      <c r="C6854" s="1" t="n">
        <v>45677</v>
      </c>
      <c r="D6854" t="inlineStr">
        <is>
          <t>GÄVLEBORGS LÄN</t>
        </is>
      </c>
      <c r="E6854" t="inlineStr">
        <is>
          <t>HUDIKSVALL</t>
        </is>
      </c>
      <c r="F6854" t="inlineStr">
        <is>
          <t>Holmen skog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18693-2023</t>
        </is>
      </c>
      <c r="B6855" s="1" t="n">
        <v>45043</v>
      </c>
      <c r="C6855" s="1" t="n">
        <v>45677</v>
      </c>
      <c r="D6855" t="inlineStr">
        <is>
          <t>GÄVLEBORGS LÄN</t>
        </is>
      </c>
      <c r="E6855" t="inlineStr">
        <is>
          <t>HOFORS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18669-2023</t>
        </is>
      </c>
      <c r="B6856" s="1" t="n">
        <v>45043</v>
      </c>
      <c r="C6856" s="1" t="n">
        <v>45677</v>
      </c>
      <c r="D6856" t="inlineStr">
        <is>
          <t>GÄVLEBORGS LÄN</t>
        </is>
      </c>
      <c r="E6856" t="inlineStr">
        <is>
          <t>SÖDERHAMN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18690-2023</t>
        </is>
      </c>
      <c r="B6857" s="1" t="n">
        <v>45043</v>
      </c>
      <c r="C6857" s="1" t="n">
        <v>45677</v>
      </c>
      <c r="D6857" t="inlineStr">
        <is>
          <t>GÄVLEBORGS LÄN</t>
        </is>
      </c>
      <c r="E6857" t="inlineStr">
        <is>
          <t>HOFORS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18759-2023</t>
        </is>
      </c>
      <c r="B6858" s="1" t="n">
        <v>45044</v>
      </c>
      <c r="C6858" s="1" t="n">
        <v>45677</v>
      </c>
      <c r="D6858" t="inlineStr">
        <is>
          <t>GÄVLEBORGS LÄN</t>
        </is>
      </c>
      <c r="E6858" t="inlineStr">
        <is>
          <t>NORDANSTIG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18852-2023</t>
        </is>
      </c>
      <c r="B6859" s="1" t="n">
        <v>45044</v>
      </c>
      <c r="C6859" s="1" t="n">
        <v>45677</v>
      </c>
      <c r="D6859" t="inlineStr">
        <is>
          <t>GÄVLEBORGS LÄN</t>
        </is>
      </c>
      <c r="E6859" t="inlineStr">
        <is>
          <t>BOLLNÄS</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18930-2023</t>
        </is>
      </c>
      <c r="B6860" s="1" t="n">
        <v>45044</v>
      </c>
      <c r="C6860" s="1" t="n">
        <v>45677</v>
      </c>
      <c r="D6860" t="inlineStr">
        <is>
          <t>GÄVLEBORGS LÄN</t>
        </is>
      </c>
      <c r="E6860" t="inlineStr">
        <is>
          <t>HOFORS</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18939-2023</t>
        </is>
      </c>
      <c r="B6861" s="1" t="n">
        <v>45044</v>
      </c>
      <c r="C6861" s="1" t="n">
        <v>45677</v>
      </c>
      <c r="D6861" t="inlineStr">
        <is>
          <t>GÄVLEBORGS LÄN</t>
        </is>
      </c>
      <c r="E6861" t="inlineStr">
        <is>
          <t>OCKELBO</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18849-2023</t>
        </is>
      </c>
      <c r="B6862" s="1" t="n">
        <v>45044</v>
      </c>
      <c r="C6862" s="1" t="n">
        <v>45677</v>
      </c>
      <c r="D6862" t="inlineStr">
        <is>
          <t>GÄVLEBORGS LÄN</t>
        </is>
      </c>
      <c r="E6862" t="inlineStr">
        <is>
          <t>GÄVLE</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18835-2023</t>
        </is>
      </c>
      <c r="B6863" s="1" t="n">
        <v>45044</v>
      </c>
      <c r="C6863" s="1" t="n">
        <v>45677</v>
      </c>
      <c r="D6863" t="inlineStr">
        <is>
          <t>GÄVLEBORGS LÄN</t>
        </is>
      </c>
      <c r="E6863" t="inlineStr">
        <is>
          <t>HUDIKSVALL</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18896-2023</t>
        </is>
      </c>
      <c r="B6864" s="1" t="n">
        <v>45044</v>
      </c>
      <c r="C6864" s="1" t="n">
        <v>45677</v>
      </c>
      <c r="D6864" t="inlineStr">
        <is>
          <t>GÄVLEBORGS LÄN</t>
        </is>
      </c>
      <c r="E6864" t="inlineStr">
        <is>
          <t>NORDANSTIG</t>
        </is>
      </c>
      <c r="G6864" t="n">
        <v>13.8</v>
      </c>
      <c r="H6864" t="n">
        <v>0</v>
      </c>
      <c r="I6864" t="n">
        <v>0</v>
      </c>
      <c r="J6864" t="n">
        <v>0</v>
      </c>
      <c r="K6864" t="n">
        <v>0</v>
      </c>
      <c r="L6864" t="n">
        <v>0</v>
      </c>
      <c r="M6864" t="n">
        <v>0</v>
      </c>
      <c r="N6864" t="n">
        <v>0</v>
      </c>
      <c r="O6864" t="n">
        <v>0</v>
      </c>
      <c r="P6864" t="n">
        <v>0</v>
      </c>
      <c r="Q6864" t="n">
        <v>0</v>
      </c>
      <c r="R6864" s="2" t="inlineStr"/>
    </row>
    <row r="6865" ht="15" customHeight="1">
      <c r="A6865" t="inlineStr">
        <is>
          <t>A 18904-2023</t>
        </is>
      </c>
      <c r="B6865" s="1" t="n">
        <v>45044</v>
      </c>
      <c r="C6865" s="1" t="n">
        <v>45677</v>
      </c>
      <c r="D6865" t="inlineStr">
        <is>
          <t>GÄVLEBORGS LÄN</t>
        </is>
      </c>
      <c r="E6865" t="inlineStr">
        <is>
          <t>HUDIKSVALL</t>
        </is>
      </c>
      <c r="F6865" t="inlineStr">
        <is>
          <t>Holmen skog AB</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18856-2023</t>
        </is>
      </c>
      <c r="B6866" s="1" t="n">
        <v>45044</v>
      </c>
      <c r="C6866" s="1" t="n">
        <v>45677</v>
      </c>
      <c r="D6866" t="inlineStr">
        <is>
          <t>GÄVLEBORGS LÄN</t>
        </is>
      </c>
      <c r="E6866" t="inlineStr">
        <is>
          <t>OVANÅKER</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18887-2023</t>
        </is>
      </c>
      <c r="B6867" s="1" t="n">
        <v>45044</v>
      </c>
      <c r="C6867" s="1" t="n">
        <v>45677</v>
      </c>
      <c r="D6867" t="inlineStr">
        <is>
          <t>GÄVLEBORGS LÄN</t>
        </is>
      </c>
      <c r="E6867" t="inlineStr">
        <is>
          <t>HUDIKSVALL</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18976-2023</t>
        </is>
      </c>
      <c r="B6868" s="1" t="n">
        <v>45044</v>
      </c>
      <c r="C6868" s="1" t="n">
        <v>45677</v>
      </c>
      <c r="D6868" t="inlineStr">
        <is>
          <t>GÄVLEBORGS LÄN</t>
        </is>
      </c>
      <c r="E6868" t="inlineStr">
        <is>
          <t>NORDANSTIG</t>
        </is>
      </c>
      <c r="G6868" t="n">
        <v>25.7</v>
      </c>
      <c r="H6868" t="n">
        <v>0</v>
      </c>
      <c r="I6868" t="n">
        <v>0</v>
      </c>
      <c r="J6868" t="n">
        <v>0</v>
      </c>
      <c r="K6868" t="n">
        <v>0</v>
      </c>
      <c r="L6868" t="n">
        <v>0</v>
      </c>
      <c r="M6868" t="n">
        <v>0</v>
      </c>
      <c r="N6868" t="n">
        <v>0</v>
      </c>
      <c r="O6868" t="n">
        <v>0</v>
      </c>
      <c r="P6868" t="n">
        <v>0</v>
      </c>
      <c r="Q6868" t="n">
        <v>0</v>
      </c>
      <c r="R6868" s="2" t="inlineStr"/>
    </row>
    <row r="6869" ht="15" customHeight="1">
      <c r="A6869" t="inlineStr">
        <is>
          <t>A 18910-2023</t>
        </is>
      </c>
      <c r="B6869" s="1" t="n">
        <v>45044</v>
      </c>
      <c r="C6869" s="1" t="n">
        <v>45677</v>
      </c>
      <c r="D6869" t="inlineStr">
        <is>
          <t>GÄVLEBORGS LÄN</t>
        </is>
      </c>
      <c r="E6869" t="inlineStr">
        <is>
          <t>HUDIKSVALL</t>
        </is>
      </c>
      <c r="F6869" t="inlineStr">
        <is>
          <t>Holmen skog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18933-2023</t>
        </is>
      </c>
      <c r="B6870" s="1" t="n">
        <v>45044</v>
      </c>
      <c r="C6870" s="1" t="n">
        <v>45677</v>
      </c>
      <c r="D6870" t="inlineStr">
        <is>
          <t>GÄVLEBORGS LÄN</t>
        </is>
      </c>
      <c r="E6870" t="inlineStr">
        <is>
          <t>NORDANSTIG</t>
        </is>
      </c>
      <c r="G6870" t="n">
        <v>26.6</v>
      </c>
      <c r="H6870" t="n">
        <v>0</v>
      </c>
      <c r="I6870" t="n">
        <v>0</v>
      </c>
      <c r="J6870" t="n">
        <v>0</v>
      </c>
      <c r="K6870" t="n">
        <v>0</v>
      </c>
      <c r="L6870" t="n">
        <v>0</v>
      </c>
      <c r="M6870" t="n">
        <v>0</v>
      </c>
      <c r="N6870" t="n">
        <v>0</v>
      </c>
      <c r="O6870" t="n">
        <v>0</v>
      </c>
      <c r="P6870" t="n">
        <v>0</v>
      </c>
      <c r="Q6870" t="n">
        <v>0</v>
      </c>
      <c r="R6870" s="2" t="inlineStr"/>
    </row>
    <row r="6871" ht="15" customHeight="1">
      <c r="A6871" t="inlineStr">
        <is>
          <t>A 18977-2023</t>
        </is>
      </c>
      <c r="B6871" s="1" t="n">
        <v>45045</v>
      </c>
      <c r="C6871" s="1" t="n">
        <v>45677</v>
      </c>
      <c r="D6871" t="inlineStr">
        <is>
          <t>GÄVLEBORGS LÄN</t>
        </is>
      </c>
      <c r="E6871" t="inlineStr">
        <is>
          <t>NORDANSTIG</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18857-2023</t>
        </is>
      </c>
      <c r="B6872" s="1" t="n">
        <v>45044</v>
      </c>
      <c r="C6872" s="1" t="n">
        <v>45677</v>
      </c>
      <c r="D6872" t="inlineStr">
        <is>
          <t>GÄVLEBORGS LÄN</t>
        </is>
      </c>
      <c r="E6872" t="inlineStr">
        <is>
          <t>BOLLNÄS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18906-2023</t>
        </is>
      </c>
      <c r="B6873" s="1" t="n">
        <v>45044</v>
      </c>
      <c r="C6873" s="1" t="n">
        <v>45677</v>
      </c>
      <c r="D6873" t="inlineStr">
        <is>
          <t>GÄVLEBORGS LÄN</t>
        </is>
      </c>
      <c r="E6873" t="inlineStr">
        <is>
          <t>OVANÅKER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19405-2023</t>
        </is>
      </c>
      <c r="B6874" s="1" t="n">
        <v>45044</v>
      </c>
      <c r="C6874" s="1" t="n">
        <v>45677</v>
      </c>
      <c r="D6874" t="inlineStr">
        <is>
          <t>GÄVLEBORGS LÄN</t>
        </is>
      </c>
      <c r="E6874" t="inlineStr">
        <is>
          <t>BOLLNÄS</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19398-2023</t>
        </is>
      </c>
      <c r="B6875" s="1" t="n">
        <v>45044</v>
      </c>
      <c r="C6875" s="1" t="n">
        <v>45677</v>
      </c>
      <c r="D6875" t="inlineStr">
        <is>
          <t>GÄVLEBORGS LÄN</t>
        </is>
      </c>
      <c r="E6875" t="inlineStr">
        <is>
          <t>BOLLNÄS</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19033-2023</t>
        </is>
      </c>
      <c r="B6876" s="1" t="n">
        <v>45047</v>
      </c>
      <c r="C6876" s="1" t="n">
        <v>45677</v>
      </c>
      <c r="D6876" t="inlineStr">
        <is>
          <t>GÄVLEBORGS LÄN</t>
        </is>
      </c>
      <c r="E6876" t="inlineStr">
        <is>
          <t>LJUSDAL</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19022-2023</t>
        </is>
      </c>
      <c r="B6877" s="1" t="n">
        <v>45047</v>
      </c>
      <c r="C6877" s="1" t="n">
        <v>45677</v>
      </c>
      <c r="D6877" t="inlineStr">
        <is>
          <t>GÄVLEBORGS LÄN</t>
        </is>
      </c>
      <c r="E6877" t="inlineStr">
        <is>
          <t>LJUSDAL</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19035-2023</t>
        </is>
      </c>
      <c r="B6878" s="1" t="n">
        <v>45047</v>
      </c>
      <c r="C6878" s="1" t="n">
        <v>45677</v>
      </c>
      <c r="D6878" t="inlineStr">
        <is>
          <t>GÄVLEBORGS LÄN</t>
        </is>
      </c>
      <c r="E6878" t="inlineStr">
        <is>
          <t>LJUSDAL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19034-2023</t>
        </is>
      </c>
      <c r="B6879" s="1" t="n">
        <v>45047</v>
      </c>
      <c r="C6879" s="1" t="n">
        <v>45677</v>
      </c>
      <c r="D6879" t="inlineStr">
        <is>
          <t>GÄVLEBORGS LÄN</t>
        </is>
      </c>
      <c r="E6879" t="inlineStr">
        <is>
          <t>LJUSDAL</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19078-2023</t>
        </is>
      </c>
      <c r="B6880" s="1" t="n">
        <v>45048</v>
      </c>
      <c r="C6880" s="1" t="n">
        <v>45677</v>
      </c>
      <c r="D6880" t="inlineStr">
        <is>
          <t>GÄVLEBORGS LÄN</t>
        </is>
      </c>
      <c r="E6880" t="inlineStr">
        <is>
          <t>LJUSDAL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19156-2023</t>
        </is>
      </c>
      <c r="B6881" s="1" t="n">
        <v>45048</v>
      </c>
      <c r="C6881" s="1" t="n">
        <v>45677</v>
      </c>
      <c r="D6881" t="inlineStr">
        <is>
          <t>GÄVLEBORGS LÄN</t>
        </is>
      </c>
      <c r="E6881" t="inlineStr">
        <is>
          <t>HUDIKSVALL</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19171-2023</t>
        </is>
      </c>
      <c r="B6882" s="1" t="n">
        <v>45048</v>
      </c>
      <c r="C6882" s="1" t="n">
        <v>45677</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19096-2023</t>
        </is>
      </c>
      <c r="B6883" s="1" t="n">
        <v>45048</v>
      </c>
      <c r="C6883" s="1" t="n">
        <v>45677</v>
      </c>
      <c r="D6883" t="inlineStr">
        <is>
          <t>GÄVLEBORGS LÄN</t>
        </is>
      </c>
      <c r="E6883" t="inlineStr">
        <is>
          <t>HUDIKSVALL</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19104-2023</t>
        </is>
      </c>
      <c r="B6884" s="1" t="n">
        <v>45048</v>
      </c>
      <c r="C6884" s="1" t="n">
        <v>45677</v>
      </c>
      <c r="D6884" t="inlineStr">
        <is>
          <t>GÄVLEBORGS LÄN</t>
        </is>
      </c>
      <c r="E6884" t="inlineStr">
        <is>
          <t>HUDIKSVALL</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19225-2023</t>
        </is>
      </c>
      <c r="B6885" s="1" t="n">
        <v>45048</v>
      </c>
      <c r="C6885" s="1" t="n">
        <v>45677</v>
      </c>
      <c r="D6885" t="inlineStr">
        <is>
          <t>GÄVLEBORGS LÄN</t>
        </is>
      </c>
      <c r="E6885" t="inlineStr">
        <is>
          <t>SÖDERHAMN</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19178-2023</t>
        </is>
      </c>
      <c r="B6886" s="1" t="n">
        <v>45048</v>
      </c>
      <c r="C6886" s="1" t="n">
        <v>45677</v>
      </c>
      <c r="D6886" t="inlineStr">
        <is>
          <t>GÄVLEBORGS LÄN</t>
        </is>
      </c>
      <c r="E6886" t="inlineStr">
        <is>
          <t>OCKELBO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19222-2023</t>
        </is>
      </c>
      <c r="B6887" s="1" t="n">
        <v>45048</v>
      </c>
      <c r="C6887" s="1" t="n">
        <v>45677</v>
      </c>
      <c r="D6887" t="inlineStr">
        <is>
          <t>GÄVLEBORGS LÄN</t>
        </is>
      </c>
      <c r="E6887" t="inlineStr">
        <is>
          <t>SÖDERHAMN</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19130-2023</t>
        </is>
      </c>
      <c r="B6888" s="1" t="n">
        <v>45048</v>
      </c>
      <c r="C6888" s="1" t="n">
        <v>45677</v>
      </c>
      <c r="D6888" t="inlineStr">
        <is>
          <t>GÄVLEBORGS LÄN</t>
        </is>
      </c>
      <c r="E6888" t="inlineStr">
        <is>
          <t>HUDIKSVALL</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19343-2023</t>
        </is>
      </c>
      <c r="B6889" s="1" t="n">
        <v>45049</v>
      </c>
      <c r="C6889" s="1" t="n">
        <v>45677</v>
      </c>
      <c r="D6889" t="inlineStr">
        <is>
          <t>GÄVLEBORGS LÄN</t>
        </is>
      </c>
      <c r="E6889" t="inlineStr">
        <is>
          <t>SANDVIKEN</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19282-2023</t>
        </is>
      </c>
      <c r="B6890" s="1" t="n">
        <v>45049</v>
      </c>
      <c r="C6890" s="1" t="n">
        <v>45677</v>
      </c>
      <c r="D6890" t="inlineStr">
        <is>
          <t>GÄVLEBORGS LÄN</t>
        </is>
      </c>
      <c r="E6890" t="inlineStr">
        <is>
          <t>HUDIKSVALL</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19346-2023</t>
        </is>
      </c>
      <c r="B6891" s="1" t="n">
        <v>45049</v>
      </c>
      <c r="C6891" s="1" t="n">
        <v>45677</v>
      </c>
      <c r="D6891" t="inlineStr">
        <is>
          <t>GÄVLEBORGS LÄN</t>
        </is>
      </c>
      <c r="E6891" t="inlineStr">
        <is>
          <t>SANDVIKEN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19352-2023</t>
        </is>
      </c>
      <c r="B6892" s="1" t="n">
        <v>45049</v>
      </c>
      <c r="C6892" s="1" t="n">
        <v>45677</v>
      </c>
      <c r="D6892" t="inlineStr">
        <is>
          <t>GÄVLEBORGS LÄN</t>
        </is>
      </c>
      <c r="E6892" t="inlineStr">
        <is>
          <t>SANDVIKEN</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19476-2023</t>
        </is>
      </c>
      <c r="B6893" s="1" t="n">
        <v>45050</v>
      </c>
      <c r="C6893" s="1" t="n">
        <v>45677</v>
      </c>
      <c r="D6893" t="inlineStr">
        <is>
          <t>GÄVLEBORGS LÄN</t>
        </is>
      </c>
      <c r="E6893" t="inlineStr">
        <is>
          <t>HOFORS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19499-2023</t>
        </is>
      </c>
      <c r="B6894" s="1" t="n">
        <v>45050</v>
      </c>
      <c r="C6894" s="1" t="n">
        <v>45677</v>
      </c>
      <c r="D6894" t="inlineStr">
        <is>
          <t>GÄVLEBORGS LÄN</t>
        </is>
      </c>
      <c r="E6894" t="inlineStr">
        <is>
          <t>HUDIKSVALL</t>
        </is>
      </c>
      <c r="F6894" t="inlineStr">
        <is>
          <t>Holmen skog AB</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19475-2023</t>
        </is>
      </c>
      <c r="B6895" s="1" t="n">
        <v>45050</v>
      </c>
      <c r="C6895" s="1" t="n">
        <v>45677</v>
      </c>
      <c r="D6895" t="inlineStr">
        <is>
          <t>GÄVLEBORGS LÄN</t>
        </is>
      </c>
      <c r="E6895" t="inlineStr">
        <is>
          <t>HOFORS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19484-2023</t>
        </is>
      </c>
      <c r="B6896" s="1" t="n">
        <v>45050</v>
      </c>
      <c r="C6896" s="1" t="n">
        <v>45677</v>
      </c>
      <c r="D6896" t="inlineStr">
        <is>
          <t>GÄVLEBORGS LÄN</t>
        </is>
      </c>
      <c r="E6896" t="inlineStr">
        <is>
          <t>HUDIKSVALL</t>
        </is>
      </c>
      <c r="F6896" t="inlineStr">
        <is>
          <t>Holmen skog AB</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19525-2023</t>
        </is>
      </c>
      <c r="B6897" s="1" t="n">
        <v>45050</v>
      </c>
      <c r="C6897" s="1" t="n">
        <v>45677</v>
      </c>
      <c r="D6897" t="inlineStr">
        <is>
          <t>GÄVLEBORGS LÄN</t>
        </is>
      </c>
      <c r="E6897" t="inlineStr">
        <is>
          <t>OVANÅKER</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19473-2023</t>
        </is>
      </c>
      <c r="B6898" s="1" t="n">
        <v>45050</v>
      </c>
      <c r="C6898" s="1" t="n">
        <v>45677</v>
      </c>
      <c r="D6898" t="inlineStr">
        <is>
          <t>GÄVLEBORGS LÄN</t>
        </is>
      </c>
      <c r="E6898" t="inlineStr">
        <is>
          <t>BOLLNÄS</t>
        </is>
      </c>
      <c r="F6898" t="inlineStr">
        <is>
          <t>Bergvik skog väst AB</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19507-2023</t>
        </is>
      </c>
      <c r="B6899" s="1" t="n">
        <v>45050</v>
      </c>
      <c r="C6899" s="1" t="n">
        <v>45677</v>
      </c>
      <c r="D6899" t="inlineStr">
        <is>
          <t>GÄVLEBORGS LÄN</t>
        </is>
      </c>
      <c r="E6899" t="inlineStr">
        <is>
          <t>OVANÅKER</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19684-2023</t>
        </is>
      </c>
      <c r="B6900" s="1" t="n">
        <v>45051</v>
      </c>
      <c r="C6900" s="1" t="n">
        <v>45677</v>
      </c>
      <c r="D6900" t="inlineStr">
        <is>
          <t>GÄVLEBORGS LÄN</t>
        </is>
      </c>
      <c r="E6900" t="inlineStr">
        <is>
          <t>HOFORS</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19757-2023</t>
        </is>
      </c>
      <c r="B6901" s="1" t="n">
        <v>45051</v>
      </c>
      <c r="C6901" s="1" t="n">
        <v>45677</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19637-2023</t>
        </is>
      </c>
      <c r="B6902" s="1" t="n">
        <v>45051</v>
      </c>
      <c r="C6902" s="1" t="n">
        <v>45677</v>
      </c>
      <c r="D6902" t="inlineStr">
        <is>
          <t>GÄVLEBORGS LÄN</t>
        </is>
      </c>
      <c r="E6902" t="inlineStr">
        <is>
          <t>BOLLNÄS</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19641-2023</t>
        </is>
      </c>
      <c r="B6903" s="1" t="n">
        <v>45051</v>
      </c>
      <c r="C6903" s="1" t="n">
        <v>45677</v>
      </c>
      <c r="D6903" t="inlineStr">
        <is>
          <t>GÄVLEBORGS LÄN</t>
        </is>
      </c>
      <c r="E6903" t="inlineStr">
        <is>
          <t>HUDIKSVALL</t>
        </is>
      </c>
      <c r="F6903" t="inlineStr">
        <is>
          <t>Holmen skog AB</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19657-2023</t>
        </is>
      </c>
      <c r="B6904" s="1" t="n">
        <v>45051</v>
      </c>
      <c r="C6904" s="1" t="n">
        <v>45677</v>
      </c>
      <c r="D6904" t="inlineStr">
        <is>
          <t>GÄVLEBORGS LÄN</t>
        </is>
      </c>
      <c r="E6904" t="inlineStr">
        <is>
          <t>OVANÅKER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19685-2023</t>
        </is>
      </c>
      <c r="B6905" s="1" t="n">
        <v>45051</v>
      </c>
      <c r="C6905" s="1" t="n">
        <v>45677</v>
      </c>
      <c r="D6905" t="inlineStr">
        <is>
          <t>GÄVLEBORGS LÄN</t>
        </is>
      </c>
      <c r="E6905" t="inlineStr">
        <is>
          <t>HOFORS</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19635-2023</t>
        </is>
      </c>
      <c r="B6906" s="1" t="n">
        <v>45051</v>
      </c>
      <c r="C6906" s="1" t="n">
        <v>45677</v>
      </c>
      <c r="D6906" t="inlineStr">
        <is>
          <t>GÄVLEBORGS LÄN</t>
        </is>
      </c>
      <c r="E6906" t="inlineStr">
        <is>
          <t>BOLLNÄS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19700-2023</t>
        </is>
      </c>
      <c r="B6907" s="1" t="n">
        <v>45051</v>
      </c>
      <c r="C6907" s="1" t="n">
        <v>45677</v>
      </c>
      <c r="D6907" t="inlineStr">
        <is>
          <t>GÄVLEBORGS LÄN</t>
        </is>
      </c>
      <c r="E6907" t="inlineStr">
        <is>
          <t>SÖDERHAMN</t>
        </is>
      </c>
      <c r="F6907" t="inlineStr">
        <is>
          <t>Bergvik skog väst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19687-2023</t>
        </is>
      </c>
      <c r="B6908" s="1" t="n">
        <v>45051</v>
      </c>
      <c r="C6908" s="1" t="n">
        <v>45677</v>
      </c>
      <c r="D6908" t="inlineStr">
        <is>
          <t>GÄVLEBORGS LÄN</t>
        </is>
      </c>
      <c r="E6908" t="inlineStr">
        <is>
          <t>HOFORS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19693-2023</t>
        </is>
      </c>
      <c r="B6909" s="1" t="n">
        <v>45051</v>
      </c>
      <c r="C6909" s="1" t="n">
        <v>45677</v>
      </c>
      <c r="D6909" t="inlineStr">
        <is>
          <t>GÄVLEBORGS LÄN</t>
        </is>
      </c>
      <c r="E6909" t="inlineStr">
        <is>
          <t>LJUSDAL</t>
        </is>
      </c>
      <c r="F6909" t="inlineStr">
        <is>
          <t>Holmen skog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19697-2023</t>
        </is>
      </c>
      <c r="B6910" s="1" t="n">
        <v>45051</v>
      </c>
      <c r="C6910" s="1" t="n">
        <v>45677</v>
      </c>
      <c r="D6910" t="inlineStr">
        <is>
          <t>GÄVLEBORGS LÄN</t>
        </is>
      </c>
      <c r="E6910" t="inlineStr">
        <is>
          <t>OCKELBO</t>
        </is>
      </c>
      <c r="F6910" t="inlineStr">
        <is>
          <t>Bergvik skog väst AB</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19738-2023</t>
        </is>
      </c>
      <c r="B6911" s="1" t="n">
        <v>45051</v>
      </c>
      <c r="C6911" s="1" t="n">
        <v>45677</v>
      </c>
      <c r="D6911" t="inlineStr">
        <is>
          <t>GÄVLEBORGS LÄN</t>
        </is>
      </c>
      <c r="E6911" t="inlineStr">
        <is>
          <t>HUDIKSVALL</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19773-2023</t>
        </is>
      </c>
      <c r="B6912" s="1" t="n">
        <v>45051</v>
      </c>
      <c r="C6912" s="1" t="n">
        <v>45677</v>
      </c>
      <c r="D6912" t="inlineStr">
        <is>
          <t>GÄVLEBORGS LÄN</t>
        </is>
      </c>
      <c r="E6912" t="inlineStr">
        <is>
          <t>SÖDERHAMN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19780-2023</t>
        </is>
      </c>
      <c r="B6913" s="1" t="n">
        <v>45051</v>
      </c>
      <c r="C6913" s="1" t="n">
        <v>45677</v>
      </c>
      <c r="D6913" t="inlineStr">
        <is>
          <t>GÄVLEBORGS LÄN</t>
        </is>
      </c>
      <c r="E6913" t="inlineStr">
        <is>
          <t>SANDVIKEN</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19728-2023</t>
        </is>
      </c>
      <c r="B6914" s="1" t="n">
        <v>45051</v>
      </c>
      <c r="C6914" s="1" t="n">
        <v>45677</v>
      </c>
      <c r="D6914" t="inlineStr">
        <is>
          <t>GÄVLEBORGS LÄN</t>
        </is>
      </c>
      <c r="E6914" t="inlineStr">
        <is>
          <t>SÖDERHAMN</t>
        </is>
      </c>
      <c r="F6914" t="inlineStr">
        <is>
          <t>Bergvik skog väst AB</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19736-2023</t>
        </is>
      </c>
      <c r="B6915" s="1" t="n">
        <v>45051</v>
      </c>
      <c r="C6915" s="1" t="n">
        <v>45677</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19759-2023</t>
        </is>
      </c>
      <c r="B6916" s="1" t="n">
        <v>45051</v>
      </c>
      <c r="C6916" s="1" t="n">
        <v>45677</v>
      </c>
      <c r="D6916" t="inlineStr">
        <is>
          <t>GÄVLEBORGS LÄN</t>
        </is>
      </c>
      <c r="E6916" t="inlineStr">
        <is>
          <t>SANDVIKEN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19850-2023</t>
        </is>
      </c>
      <c r="B6917" s="1" t="n">
        <v>45053</v>
      </c>
      <c r="C6917" s="1" t="n">
        <v>45677</v>
      </c>
      <c r="D6917" t="inlineStr">
        <is>
          <t>GÄVLEBORGS LÄN</t>
        </is>
      </c>
      <c r="E6917" t="inlineStr">
        <is>
          <t>HUDIKSVALL</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19874-2023</t>
        </is>
      </c>
      <c r="B6918" s="1" t="n">
        <v>45054</v>
      </c>
      <c r="C6918" s="1" t="n">
        <v>45677</v>
      </c>
      <c r="D6918" t="inlineStr">
        <is>
          <t>GÄVLEBORGS LÄN</t>
        </is>
      </c>
      <c r="E6918" t="inlineStr">
        <is>
          <t>GÄVLE</t>
        </is>
      </c>
      <c r="F6918" t="inlineStr">
        <is>
          <t>Bergvik skog väst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19886-2023</t>
        </is>
      </c>
      <c r="B6919" s="1" t="n">
        <v>45054</v>
      </c>
      <c r="C6919" s="1" t="n">
        <v>45677</v>
      </c>
      <c r="D6919" t="inlineStr">
        <is>
          <t>GÄVLEBORGS LÄN</t>
        </is>
      </c>
      <c r="E6919" t="inlineStr">
        <is>
          <t>OCKELBO</t>
        </is>
      </c>
      <c r="F6919" t="inlineStr">
        <is>
          <t>Bergvik skog väst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19924-2023</t>
        </is>
      </c>
      <c r="B6920" s="1" t="n">
        <v>45054</v>
      </c>
      <c r="C6920" s="1" t="n">
        <v>45677</v>
      </c>
      <c r="D6920" t="inlineStr">
        <is>
          <t>GÄVLEBORGS LÄN</t>
        </is>
      </c>
      <c r="E6920" t="inlineStr">
        <is>
          <t>OVANÅKER</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19931-2023</t>
        </is>
      </c>
      <c r="B6921" s="1" t="n">
        <v>45054</v>
      </c>
      <c r="C6921" s="1" t="n">
        <v>45677</v>
      </c>
      <c r="D6921" t="inlineStr">
        <is>
          <t>GÄVLEBORGS LÄN</t>
        </is>
      </c>
      <c r="E6921" t="inlineStr">
        <is>
          <t>HUDIKSVALL</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19921-2023</t>
        </is>
      </c>
      <c r="B6922" s="1" t="n">
        <v>45054</v>
      </c>
      <c r="C6922" s="1" t="n">
        <v>45677</v>
      </c>
      <c r="D6922" t="inlineStr">
        <is>
          <t>GÄVLEBORGS LÄN</t>
        </is>
      </c>
      <c r="E6922" t="inlineStr">
        <is>
          <t>HUDIKSVALL</t>
        </is>
      </c>
      <c r="F6922" t="inlineStr">
        <is>
          <t>Holmen skog AB</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19954-2023</t>
        </is>
      </c>
      <c r="B6923" s="1" t="n">
        <v>45054</v>
      </c>
      <c r="C6923" s="1" t="n">
        <v>45677</v>
      </c>
      <c r="D6923" t="inlineStr">
        <is>
          <t>GÄVLEBORGS LÄN</t>
        </is>
      </c>
      <c r="E6923" t="inlineStr">
        <is>
          <t>LJUSDAL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19979-2023</t>
        </is>
      </c>
      <c r="B6924" s="1" t="n">
        <v>45054</v>
      </c>
      <c r="C6924" s="1" t="n">
        <v>45677</v>
      </c>
      <c r="D6924" t="inlineStr">
        <is>
          <t>GÄVLEBORGS LÄN</t>
        </is>
      </c>
      <c r="E6924" t="inlineStr">
        <is>
          <t>HUDIKSVALL</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19909-2023</t>
        </is>
      </c>
      <c r="B6925" s="1" t="n">
        <v>45054</v>
      </c>
      <c r="C6925" s="1" t="n">
        <v>45677</v>
      </c>
      <c r="D6925" t="inlineStr">
        <is>
          <t>GÄVLEBORGS LÄN</t>
        </is>
      </c>
      <c r="E6925" t="inlineStr">
        <is>
          <t>OCKELBO</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19919-2023</t>
        </is>
      </c>
      <c r="B6926" s="1" t="n">
        <v>45054</v>
      </c>
      <c r="C6926" s="1" t="n">
        <v>45677</v>
      </c>
      <c r="D6926" t="inlineStr">
        <is>
          <t>GÄVLEBORGS LÄN</t>
        </is>
      </c>
      <c r="E6926" t="inlineStr">
        <is>
          <t>OCKELBO</t>
        </is>
      </c>
      <c r="F6926" t="inlineStr">
        <is>
          <t>Bergvik skog väst AB</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20016-2023</t>
        </is>
      </c>
      <c r="B6927" s="1" t="n">
        <v>45054</v>
      </c>
      <c r="C6927" s="1" t="n">
        <v>45677</v>
      </c>
      <c r="D6927" t="inlineStr">
        <is>
          <t>GÄVLEBORGS LÄN</t>
        </is>
      </c>
      <c r="E6927" t="inlineStr">
        <is>
          <t>LJUSDAL</t>
        </is>
      </c>
      <c r="F6927" t="inlineStr">
        <is>
          <t>Kommuner</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20064-2023</t>
        </is>
      </c>
      <c r="B6928" s="1" t="n">
        <v>45054</v>
      </c>
      <c r="C6928" s="1" t="n">
        <v>45677</v>
      </c>
      <c r="D6928" t="inlineStr">
        <is>
          <t>GÄVLEBORGS LÄN</t>
        </is>
      </c>
      <c r="E6928" t="inlineStr">
        <is>
          <t>SANDVIKEN</t>
        </is>
      </c>
      <c r="F6928" t="inlineStr">
        <is>
          <t>Sveaskog</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20062-2023</t>
        </is>
      </c>
      <c r="B6929" s="1" t="n">
        <v>45054</v>
      </c>
      <c r="C6929" s="1" t="n">
        <v>45677</v>
      </c>
      <c r="D6929" t="inlineStr">
        <is>
          <t>GÄVLEBORGS LÄN</t>
        </is>
      </c>
      <c r="E6929" t="inlineStr">
        <is>
          <t>SANDVIKEN</t>
        </is>
      </c>
      <c r="F6929" t="inlineStr">
        <is>
          <t>Sveaskog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20082-2023</t>
        </is>
      </c>
      <c r="B6930" s="1" t="n">
        <v>45055</v>
      </c>
      <c r="C6930" s="1" t="n">
        <v>45677</v>
      </c>
      <c r="D6930" t="inlineStr">
        <is>
          <t>GÄVLEBORGS LÄN</t>
        </is>
      </c>
      <c r="E6930" t="inlineStr">
        <is>
          <t>SÖDERHAMN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20085-2023</t>
        </is>
      </c>
      <c r="B6931" s="1" t="n">
        <v>45055</v>
      </c>
      <c r="C6931" s="1" t="n">
        <v>45677</v>
      </c>
      <c r="D6931" t="inlineStr">
        <is>
          <t>GÄVLEBORGS LÄN</t>
        </is>
      </c>
      <c r="E6931" t="inlineStr">
        <is>
          <t>SÖDERHAMN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19876-2023</t>
        </is>
      </c>
      <c r="B6932" s="1" t="n">
        <v>45054</v>
      </c>
      <c r="C6932" s="1" t="n">
        <v>45677</v>
      </c>
      <c r="D6932" t="inlineStr">
        <is>
          <t>GÄVLEBORGS LÄN</t>
        </is>
      </c>
      <c r="E6932" t="inlineStr">
        <is>
          <t>GÄVLE</t>
        </is>
      </c>
      <c r="F6932" t="inlineStr">
        <is>
          <t>Bergvik skog väst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19922-2023</t>
        </is>
      </c>
      <c r="B6933" s="1" t="n">
        <v>45054</v>
      </c>
      <c r="C6933" s="1" t="n">
        <v>45677</v>
      </c>
      <c r="D6933" t="inlineStr">
        <is>
          <t>GÄVLEBORGS LÄN</t>
        </is>
      </c>
      <c r="E6933" t="inlineStr">
        <is>
          <t>HUDIKSVALL</t>
        </is>
      </c>
      <c r="G6933" t="n">
        <v>10.5</v>
      </c>
      <c r="H6933" t="n">
        <v>0</v>
      </c>
      <c r="I6933" t="n">
        <v>0</v>
      </c>
      <c r="J6933" t="n">
        <v>0</v>
      </c>
      <c r="K6933" t="n">
        <v>0</v>
      </c>
      <c r="L6933" t="n">
        <v>0</v>
      </c>
      <c r="M6933" t="n">
        <v>0</v>
      </c>
      <c r="N6933" t="n">
        <v>0</v>
      </c>
      <c r="O6933" t="n">
        <v>0</v>
      </c>
      <c r="P6933" t="n">
        <v>0</v>
      </c>
      <c r="Q6933" t="n">
        <v>0</v>
      </c>
      <c r="R6933" s="2" t="inlineStr"/>
    </row>
    <row r="6934" ht="15" customHeight="1">
      <c r="A6934" t="inlineStr">
        <is>
          <t>A 20065-2023</t>
        </is>
      </c>
      <c r="B6934" s="1" t="n">
        <v>45054</v>
      </c>
      <c r="C6934" s="1" t="n">
        <v>45677</v>
      </c>
      <c r="D6934" t="inlineStr">
        <is>
          <t>GÄVLEBORGS LÄN</t>
        </is>
      </c>
      <c r="E6934" t="inlineStr">
        <is>
          <t>SANDVIKEN</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20219-2023</t>
        </is>
      </c>
      <c r="B6935" s="1" t="n">
        <v>45055</v>
      </c>
      <c r="C6935" s="1" t="n">
        <v>45677</v>
      </c>
      <c r="D6935" t="inlineStr">
        <is>
          <t>GÄVLEBORGS LÄN</t>
        </is>
      </c>
      <c r="E6935" t="inlineStr">
        <is>
          <t>LJUSDAL</t>
        </is>
      </c>
      <c r="F6935" t="inlineStr">
        <is>
          <t>Bergvik skog väst AB</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20137-2023</t>
        </is>
      </c>
      <c r="B6936" s="1" t="n">
        <v>45055</v>
      </c>
      <c r="C6936" s="1" t="n">
        <v>45677</v>
      </c>
      <c r="D6936" t="inlineStr">
        <is>
          <t>GÄVLEBORGS LÄN</t>
        </is>
      </c>
      <c r="E6936" t="inlineStr">
        <is>
          <t>NORDANSTIG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20208-2023</t>
        </is>
      </c>
      <c r="B6937" s="1" t="n">
        <v>45055</v>
      </c>
      <c r="C6937" s="1" t="n">
        <v>45677</v>
      </c>
      <c r="D6937" t="inlineStr">
        <is>
          <t>GÄVLEBORGS LÄN</t>
        </is>
      </c>
      <c r="E6937" t="inlineStr">
        <is>
          <t>HUDIKSVALL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20171-2023</t>
        </is>
      </c>
      <c r="B6938" s="1" t="n">
        <v>45055</v>
      </c>
      <c r="C6938" s="1" t="n">
        <v>45677</v>
      </c>
      <c r="D6938" t="inlineStr">
        <is>
          <t>GÄVLEBORGS LÄN</t>
        </is>
      </c>
      <c r="E6938" t="inlineStr">
        <is>
          <t>LJUSDAL</t>
        </is>
      </c>
      <c r="F6938" t="inlineStr">
        <is>
          <t>Sveaskog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20200-2023</t>
        </is>
      </c>
      <c r="B6939" s="1" t="n">
        <v>45055</v>
      </c>
      <c r="C6939" s="1" t="n">
        <v>45677</v>
      </c>
      <c r="D6939" t="inlineStr">
        <is>
          <t>GÄVLEBORGS LÄN</t>
        </is>
      </c>
      <c r="E6939" t="inlineStr">
        <is>
          <t>HUDIKSVALL</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20204-2023</t>
        </is>
      </c>
      <c r="B6940" s="1" t="n">
        <v>45055</v>
      </c>
      <c r="C6940" s="1" t="n">
        <v>45677</v>
      </c>
      <c r="D6940" t="inlineStr">
        <is>
          <t>GÄVLEBORGS LÄN</t>
        </is>
      </c>
      <c r="E6940" t="inlineStr">
        <is>
          <t>LJUSDAL</t>
        </is>
      </c>
      <c r="F6940" t="inlineStr">
        <is>
          <t>Allmännings- och besparingsskogar</t>
        </is>
      </c>
      <c r="G6940" t="n">
        <v>18.5</v>
      </c>
      <c r="H6940" t="n">
        <v>0</v>
      </c>
      <c r="I6940" t="n">
        <v>0</v>
      </c>
      <c r="J6940" t="n">
        <v>0</v>
      </c>
      <c r="K6940" t="n">
        <v>0</v>
      </c>
      <c r="L6940" t="n">
        <v>0</v>
      </c>
      <c r="M6940" t="n">
        <v>0</v>
      </c>
      <c r="N6940" t="n">
        <v>0</v>
      </c>
      <c r="O6940" t="n">
        <v>0</v>
      </c>
      <c r="P6940" t="n">
        <v>0</v>
      </c>
      <c r="Q6940" t="n">
        <v>0</v>
      </c>
      <c r="R6940" s="2" t="inlineStr"/>
    </row>
    <row r="6941" ht="15" customHeight="1">
      <c r="A6941" t="inlineStr">
        <is>
          <t>A 20235-2023</t>
        </is>
      </c>
      <c r="B6941" s="1" t="n">
        <v>45055</v>
      </c>
      <c r="C6941" s="1" t="n">
        <v>45677</v>
      </c>
      <c r="D6941" t="inlineStr">
        <is>
          <t>GÄVLEBORGS LÄN</t>
        </is>
      </c>
      <c r="E6941" t="inlineStr">
        <is>
          <t>HUDIKSVALL</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20257-2023</t>
        </is>
      </c>
      <c r="B6942" s="1" t="n">
        <v>45055</v>
      </c>
      <c r="C6942" s="1" t="n">
        <v>45677</v>
      </c>
      <c r="D6942" t="inlineStr">
        <is>
          <t>GÄVLEBORGS LÄN</t>
        </is>
      </c>
      <c r="E6942" t="inlineStr">
        <is>
          <t>HUDIKSVALL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20315-2023</t>
        </is>
      </c>
      <c r="B6943" s="1" t="n">
        <v>45056</v>
      </c>
      <c r="C6943" s="1" t="n">
        <v>45677</v>
      </c>
      <c r="D6943" t="inlineStr">
        <is>
          <t>GÄVLEBORGS LÄN</t>
        </is>
      </c>
      <c r="E6943" t="inlineStr">
        <is>
          <t>SANDVIKEN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20361-2023</t>
        </is>
      </c>
      <c r="B6944" s="1" t="n">
        <v>45056</v>
      </c>
      <c r="C6944" s="1" t="n">
        <v>45677</v>
      </c>
      <c r="D6944" t="inlineStr">
        <is>
          <t>GÄVLEBORGS LÄN</t>
        </is>
      </c>
      <c r="E6944" t="inlineStr">
        <is>
          <t>GÄVLE</t>
        </is>
      </c>
      <c r="F6944" t="inlineStr">
        <is>
          <t>Bergvik skog öst AB</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20433-2023</t>
        </is>
      </c>
      <c r="B6945" s="1" t="n">
        <v>45056</v>
      </c>
      <c r="C6945" s="1" t="n">
        <v>45677</v>
      </c>
      <c r="D6945" t="inlineStr">
        <is>
          <t>GÄVLEBORGS LÄN</t>
        </is>
      </c>
      <c r="E6945" t="inlineStr">
        <is>
          <t>NORDANSTIG</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20388-2023</t>
        </is>
      </c>
      <c r="B6946" s="1" t="n">
        <v>45056</v>
      </c>
      <c r="C6946" s="1" t="n">
        <v>45677</v>
      </c>
      <c r="D6946" t="inlineStr">
        <is>
          <t>GÄVLEBORGS LÄN</t>
        </is>
      </c>
      <c r="E6946" t="inlineStr">
        <is>
          <t>OCKELBO</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20286-2023</t>
        </is>
      </c>
      <c r="B6947" s="1" t="n">
        <v>45056</v>
      </c>
      <c r="C6947" s="1" t="n">
        <v>45677</v>
      </c>
      <c r="D6947" t="inlineStr">
        <is>
          <t>GÄVLEBORGS LÄN</t>
        </is>
      </c>
      <c r="E6947" t="inlineStr">
        <is>
          <t>SÖDERHAMN</t>
        </is>
      </c>
      <c r="F6947" t="inlineStr">
        <is>
          <t>Bergvik skog väst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20313-2023</t>
        </is>
      </c>
      <c r="B6948" s="1" t="n">
        <v>45056</v>
      </c>
      <c r="C6948" s="1" t="n">
        <v>45677</v>
      </c>
      <c r="D6948" t="inlineStr">
        <is>
          <t>GÄVLEBORGS LÄN</t>
        </is>
      </c>
      <c r="E6948" t="inlineStr">
        <is>
          <t>HUDIKSVALL</t>
        </is>
      </c>
      <c r="F6948" t="inlineStr">
        <is>
          <t>Kommuner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20331-2023</t>
        </is>
      </c>
      <c r="B6949" s="1" t="n">
        <v>45056</v>
      </c>
      <c r="C6949" s="1" t="n">
        <v>45677</v>
      </c>
      <c r="D6949" t="inlineStr">
        <is>
          <t>GÄVLEBORGS LÄN</t>
        </is>
      </c>
      <c r="E6949" t="inlineStr">
        <is>
          <t>OVANÅKER</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20390-2023</t>
        </is>
      </c>
      <c r="B6950" s="1" t="n">
        <v>45056</v>
      </c>
      <c r="C6950" s="1" t="n">
        <v>45677</v>
      </c>
      <c r="D6950" t="inlineStr">
        <is>
          <t>GÄVLEBORGS LÄN</t>
        </is>
      </c>
      <c r="E6950" t="inlineStr">
        <is>
          <t>OCKELBO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20407-2023</t>
        </is>
      </c>
      <c r="B6951" s="1" t="n">
        <v>45056</v>
      </c>
      <c r="C6951" s="1" t="n">
        <v>45677</v>
      </c>
      <c r="D6951" t="inlineStr">
        <is>
          <t>GÄVLEBORGS LÄN</t>
        </is>
      </c>
      <c r="E6951" t="inlineStr">
        <is>
          <t>OCKELBO</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20287-2023</t>
        </is>
      </c>
      <c r="B6952" s="1" t="n">
        <v>45056</v>
      </c>
      <c r="C6952" s="1" t="n">
        <v>45677</v>
      </c>
      <c r="D6952" t="inlineStr">
        <is>
          <t>GÄVLEBORGS LÄN</t>
        </is>
      </c>
      <c r="E6952" t="inlineStr">
        <is>
          <t>HUDIKSVALL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20408-2023</t>
        </is>
      </c>
      <c r="B6953" s="1" t="n">
        <v>45056</v>
      </c>
      <c r="C6953" s="1" t="n">
        <v>45677</v>
      </c>
      <c r="D6953" t="inlineStr">
        <is>
          <t>GÄVLEBORGS LÄN</t>
        </is>
      </c>
      <c r="E6953" t="inlineStr">
        <is>
          <t>LJUSDAL</t>
        </is>
      </c>
      <c r="F6953" t="inlineStr">
        <is>
          <t>Sveaskog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20412-2023</t>
        </is>
      </c>
      <c r="B6954" s="1" t="n">
        <v>45056</v>
      </c>
      <c r="C6954" s="1" t="n">
        <v>45677</v>
      </c>
      <c r="D6954" t="inlineStr">
        <is>
          <t>GÄVLEBORGS LÄN</t>
        </is>
      </c>
      <c r="E6954" t="inlineStr">
        <is>
          <t>LJUSDAL</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20441-2023</t>
        </is>
      </c>
      <c r="B6955" s="1" t="n">
        <v>45056</v>
      </c>
      <c r="C6955" s="1" t="n">
        <v>45677</v>
      </c>
      <c r="D6955" t="inlineStr">
        <is>
          <t>GÄVLEBORGS LÄN</t>
        </is>
      </c>
      <c r="E6955" t="inlineStr">
        <is>
          <t>NORDANSTIG</t>
        </is>
      </c>
      <c r="F6955" t="inlineStr">
        <is>
          <t>Holmen skog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20557-2023</t>
        </is>
      </c>
      <c r="B6956" s="1" t="n">
        <v>45057</v>
      </c>
      <c r="C6956" s="1" t="n">
        <v>45677</v>
      </c>
      <c r="D6956" t="inlineStr">
        <is>
          <t>GÄVLEBORGS LÄN</t>
        </is>
      </c>
      <c r="E6956" t="inlineStr">
        <is>
          <t>BOLLNÄS</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20560-2023</t>
        </is>
      </c>
      <c r="B6957" s="1" t="n">
        <v>45057</v>
      </c>
      <c r="C6957" s="1" t="n">
        <v>45677</v>
      </c>
      <c r="D6957" t="inlineStr">
        <is>
          <t>GÄVLEBORGS LÄN</t>
        </is>
      </c>
      <c r="E6957" t="inlineStr">
        <is>
          <t>BOLLNÄS</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20589-2023</t>
        </is>
      </c>
      <c r="B6958" s="1" t="n">
        <v>45057</v>
      </c>
      <c r="C6958" s="1" t="n">
        <v>45677</v>
      </c>
      <c r="D6958" t="inlineStr">
        <is>
          <t>GÄVLEBORGS LÄN</t>
        </is>
      </c>
      <c r="E6958" t="inlineStr">
        <is>
          <t>HUDIKSVALL</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20682-2023</t>
        </is>
      </c>
      <c r="B6959" s="1" t="n">
        <v>45058</v>
      </c>
      <c r="C6959" s="1" t="n">
        <v>45677</v>
      </c>
      <c r="D6959" t="inlineStr">
        <is>
          <t>GÄVLEBORGS LÄN</t>
        </is>
      </c>
      <c r="E6959" t="inlineStr">
        <is>
          <t>GÄVLE</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20711-2023</t>
        </is>
      </c>
      <c r="B6960" s="1" t="n">
        <v>45058</v>
      </c>
      <c r="C6960" s="1" t="n">
        <v>45677</v>
      </c>
      <c r="D6960" t="inlineStr">
        <is>
          <t>GÄVLEBORGS LÄN</t>
        </is>
      </c>
      <c r="E6960" t="inlineStr">
        <is>
          <t>HUDIKSVALL</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20655-2023</t>
        </is>
      </c>
      <c r="B6961" s="1" t="n">
        <v>45058</v>
      </c>
      <c r="C6961" s="1" t="n">
        <v>45677</v>
      </c>
      <c r="D6961" t="inlineStr">
        <is>
          <t>GÄVLEBORGS LÄN</t>
        </is>
      </c>
      <c r="E6961" t="inlineStr">
        <is>
          <t>LJUSDAL</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20814-2023</t>
        </is>
      </c>
      <c r="B6962" s="1" t="n">
        <v>45058</v>
      </c>
      <c r="C6962" s="1" t="n">
        <v>45677</v>
      </c>
      <c r="D6962" t="inlineStr">
        <is>
          <t>GÄVLEBORGS LÄN</t>
        </is>
      </c>
      <c r="E6962" t="inlineStr">
        <is>
          <t>OCKELBO</t>
        </is>
      </c>
      <c r="F6962" t="inlineStr">
        <is>
          <t>Bergvik skog väst AB</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20747-2023</t>
        </is>
      </c>
      <c r="B6963" s="1" t="n">
        <v>45058</v>
      </c>
      <c r="C6963" s="1" t="n">
        <v>45677</v>
      </c>
      <c r="D6963" t="inlineStr">
        <is>
          <t>GÄVLEBORGS LÄN</t>
        </is>
      </c>
      <c r="E6963" t="inlineStr">
        <is>
          <t>NORDANSTIG</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20778-2023</t>
        </is>
      </c>
      <c r="B6964" s="1" t="n">
        <v>45058</v>
      </c>
      <c r="C6964" s="1" t="n">
        <v>45677</v>
      </c>
      <c r="D6964" t="inlineStr">
        <is>
          <t>GÄVLEBORGS LÄN</t>
        </is>
      </c>
      <c r="E6964" t="inlineStr">
        <is>
          <t>BOLLNÄS</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21318-2023</t>
        </is>
      </c>
      <c r="B6965" s="1" t="n">
        <v>45058</v>
      </c>
      <c r="C6965" s="1" t="n">
        <v>45677</v>
      </c>
      <c r="D6965" t="inlineStr">
        <is>
          <t>GÄVLEBORGS LÄN</t>
        </is>
      </c>
      <c r="E6965" t="inlineStr">
        <is>
          <t>SANDVIKEN</t>
        </is>
      </c>
      <c r="F6965" t="inlineStr">
        <is>
          <t>Bergvik skog väst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21376-2023</t>
        </is>
      </c>
      <c r="B6966" s="1" t="n">
        <v>45058</v>
      </c>
      <c r="C6966" s="1" t="n">
        <v>45677</v>
      </c>
      <c r="D6966" t="inlineStr">
        <is>
          <t>GÄVLEBORGS LÄN</t>
        </is>
      </c>
      <c r="E6966" t="inlineStr">
        <is>
          <t>SANDVIKEN</t>
        </is>
      </c>
      <c r="F6966" t="inlineStr">
        <is>
          <t>Bergvik skog väst AB</t>
        </is>
      </c>
      <c r="G6966" t="n">
        <v>36.1</v>
      </c>
      <c r="H6966" t="n">
        <v>0</v>
      </c>
      <c r="I6966" t="n">
        <v>0</v>
      </c>
      <c r="J6966" t="n">
        <v>0</v>
      </c>
      <c r="K6966" t="n">
        <v>0</v>
      </c>
      <c r="L6966" t="n">
        <v>0</v>
      </c>
      <c r="M6966" t="n">
        <v>0</v>
      </c>
      <c r="N6966" t="n">
        <v>0</v>
      </c>
      <c r="O6966" t="n">
        <v>0</v>
      </c>
      <c r="P6966" t="n">
        <v>0</v>
      </c>
      <c r="Q6966" t="n">
        <v>0</v>
      </c>
      <c r="R6966" s="2" t="inlineStr"/>
    </row>
    <row r="6967" ht="15" customHeight="1">
      <c r="A6967" t="inlineStr">
        <is>
          <t>A 20909-2023</t>
        </is>
      </c>
      <c r="B6967" s="1" t="n">
        <v>45060</v>
      </c>
      <c r="C6967" s="1" t="n">
        <v>45677</v>
      </c>
      <c r="D6967" t="inlineStr">
        <is>
          <t>GÄVLEBORGS LÄN</t>
        </is>
      </c>
      <c r="E6967" t="inlineStr">
        <is>
          <t>LJUSDAL</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20955-2023</t>
        </is>
      </c>
      <c r="B6968" s="1" t="n">
        <v>45061</v>
      </c>
      <c r="C6968" s="1" t="n">
        <v>45677</v>
      </c>
      <c r="D6968" t="inlineStr">
        <is>
          <t>GÄVLEBORGS LÄN</t>
        </is>
      </c>
      <c r="E6968" t="inlineStr">
        <is>
          <t>NORDANSTIG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20969-2023</t>
        </is>
      </c>
      <c r="B6969" s="1" t="n">
        <v>45061</v>
      </c>
      <c r="C6969" s="1" t="n">
        <v>45677</v>
      </c>
      <c r="D6969" t="inlineStr">
        <is>
          <t>GÄVLEBORGS LÄN</t>
        </is>
      </c>
      <c r="E6969" t="inlineStr">
        <is>
          <t>SANDVIKEN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20988-2023</t>
        </is>
      </c>
      <c r="B6970" s="1" t="n">
        <v>45061</v>
      </c>
      <c r="C6970" s="1" t="n">
        <v>45677</v>
      </c>
      <c r="D6970" t="inlineStr">
        <is>
          <t>GÄVLEBORGS LÄN</t>
        </is>
      </c>
      <c r="E6970" t="inlineStr">
        <is>
          <t>LJUSDAL</t>
        </is>
      </c>
      <c r="F6970" t="inlineStr">
        <is>
          <t>Bergvik skog väst AB</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20912-2023</t>
        </is>
      </c>
      <c r="B6971" s="1" t="n">
        <v>45061</v>
      </c>
      <c r="C6971" s="1" t="n">
        <v>45677</v>
      </c>
      <c r="D6971" t="inlineStr">
        <is>
          <t>GÄVLEBORGS LÄN</t>
        </is>
      </c>
      <c r="E6971" t="inlineStr">
        <is>
          <t>LJUSDAL</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21040-2023</t>
        </is>
      </c>
      <c r="B6972" s="1" t="n">
        <v>45061</v>
      </c>
      <c r="C6972" s="1" t="n">
        <v>45677</v>
      </c>
      <c r="D6972" t="inlineStr">
        <is>
          <t>GÄVLEBORGS LÄN</t>
        </is>
      </c>
      <c r="E6972" t="inlineStr">
        <is>
          <t>HUDIKSVALL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21061-2023</t>
        </is>
      </c>
      <c r="B6973" s="1" t="n">
        <v>45061</v>
      </c>
      <c r="C6973" s="1" t="n">
        <v>45677</v>
      </c>
      <c r="D6973" t="inlineStr">
        <is>
          <t>GÄVLEBORGS LÄN</t>
        </is>
      </c>
      <c r="E6973" t="inlineStr">
        <is>
          <t>BOLLNÄS</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20963-2023</t>
        </is>
      </c>
      <c r="B6974" s="1" t="n">
        <v>45061</v>
      </c>
      <c r="C6974" s="1" t="n">
        <v>45677</v>
      </c>
      <c r="D6974" t="inlineStr">
        <is>
          <t>GÄVLEBORGS LÄN</t>
        </is>
      </c>
      <c r="E6974" t="inlineStr">
        <is>
          <t>HUDIKSVALL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20914-2023</t>
        </is>
      </c>
      <c r="B6975" s="1" t="n">
        <v>45061</v>
      </c>
      <c r="C6975" s="1" t="n">
        <v>45677</v>
      </c>
      <c r="D6975" t="inlineStr">
        <is>
          <t>GÄVLEBORGS LÄN</t>
        </is>
      </c>
      <c r="E6975" t="inlineStr">
        <is>
          <t>LJUSDAL</t>
        </is>
      </c>
      <c r="F6975" t="inlineStr">
        <is>
          <t>Allmännings- och besparingsskogar</t>
        </is>
      </c>
      <c r="G6975" t="n">
        <v>35.5</v>
      </c>
      <c r="H6975" t="n">
        <v>0</v>
      </c>
      <c r="I6975" t="n">
        <v>0</v>
      </c>
      <c r="J6975" t="n">
        <v>0</v>
      </c>
      <c r="K6975" t="n">
        <v>0</v>
      </c>
      <c r="L6975" t="n">
        <v>0</v>
      </c>
      <c r="M6975" t="n">
        <v>0</v>
      </c>
      <c r="N6975" t="n">
        <v>0</v>
      </c>
      <c r="O6975" t="n">
        <v>0</v>
      </c>
      <c r="P6975" t="n">
        <v>0</v>
      </c>
      <c r="Q6975" t="n">
        <v>0</v>
      </c>
      <c r="R6975" s="2" t="inlineStr"/>
    </row>
    <row r="6976" ht="15" customHeight="1">
      <c r="A6976" t="inlineStr">
        <is>
          <t>A 20910-2023</t>
        </is>
      </c>
      <c r="B6976" s="1" t="n">
        <v>45061</v>
      </c>
      <c r="C6976" s="1" t="n">
        <v>45677</v>
      </c>
      <c r="D6976" t="inlineStr">
        <is>
          <t>GÄVLEBORGS LÄN</t>
        </is>
      </c>
      <c r="E6976" t="inlineStr">
        <is>
          <t>LJUSDAL</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21153-2023</t>
        </is>
      </c>
      <c r="B6977" s="1" t="n">
        <v>45062</v>
      </c>
      <c r="C6977" s="1" t="n">
        <v>45677</v>
      </c>
      <c r="D6977" t="inlineStr">
        <is>
          <t>GÄVLEBORGS LÄN</t>
        </is>
      </c>
      <c r="E6977" t="inlineStr">
        <is>
          <t>NORDANSTIG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21178-2023</t>
        </is>
      </c>
      <c r="B6978" s="1" t="n">
        <v>45062</v>
      </c>
      <c r="C6978" s="1" t="n">
        <v>45677</v>
      </c>
      <c r="D6978" t="inlineStr">
        <is>
          <t>GÄVLEBORGS LÄN</t>
        </is>
      </c>
      <c r="E6978" t="inlineStr">
        <is>
          <t>NORDANSTIG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21125-2023</t>
        </is>
      </c>
      <c r="B6979" s="1" t="n">
        <v>45062</v>
      </c>
      <c r="C6979" s="1" t="n">
        <v>45677</v>
      </c>
      <c r="D6979" t="inlineStr">
        <is>
          <t>GÄVLEBORGS LÄN</t>
        </is>
      </c>
      <c r="E6979" t="inlineStr">
        <is>
          <t>LJUSDAL</t>
        </is>
      </c>
      <c r="F6979" t="inlineStr">
        <is>
          <t>Holmen skog AB</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21176-2023</t>
        </is>
      </c>
      <c r="B6980" s="1" t="n">
        <v>45062</v>
      </c>
      <c r="C6980" s="1" t="n">
        <v>45677</v>
      </c>
      <c r="D6980" t="inlineStr">
        <is>
          <t>GÄVLEBORGS LÄN</t>
        </is>
      </c>
      <c r="E6980" t="inlineStr">
        <is>
          <t>NORDANSTIG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21260-2023</t>
        </is>
      </c>
      <c r="B6981" s="1" t="n">
        <v>45062</v>
      </c>
      <c r="C6981" s="1" t="n">
        <v>45677</v>
      </c>
      <c r="D6981" t="inlineStr">
        <is>
          <t>GÄVLEBORGS LÄN</t>
        </is>
      </c>
      <c r="E6981" t="inlineStr">
        <is>
          <t>BOLLNÄS</t>
        </is>
      </c>
      <c r="F6981" t="inlineStr">
        <is>
          <t>Bergvik skog väst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21268-2023</t>
        </is>
      </c>
      <c r="B6982" s="1" t="n">
        <v>45062</v>
      </c>
      <c r="C6982" s="1" t="n">
        <v>45677</v>
      </c>
      <c r="D6982" t="inlineStr">
        <is>
          <t>GÄVLEBORGS LÄN</t>
        </is>
      </c>
      <c r="E6982" t="inlineStr">
        <is>
          <t>SÖDERHAMN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21251-2023</t>
        </is>
      </c>
      <c r="B6983" s="1" t="n">
        <v>45062</v>
      </c>
      <c r="C6983" s="1" t="n">
        <v>45677</v>
      </c>
      <c r="D6983" t="inlineStr">
        <is>
          <t>GÄVLEBORGS LÄN</t>
        </is>
      </c>
      <c r="E6983" t="inlineStr">
        <is>
          <t>HUDIKSVALL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21270-2023</t>
        </is>
      </c>
      <c r="B6984" s="1" t="n">
        <v>45062</v>
      </c>
      <c r="C6984" s="1" t="n">
        <v>45677</v>
      </c>
      <c r="D6984" t="inlineStr">
        <is>
          <t>GÄVLEBORGS LÄN</t>
        </is>
      </c>
      <c r="E6984" t="inlineStr">
        <is>
          <t>BOLLNÄS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21275-2023</t>
        </is>
      </c>
      <c r="B6985" s="1" t="n">
        <v>45062</v>
      </c>
      <c r="C6985" s="1" t="n">
        <v>45677</v>
      </c>
      <c r="D6985" t="inlineStr">
        <is>
          <t>GÄVLEBORGS LÄN</t>
        </is>
      </c>
      <c r="E6985" t="inlineStr">
        <is>
          <t>BOLLNÄS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21253-2023</t>
        </is>
      </c>
      <c r="B6986" s="1" t="n">
        <v>45062</v>
      </c>
      <c r="C6986" s="1" t="n">
        <v>45677</v>
      </c>
      <c r="D6986" t="inlineStr">
        <is>
          <t>GÄVLEBORGS LÄN</t>
        </is>
      </c>
      <c r="E6986" t="inlineStr">
        <is>
          <t>OCKELBO</t>
        </is>
      </c>
      <c r="F6986" t="inlineStr">
        <is>
          <t>Bergvik skog väst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21272-2023</t>
        </is>
      </c>
      <c r="B6987" s="1" t="n">
        <v>45062</v>
      </c>
      <c r="C6987" s="1" t="n">
        <v>45677</v>
      </c>
      <c r="D6987" t="inlineStr">
        <is>
          <t>GÄVLEBORGS LÄN</t>
        </is>
      </c>
      <c r="E6987" t="inlineStr">
        <is>
          <t>SÖDERHAMN</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21283-2023</t>
        </is>
      </c>
      <c r="B6988" s="1" t="n">
        <v>45062</v>
      </c>
      <c r="C6988" s="1" t="n">
        <v>45677</v>
      </c>
      <c r="D6988" t="inlineStr">
        <is>
          <t>GÄVLEBORGS LÄN</t>
        </is>
      </c>
      <c r="E6988" t="inlineStr">
        <is>
          <t>SÖDERHAMN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21305-2023</t>
        </is>
      </c>
      <c r="B6989" s="1" t="n">
        <v>45062</v>
      </c>
      <c r="C6989" s="1" t="n">
        <v>45677</v>
      </c>
      <c r="D6989" t="inlineStr">
        <is>
          <t>GÄVLEBORGS LÄN</t>
        </is>
      </c>
      <c r="E6989" t="inlineStr">
        <is>
          <t>HUDIKSVALL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21611-2023</t>
        </is>
      </c>
      <c r="B6990" s="1" t="n">
        <v>45062</v>
      </c>
      <c r="C6990" s="1" t="n">
        <v>45677</v>
      </c>
      <c r="D6990" t="inlineStr">
        <is>
          <t>GÄVLEBORGS LÄN</t>
        </is>
      </c>
      <c r="E6990" t="inlineStr">
        <is>
          <t>HUDIKSVALL</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21428-2023</t>
        </is>
      </c>
      <c r="B6991" s="1" t="n">
        <v>45063</v>
      </c>
      <c r="C6991" s="1" t="n">
        <v>45677</v>
      </c>
      <c r="D6991" t="inlineStr">
        <is>
          <t>GÄVLEBORGS LÄN</t>
        </is>
      </c>
      <c r="E6991" t="inlineStr">
        <is>
          <t>NORDANSTIG</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21459-2023</t>
        </is>
      </c>
      <c r="B6992" s="1" t="n">
        <v>45063</v>
      </c>
      <c r="C6992" s="1" t="n">
        <v>45677</v>
      </c>
      <c r="D6992" t="inlineStr">
        <is>
          <t>GÄVLEBORGS LÄN</t>
        </is>
      </c>
      <c r="E6992" t="inlineStr">
        <is>
          <t>HUDIKSVALL</t>
        </is>
      </c>
      <c r="F6992" t="inlineStr">
        <is>
          <t>Holmen skog AB</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21473-2023</t>
        </is>
      </c>
      <c r="B6993" s="1" t="n">
        <v>45063</v>
      </c>
      <c r="C6993" s="1" t="n">
        <v>45677</v>
      </c>
      <c r="D6993" t="inlineStr">
        <is>
          <t>GÄVLEBORGS LÄN</t>
        </is>
      </c>
      <c r="E6993" t="inlineStr">
        <is>
          <t>NORDANSTIG</t>
        </is>
      </c>
      <c r="F6993" t="inlineStr">
        <is>
          <t>Holmen skog AB</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21381-2023</t>
        </is>
      </c>
      <c r="B6994" s="1" t="n">
        <v>45063</v>
      </c>
      <c r="C6994" s="1" t="n">
        <v>45677</v>
      </c>
      <c r="D6994" t="inlineStr">
        <is>
          <t>GÄVLEBORGS LÄN</t>
        </is>
      </c>
      <c r="E6994" t="inlineStr">
        <is>
          <t>OVANÅKER</t>
        </is>
      </c>
      <c r="F6994" t="inlineStr">
        <is>
          <t>Sveaskog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21401-2023</t>
        </is>
      </c>
      <c r="B6995" s="1" t="n">
        <v>45063</v>
      </c>
      <c r="C6995" s="1" t="n">
        <v>45677</v>
      </c>
      <c r="D6995" t="inlineStr">
        <is>
          <t>GÄVLEBORGS LÄN</t>
        </is>
      </c>
      <c r="E6995" t="inlineStr">
        <is>
          <t>OCKELBO</t>
        </is>
      </c>
      <c r="F6995" t="inlineStr">
        <is>
          <t>Bergvik skog väst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21380-2023</t>
        </is>
      </c>
      <c r="B6996" s="1" t="n">
        <v>45063</v>
      </c>
      <c r="C6996" s="1" t="n">
        <v>45677</v>
      </c>
      <c r="D6996" t="inlineStr">
        <is>
          <t>GÄVLEBORGS LÄN</t>
        </is>
      </c>
      <c r="E6996" t="inlineStr">
        <is>
          <t>OVANÅKER</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21452-2023</t>
        </is>
      </c>
      <c r="B6997" s="1" t="n">
        <v>45063</v>
      </c>
      <c r="C6997" s="1" t="n">
        <v>45677</v>
      </c>
      <c r="D6997" t="inlineStr">
        <is>
          <t>GÄVLEBORGS LÄN</t>
        </is>
      </c>
      <c r="E6997" t="inlineStr">
        <is>
          <t>HUDIKSVALL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21391-2023</t>
        </is>
      </c>
      <c r="B6998" s="1" t="n">
        <v>45063</v>
      </c>
      <c r="C6998" s="1" t="n">
        <v>45677</v>
      </c>
      <c r="D6998" t="inlineStr">
        <is>
          <t>GÄVLEBORGS LÄN</t>
        </is>
      </c>
      <c r="E6998" t="inlineStr">
        <is>
          <t>SÖDERHAMN</t>
        </is>
      </c>
      <c r="F6998" t="inlineStr">
        <is>
          <t>Bergvik skog väst AB</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21456-2023</t>
        </is>
      </c>
      <c r="B6999" s="1" t="n">
        <v>45063</v>
      </c>
      <c r="C6999" s="1" t="n">
        <v>45677</v>
      </c>
      <c r="D6999" t="inlineStr">
        <is>
          <t>GÄVLEBORGS LÄN</t>
        </is>
      </c>
      <c r="E6999" t="inlineStr">
        <is>
          <t>SANDVIKEN</t>
        </is>
      </c>
      <c r="F6999" t="inlineStr">
        <is>
          <t>Kommuner</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21475-2023</t>
        </is>
      </c>
      <c r="B7000" s="1" t="n">
        <v>45063</v>
      </c>
      <c r="C7000" s="1" t="n">
        <v>45677</v>
      </c>
      <c r="D7000" t="inlineStr">
        <is>
          <t>GÄVLEBORGS LÄN</t>
        </is>
      </c>
      <c r="E7000" t="inlineStr">
        <is>
          <t>LJUSDAL</t>
        </is>
      </c>
      <c r="F7000" t="inlineStr">
        <is>
          <t>Sveaskog</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21383-2023</t>
        </is>
      </c>
      <c r="B7001" s="1" t="n">
        <v>45063</v>
      </c>
      <c r="C7001" s="1" t="n">
        <v>45677</v>
      </c>
      <c r="D7001" t="inlineStr">
        <is>
          <t>GÄVLEBORGS LÄN</t>
        </is>
      </c>
      <c r="E7001" t="inlineStr">
        <is>
          <t>OCKELBO</t>
        </is>
      </c>
      <c r="F7001" t="inlineStr">
        <is>
          <t>Bergvik skog väst AB</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21526-2023</t>
        </is>
      </c>
      <c r="B7002" s="1" t="n">
        <v>45063</v>
      </c>
      <c r="C7002" s="1" t="n">
        <v>45677</v>
      </c>
      <c r="D7002" t="inlineStr">
        <is>
          <t>GÄVLEBORGS LÄN</t>
        </is>
      </c>
      <c r="E7002" t="inlineStr">
        <is>
          <t>NORDANSTIG</t>
        </is>
      </c>
      <c r="F7002" t="inlineStr">
        <is>
          <t>Holmen skog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21434-2023</t>
        </is>
      </c>
      <c r="B7003" s="1" t="n">
        <v>45063</v>
      </c>
      <c r="C7003" s="1" t="n">
        <v>45677</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21454-2023</t>
        </is>
      </c>
      <c r="B7004" s="1" t="n">
        <v>45063</v>
      </c>
      <c r="C7004" s="1" t="n">
        <v>45677</v>
      </c>
      <c r="D7004" t="inlineStr">
        <is>
          <t>GÄVLEBORGS LÄN</t>
        </is>
      </c>
      <c r="E7004" t="inlineStr">
        <is>
          <t>SANDVIKEN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21474-2023</t>
        </is>
      </c>
      <c r="B7005" s="1" t="n">
        <v>45063</v>
      </c>
      <c r="C7005" s="1" t="n">
        <v>45677</v>
      </c>
      <c r="D7005" t="inlineStr">
        <is>
          <t>GÄVLEBORGS LÄN</t>
        </is>
      </c>
      <c r="E7005" t="inlineStr">
        <is>
          <t>LJUSDAL</t>
        </is>
      </c>
      <c r="F7005" t="inlineStr">
        <is>
          <t>Sveaskog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21588-2023</t>
        </is>
      </c>
      <c r="B7006" s="1" t="n">
        <v>45063</v>
      </c>
      <c r="C7006" s="1" t="n">
        <v>45677</v>
      </c>
      <c r="D7006" t="inlineStr">
        <is>
          <t>GÄVLEBORGS LÄN</t>
        </is>
      </c>
      <c r="E7006" t="inlineStr">
        <is>
          <t>OVANÅKER</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21591-2023</t>
        </is>
      </c>
      <c r="B7007" s="1" t="n">
        <v>45063</v>
      </c>
      <c r="C7007" s="1" t="n">
        <v>45677</v>
      </c>
      <c r="D7007" t="inlineStr">
        <is>
          <t>GÄVLEBORGS LÄN</t>
        </is>
      </c>
      <c r="E7007" t="inlineStr">
        <is>
          <t>LJUSDAL</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21618-2023</t>
        </is>
      </c>
      <c r="B7008" s="1" t="n">
        <v>45063</v>
      </c>
      <c r="C7008" s="1" t="n">
        <v>45677</v>
      </c>
      <c r="D7008" t="inlineStr">
        <is>
          <t>GÄVLEBORGS LÄN</t>
        </is>
      </c>
      <c r="E7008" t="inlineStr">
        <is>
          <t>HUDIKSVALL</t>
        </is>
      </c>
      <c r="F7008" t="inlineStr">
        <is>
          <t>Holmen skog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21567-2023</t>
        </is>
      </c>
      <c r="B7009" s="1" t="n">
        <v>45063</v>
      </c>
      <c r="C7009" s="1" t="n">
        <v>45677</v>
      </c>
      <c r="D7009" t="inlineStr">
        <is>
          <t>GÄVLEBORGS LÄN</t>
        </is>
      </c>
      <c r="E7009" t="inlineStr">
        <is>
          <t>SÖDERHAMN</t>
        </is>
      </c>
      <c r="F7009" t="inlineStr">
        <is>
          <t>Bergvik skog väst AB</t>
        </is>
      </c>
      <c r="G7009" t="n">
        <v>15.9</v>
      </c>
      <c r="H7009" t="n">
        <v>0</v>
      </c>
      <c r="I7009" t="n">
        <v>0</v>
      </c>
      <c r="J7009" t="n">
        <v>0</v>
      </c>
      <c r="K7009" t="n">
        <v>0</v>
      </c>
      <c r="L7009" t="n">
        <v>0</v>
      </c>
      <c r="M7009" t="n">
        <v>0</v>
      </c>
      <c r="N7009" t="n">
        <v>0</v>
      </c>
      <c r="O7009" t="n">
        <v>0</v>
      </c>
      <c r="P7009" t="n">
        <v>0</v>
      </c>
      <c r="Q7009" t="n">
        <v>0</v>
      </c>
      <c r="R7009" s="2" t="inlineStr"/>
    </row>
    <row r="7010" ht="15" customHeight="1">
      <c r="A7010" t="inlineStr">
        <is>
          <t>A 21586-2023</t>
        </is>
      </c>
      <c r="B7010" s="1" t="n">
        <v>45063</v>
      </c>
      <c r="C7010" s="1" t="n">
        <v>45677</v>
      </c>
      <c r="D7010" t="inlineStr">
        <is>
          <t>GÄVLEBORGS LÄN</t>
        </is>
      </c>
      <c r="E7010" t="inlineStr">
        <is>
          <t>SÖDERHAMN</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21621-2023</t>
        </is>
      </c>
      <c r="B7011" s="1" t="n">
        <v>45063</v>
      </c>
      <c r="C7011" s="1" t="n">
        <v>45677</v>
      </c>
      <c r="D7011" t="inlineStr">
        <is>
          <t>GÄVLEBORGS LÄN</t>
        </is>
      </c>
      <c r="E7011" t="inlineStr">
        <is>
          <t>BOLLNÄS</t>
        </is>
      </c>
      <c r="F7011" t="inlineStr">
        <is>
          <t>Sveaskog</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21724-2023</t>
        </is>
      </c>
      <c r="B7012" s="1" t="n">
        <v>45065</v>
      </c>
      <c r="C7012" s="1" t="n">
        <v>45677</v>
      </c>
      <c r="D7012" t="inlineStr">
        <is>
          <t>GÄVLEBORGS LÄN</t>
        </is>
      </c>
      <c r="E7012" t="inlineStr">
        <is>
          <t>HUDIKSVALL</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21750-2023</t>
        </is>
      </c>
      <c r="B7013" s="1" t="n">
        <v>45065</v>
      </c>
      <c r="C7013" s="1" t="n">
        <v>45677</v>
      </c>
      <c r="D7013" t="inlineStr">
        <is>
          <t>GÄVLEBORGS LÄN</t>
        </is>
      </c>
      <c r="E7013" t="inlineStr">
        <is>
          <t>HUDIKSVALL</t>
        </is>
      </c>
      <c r="F7013" t="inlineStr">
        <is>
          <t>Holmen skog AB</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21715-2023</t>
        </is>
      </c>
      <c r="B7014" s="1" t="n">
        <v>45065</v>
      </c>
      <c r="C7014" s="1" t="n">
        <v>45677</v>
      </c>
      <c r="D7014" t="inlineStr">
        <is>
          <t>GÄVLEBORGS LÄN</t>
        </is>
      </c>
      <c r="E7014" t="inlineStr">
        <is>
          <t>HUDIKSVALL</t>
        </is>
      </c>
      <c r="F7014" t="inlineStr">
        <is>
          <t>Holmen skog AB</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21742-2023</t>
        </is>
      </c>
      <c r="B7015" s="1" t="n">
        <v>45065</v>
      </c>
      <c r="C7015" s="1" t="n">
        <v>45677</v>
      </c>
      <c r="D7015" t="inlineStr">
        <is>
          <t>GÄVLEBORGS LÄN</t>
        </is>
      </c>
      <c r="E7015" t="inlineStr">
        <is>
          <t>LJUSDAL</t>
        </is>
      </c>
      <c r="F7015" t="inlineStr">
        <is>
          <t>Allmännings- och besparingsskogar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21746-2023</t>
        </is>
      </c>
      <c r="B7016" s="1" t="n">
        <v>45065</v>
      </c>
      <c r="C7016" s="1" t="n">
        <v>45677</v>
      </c>
      <c r="D7016" t="inlineStr">
        <is>
          <t>GÄVLEBORGS LÄN</t>
        </is>
      </c>
      <c r="E7016" t="inlineStr">
        <is>
          <t>SÖDERHAMN</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21747-2023</t>
        </is>
      </c>
      <c r="B7017" s="1" t="n">
        <v>45065</v>
      </c>
      <c r="C7017" s="1" t="n">
        <v>45677</v>
      </c>
      <c r="D7017" t="inlineStr">
        <is>
          <t>GÄVLEBORGS LÄN</t>
        </is>
      </c>
      <c r="E7017" t="inlineStr">
        <is>
          <t>SÖDERHAMN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21774-2023</t>
        </is>
      </c>
      <c r="B7018" s="1" t="n">
        <v>45066</v>
      </c>
      <c r="C7018" s="1" t="n">
        <v>45677</v>
      </c>
      <c r="D7018" t="inlineStr">
        <is>
          <t>GÄVLEBORGS LÄN</t>
        </is>
      </c>
      <c r="E7018" t="inlineStr">
        <is>
          <t>HUDIKSVALL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21773-2023</t>
        </is>
      </c>
      <c r="B7019" s="1" t="n">
        <v>45066</v>
      </c>
      <c r="C7019" s="1" t="n">
        <v>45677</v>
      </c>
      <c r="D7019" t="inlineStr">
        <is>
          <t>GÄVLEBORGS LÄN</t>
        </is>
      </c>
      <c r="E7019" t="inlineStr">
        <is>
          <t>HUDIKSVALL</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21772-2023</t>
        </is>
      </c>
      <c r="B7020" s="1" t="n">
        <v>45066</v>
      </c>
      <c r="C7020" s="1" t="n">
        <v>45677</v>
      </c>
      <c r="D7020" t="inlineStr">
        <is>
          <t>GÄVLEBORGS LÄN</t>
        </is>
      </c>
      <c r="E7020" t="inlineStr">
        <is>
          <t>HUDIKSVALL</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21802-2023</t>
        </is>
      </c>
      <c r="B7021" s="1" t="n">
        <v>45067</v>
      </c>
      <c r="C7021" s="1" t="n">
        <v>45677</v>
      </c>
      <c r="D7021" t="inlineStr">
        <is>
          <t>GÄVLEBORGS LÄN</t>
        </is>
      </c>
      <c r="E7021" t="inlineStr">
        <is>
          <t>OVANÅKER</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21803-2023</t>
        </is>
      </c>
      <c r="B7022" s="1" t="n">
        <v>45068</v>
      </c>
      <c r="C7022" s="1" t="n">
        <v>45677</v>
      </c>
      <c r="D7022" t="inlineStr">
        <is>
          <t>GÄVLEBORGS LÄN</t>
        </is>
      </c>
      <c r="E7022" t="inlineStr">
        <is>
          <t>OVANÅKER</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21856-2023</t>
        </is>
      </c>
      <c r="B7023" s="1" t="n">
        <v>45068</v>
      </c>
      <c r="C7023" s="1" t="n">
        <v>45677</v>
      </c>
      <c r="D7023" t="inlineStr">
        <is>
          <t>GÄVLEBORGS LÄN</t>
        </is>
      </c>
      <c r="E7023" t="inlineStr">
        <is>
          <t>OCKELBO</t>
        </is>
      </c>
      <c r="F7023" t="inlineStr">
        <is>
          <t>Bergvik skog väst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21884-2023</t>
        </is>
      </c>
      <c r="B7024" s="1" t="n">
        <v>45068</v>
      </c>
      <c r="C7024" s="1" t="n">
        <v>45677</v>
      </c>
      <c r="D7024" t="inlineStr">
        <is>
          <t>GÄVLEBORGS LÄN</t>
        </is>
      </c>
      <c r="E7024" t="inlineStr">
        <is>
          <t>OCKELBO</t>
        </is>
      </c>
      <c r="F7024" t="inlineStr">
        <is>
          <t>Bergvik skog väst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21819-2023</t>
        </is>
      </c>
      <c r="B7025" s="1" t="n">
        <v>45068</v>
      </c>
      <c r="C7025" s="1" t="n">
        <v>45677</v>
      </c>
      <c r="D7025" t="inlineStr">
        <is>
          <t>GÄVLEBORGS LÄN</t>
        </is>
      </c>
      <c r="E7025" t="inlineStr">
        <is>
          <t>HUDIKSVALL</t>
        </is>
      </c>
      <c r="F7025" t="inlineStr">
        <is>
          <t>Holmen skog AB</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21816-2023</t>
        </is>
      </c>
      <c r="B7026" s="1" t="n">
        <v>45068</v>
      </c>
      <c r="C7026" s="1" t="n">
        <v>45677</v>
      </c>
      <c r="D7026" t="inlineStr">
        <is>
          <t>GÄVLEBORGS LÄN</t>
        </is>
      </c>
      <c r="E7026" t="inlineStr">
        <is>
          <t>LJUSDAL</t>
        </is>
      </c>
      <c r="F7026" t="inlineStr">
        <is>
          <t>Bergvik skog väst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21855-2023</t>
        </is>
      </c>
      <c r="B7027" s="1" t="n">
        <v>45068</v>
      </c>
      <c r="C7027" s="1" t="n">
        <v>45677</v>
      </c>
      <c r="D7027" t="inlineStr">
        <is>
          <t>GÄVLEBORGS LÄN</t>
        </is>
      </c>
      <c r="E7027" t="inlineStr">
        <is>
          <t>SÖDERHAMN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21981-2023</t>
        </is>
      </c>
      <c r="B7028" s="1" t="n">
        <v>45068</v>
      </c>
      <c r="C7028" s="1" t="n">
        <v>45677</v>
      </c>
      <c r="D7028" t="inlineStr">
        <is>
          <t>GÄVLEBORGS LÄN</t>
        </is>
      </c>
      <c r="E7028" t="inlineStr">
        <is>
          <t>NORDANSTIG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21878-2023</t>
        </is>
      </c>
      <c r="B7029" s="1" t="n">
        <v>45068</v>
      </c>
      <c r="C7029" s="1" t="n">
        <v>45677</v>
      </c>
      <c r="D7029" t="inlineStr">
        <is>
          <t>GÄVLEBORGS LÄN</t>
        </is>
      </c>
      <c r="E7029" t="inlineStr">
        <is>
          <t>OCKELBO</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21914-2023</t>
        </is>
      </c>
      <c r="B7030" s="1" t="n">
        <v>45068</v>
      </c>
      <c r="C7030" s="1" t="n">
        <v>45677</v>
      </c>
      <c r="D7030" t="inlineStr">
        <is>
          <t>GÄVLEBORGS LÄN</t>
        </is>
      </c>
      <c r="E7030" t="inlineStr">
        <is>
          <t>LJUSDAL</t>
        </is>
      </c>
      <c r="F7030" t="inlineStr">
        <is>
          <t>Allmännings- och besparingsskogar</t>
        </is>
      </c>
      <c r="G7030" t="n">
        <v>17.3</v>
      </c>
      <c r="H7030" t="n">
        <v>0</v>
      </c>
      <c r="I7030" t="n">
        <v>0</v>
      </c>
      <c r="J7030" t="n">
        <v>0</v>
      </c>
      <c r="K7030" t="n">
        <v>0</v>
      </c>
      <c r="L7030" t="n">
        <v>0</v>
      </c>
      <c r="M7030" t="n">
        <v>0</v>
      </c>
      <c r="N7030" t="n">
        <v>0</v>
      </c>
      <c r="O7030" t="n">
        <v>0</v>
      </c>
      <c r="P7030" t="n">
        <v>0</v>
      </c>
      <c r="Q7030" t="n">
        <v>0</v>
      </c>
      <c r="R7030" s="2" t="inlineStr"/>
    </row>
    <row r="7031" ht="15" customHeight="1">
      <c r="A7031" t="inlineStr">
        <is>
          <t>A 21900-2023</t>
        </is>
      </c>
      <c r="B7031" s="1" t="n">
        <v>45068</v>
      </c>
      <c r="C7031" s="1" t="n">
        <v>45677</v>
      </c>
      <c r="D7031" t="inlineStr">
        <is>
          <t>GÄVLEBORGS LÄN</t>
        </is>
      </c>
      <c r="E7031" t="inlineStr">
        <is>
          <t>OCKELBO</t>
        </is>
      </c>
      <c r="F7031" t="inlineStr">
        <is>
          <t>Bergvik skog väst AB</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21966-2023</t>
        </is>
      </c>
      <c r="B7032" s="1" t="n">
        <v>45068</v>
      </c>
      <c r="C7032" s="1" t="n">
        <v>45677</v>
      </c>
      <c r="D7032" t="inlineStr">
        <is>
          <t>GÄVLEBORGS LÄN</t>
        </is>
      </c>
      <c r="E7032" t="inlineStr">
        <is>
          <t>HUDIKSVALL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22004-2023</t>
        </is>
      </c>
      <c r="B7033" s="1" t="n">
        <v>45069</v>
      </c>
      <c r="C7033" s="1" t="n">
        <v>45677</v>
      </c>
      <c r="D7033" t="inlineStr">
        <is>
          <t>GÄVLEBORGS LÄN</t>
        </is>
      </c>
      <c r="E7033" t="inlineStr">
        <is>
          <t>NORDANSTIG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21880-2023</t>
        </is>
      </c>
      <c r="B7034" s="1" t="n">
        <v>45068</v>
      </c>
      <c r="C7034" s="1" t="n">
        <v>45677</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21932-2023</t>
        </is>
      </c>
      <c r="B7035" s="1" t="n">
        <v>45068</v>
      </c>
      <c r="C7035" s="1" t="n">
        <v>45677</v>
      </c>
      <c r="D7035" t="inlineStr">
        <is>
          <t>GÄVLEBORGS LÄN</t>
        </is>
      </c>
      <c r="E7035" t="inlineStr">
        <is>
          <t>OVANÅKER</t>
        </is>
      </c>
      <c r="F7035" t="inlineStr">
        <is>
          <t>Bergvik skog väst AB</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21945-2023</t>
        </is>
      </c>
      <c r="B7036" s="1" t="n">
        <v>45068</v>
      </c>
      <c r="C7036" s="1" t="n">
        <v>45677</v>
      </c>
      <c r="D7036" t="inlineStr">
        <is>
          <t>GÄVLEBORGS LÄN</t>
        </is>
      </c>
      <c r="E7036" t="inlineStr">
        <is>
          <t>SÖDERHAMN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21982-2023</t>
        </is>
      </c>
      <c r="B7037" s="1" t="n">
        <v>45068</v>
      </c>
      <c r="C7037" s="1" t="n">
        <v>45677</v>
      </c>
      <c r="D7037" t="inlineStr">
        <is>
          <t>GÄVLEBORGS LÄN</t>
        </is>
      </c>
      <c r="E7037" t="inlineStr">
        <is>
          <t>HUDIKSVALL</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21999-2023</t>
        </is>
      </c>
      <c r="B7038" s="1" t="n">
        <v>45069</v>
      </c>
      <c r="C7038" s="1" t="n">
        <v>45677</v>
      </c>
      <c r="D7038" t="inlineStr">
        <is>
          <t>GÄVLEBORGS LÄN</t>
        </is>
      </c>
      <c r="E7038" t="inlineStr">
        <is>
          <t>NORDANSTIG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22150-2023</t>
        </is>
      </c>
      <c r="B7039" s="1" t="n">
        <v>45069</v>
      </c>
      <c r="C7039" s="1" t="n">
        <v>45677</v>
      </c>
      <c r="D7039" t="inlineStr">
        <is>
          <t>GÄVLEBORGS LÄN</t>
        </is>
      </c>
      <c r="E7039" t="inlineStr">
        <is>
          <t>OVANÅKER</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22214-2023</t>
        </is>
      </c>
      <c r="B7040" s="1" t="n">
        <v>45069</v>
      </c>
      <c r="C7040" s="1" t="n">
        <v>45677</v>
      </c>
      <c r="D7040" t="inlineStr">
        <is>
          <t>GÄVLEBORGS LÄN</t>
        </is>
      </c>
      <c r="E7040" t="inlineStr">
        <is>
          <t>SÖDERHAMN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22066-2023</t>
        </is>
      </c>
      <c r="B7041" s="1" t="n">
        <v>45069</v>
      </c>
      <c r="C7041" s="1" t="n">
        <v>45677</v>
      </c>
      <c r="D7041" t="inlineStr">
        <is>
          <t>GÄVLEBORGS LÄN</t>
        </is>
      </c>
      <c r="E7041" t="inlineStr">
        <is>
          <t>LJUSDAL</t>
        </is>
      </c>
      <c r="F7041" t="inlineStr">
        <is>
          <t>Allmännings- och besparingsskogar</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22070-2023</t>
        </is>
      </c>
      <c r="B7042" s="1" t="n">
        <v>45069</v>
      </c>
      <c r="C7042" s="1" t="n">
        <v>45677</v>
      </c>
      <c r="D7042" t="inlineStr">
        <is>
          <t>GÄVLEBORGS LÄN</t>
        </is>
      </c>
      <c r="E7042" t="inlineStr">
        <is>
          <t>SANDVIKEN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22106-2023</t>
        </is>
      </c>
      <c r="B7043" s="1" t="n">
        <v>45069</v>
      </c>
      <c r="C7043" s="1" t="n">
        <v>45677</v>
      </c>
      <c r="D7043" t="inlineStr">
        <is>
          <t>GÄVLEBORGS LÄN</t>
        </is>
      </c>
      <c r="E7043" t="inlineStr">
        <is>
          <t>GÄVLE</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22129-2023</t>
        </is>
      </c>
      <c r="B7044" s="1" t="n">
        <v>45069</v>
      </c>
      <c r="C7044" s="1" t="n">
        <v>45677</v>
      </c>
      <c r="D7044" t="inlineStr">
        <is>
          <t>GÄVLEBORGS LÄN</t>
        </is>
      </c>
      <c r="E7044" t="inlineStr">
        <is>
          <t>HOFORS</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22130-2023</t>
        </is>
      </c>
      <c r="B7045" s="1" t="n">
        <v>45069</v>
      </c>
      <c r="C7045" s="1" t="n">
        <v>45677</v>
      </c>
      <c r="D7045" t="inlineStr">
        <is>
          <t>GÄVLEBORGS LÄN</t>
        </is>
      </c>
      <c r="E7045" t="inlineStr">
        <is>
          <t>HUDIKSVALL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22148-2023</t>
        </is>
      </c>
      <c r="B7046" s="1" t="n">
        <v>45069</v>
      </c>
      <c r="C7046" s="1" t="n">
        <v>45677</v>
      </c>
      <c r="D7046" t="inlineStr">
        <is>
          <t>GÄVLEBORGS LÄN</t>
        </is>
      </c>
      <c r="E7046" t="inlineStr">
        <is>
          <t>BOLLNÄS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22163-2023</t>
        </is>
      </c>
      <c r="B7047" s="1" t="n">
        <v>45069</v>
      </c>
      <c r="C7047" s="1" t="n">
        <v>45677</v>
      </c>
      <c r="D7047" t="inlineStr">
        <is>
          <t>GÄVLEBORGS LÄN</t>
        </is>
      </c>
      <c r="E7047" t="inlineStr">
        <is>
          <t>SÖDERHAMN</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22164-2023</t>
        </is>
      </c>
      <c r="B7048" s="1" t="n">
        <v>45069</v>
      </c>
      <c r="C7048" s="1" t="n">
        <v>45677</v>
      </c>
      <c r="D7048" t="inlineStr">
        <is>
          <t>GÄVLEBORGS LÄN</t>
        </is>
      </c>
      <c r="E7048" t="inlineStr">
        <is>
          <t>SÖDERHAMN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22096-2023</t>
        </is>
      </c>
      <c r="B7049" s="1" t="n">
        <v>45069</v>
      </c>
      <c r="C7049" s="1" t="n">
        <v>45677</v>
      </c>
      <c r="D7049" t="inlineStr">
        <is>
          <t>GÄVLEBORGS LÄN</t>
        </is>
      </c>
      <c r="E7049" t="inlineStr">
        <is>
          <t>LJUSDAL</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22221-2023</t>
        </is>
      </c>
      <c r="B7050" s="1" t="n">
        <v>45070</v>
      </c>
      <c r="C7050" s="1" t="n">
        <v>45677</v>
      </c>
      <c r="D7050" t="inlineStr">
        <is>
          <t>GÄVLEBORGS LÄN</t>
        </is>
      </c>
      <c r="E7050" t="inlineStr">
        <is>
          <t>LJUSDAL</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22179-2023</t>
        </is>
      </c>
      <c r="B7051" s="1" t="n">
        <v>45069</v>
      </c>
      <c r="C7051" s="1" t="n">
        <v>45677</v>
      </c>
      <c r="D7051" t="inlineStr">
        <is>
          <t>GÄVLEBORGS LÄN</t>
        </is>
      </c>
      <c r="E7051" t="inlineStr">
        <is>
          <t>OCKELBO</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22213-2023</t>
        </is>
      </c>
      <c r="B7052" s="1" t="n">
        <v>45069</v>
      </c>
      <c r="C7052" s="1" t="n">
        <v>45677</v>
      </c>
      <c r="D7052" t="inlineStr">
        <is>
          <t>GÄVLEBORGS LÄN</t>
        </is>
      </c>
      <c r="E7052" t="inlineStr">
        <is>
          <t>SÖDERHAMN</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22212-2023</t>
        </is>
      </c>
      <c r="B7053" s="1" t="n">
        <v>45069</v>
      </c>
      <c r="C7053" s="1" t="n">
        <v>45677</v>
      </c>
      <c r="D7053" t="inlineStr">
        <is>
          <t>GÄVLEBORGS LÄN</t>
        </is>
      </c>
      <c r="E7053" t="inlineStr">
        <is>
          <t>SÖDERHAMN</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22042-2023</t>
        </is>
      </c>
      <c r="B7054" s="1" t="n">
        <v>45069</v>
      </c>
      <c r="C7054" s="1" t="n">
        <v>45677</v>
      </c>
      <c r="D7054" t="inlineStr">
        <is>
          <t>GÄVLEBORGS LÄN</t>
        </is>
      </c>
      <c r="E7054" t="inlineStr">
        <is>
          <t>SANDVIKEN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22039-2023</t>
        </is>
      </c>
      <c r="B7055" s="1" t="n">
        <v>45069</v>
      </c>
      <c r="C7055" s="1" t="n">
        <v>45677</v>
      </c>
      <c r="D7055" t="inlineStr">
        <is>
          <t>GÄVLEBORGS LÄN</t>
        </is>
      </c>
      <c r="E7055" t="inlineStr">
        <is>
          <t>LJUSDAL</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22041-2023</t>
        </is>
      </c>
      <c r="B7056" s="1" t="n">
        <v>45069</v>
      </c>
      <c r="C7056" s="1" t="n">
        <v>45677</v>
      </c>
      <c r="D7056" t="inlineStr">
        <is>
          <t>GÄVLEBORGS LÄN</t>
        </is>
      </c>
      <c r="E7056" t="inlineStr">
        <is>
          <t>OCKELBO</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22250-2023</t>
        </is>
      </c>
      <c r="B7057" s="1" t="n">
        <v>45070</v>
      </c>
      <c r="C7057" s="1" t="n">
        <v>45677</v>
      </c>
      <c r="D7057" t="inlineStr">
        <is>
          <t>GÄVLEBORGS LÄN</t>
        </is>
      </c>
      <c r="E7057" t="inlineStr">
        <is>
          <t>LJUSDAL</t>
        </is>
      </c>
      <c r="F7057" t="inlineStr">
        <is>
          <t>Sveaskog</t>
        </is>
      </c>
      <c r="G7057" t="n">
        <v>29.7</v>
      </c>
      <c r="H7057" t="n">
        <v>0</v>
      </c>
      <c r="I7057" t="n">
        <v>0</v>
      </c>
      <c r="J7057" t="n">
        <v>0</v>
      </c>
      <c r="K7057" t="n">
        <v>0</v>
      </c>
      <c r="L7057" t="n">
        <v>0</v>
      </c>
      <c r="M7057" t="n">
        <v>0</v>
      </c>
      <c r="N7057" t="n">
        <v>0</v>
      </c>
      <c r="O7057" t="n">
        <v>0</v>
      </c>
      <c r="P7057" t="n">
        <v>0</v>
      </c>
      <c r="Q7057" t="n">
        <v>0</v>
      </c>
      <c r="R7057" s="2" t="inlineStr"/>
    </row>
    <row r="7058" ht="15" customHeight="1">
      <c r="A7058" t="inlineStr">
        <is>
          <t>A 22317-2023</t>
        </is>
      </c>
      <c r="B7058" s="1" t="n">
        <v>45070</v>
      </c>
      <c r="C7058" s="1" t="n">
        <v>45677</v>
      </c>
      <c r="D7058" t="inlineStr">
        <is>
          <t>GÄVLEBORGS LÄN</t>
        </is>
      </c>
      <c r="E7058" t="inlineStr">
        <is>
          <t>LJUSDAL</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22343-2023</t>
        </is>
      </c>
      <c r="B7059" s="1" t="n">
        <v>45070</v>
      </c>
      <c r="C7059" s="1" t="n">
        <v>45677</v>
      </c>
      <c r="D7059" t="inlineStr">
        <is>
          <t>GÄVLEBORGS LÄN</t>
        </is>
      </c>
      <c r="E7059" t="inlineStr">
        <is>
          <t>LJUSDAL</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22372-2023</t>
        </is>
      </c>
      <c r="B7060" s="1" t="n">
        <v>45070</v>
      </c>
      <c r="C7060" s="1" t="n">
        <v>45677</v>
      </c>
      <c r="D7060" t="inlineStr">
        <is>
          <t>GÄVLEBORGS LÄN</t>
        </is>
      </c>
      <c r="E7060" t="inlineStr">
        <is>
          <t>HUDIKSVALL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22377-2023</t>
        </is>
      </c>
      <c r="B7061" s="1" t="n">
        <v>45070</v>
      </c>
      <c r="C7061" s="1" t="n">
        <v>45677</v>
      </c>
      <c r="D7061" t="inlineStr">
        <is>
          <t>GÄVLEBORGS LÄN</t>
        </is>
      </c>
      <c r="E7061" t="inlineStr">
        <is>
          <t>HUDIKSVALL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22238-2023</t>
        </is>
      </c>
      <c r="B7062" s="1" t="n">
        <v>45070</v>
      </c>
      <c r="C7062" s="1" t="n">
        <v>45677</v>
      </c>
      <c r="D7062" t="inlineStr">
        <is>
          <t>GÄVLEBORGS LÄN</t>
        </is>
      </c>
      <c r="E7062" t="inlineStr">
        <is>
          <t>SANDVIKEN</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22251-2023</t>
        </is>
      </c>
      <c r="B7063" s="1" t="n">
        <v>45070</v>
      </c>
      <c r="C7063" s="1" t="n">
        <v>45677</v>
      </c>
      <c r="D7063" t="inlineStr">
        <is>
          <t>GÄVLEBORGS LÄN</t>
        </is>
      </c>
      <c r="E7063" t="inlineStr">
        <is>
          <t>LJUSDAL</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22252-2023</t>
        </is>
      </c>
      <c r="B7064" s="1" t="n">
        <v>45070</v>
      </c>
      <c r="C7064" s="1" t="n">
        <v>45677</v>
      </c>
      <c r="D7064" t="inlineStr">
        <is>
          <t>GÄVLEBORGS LÄN</t>
        </is>
      </c>
      <c r="E7064" t="inlineStr">
        <is>
          <t>LJUSDAL</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22302-2023</t>
        </is>
      </c>
      <c r="B7065" s="1" t="n">
        <v>45070</v>
      </c>
      <c r="C7065" s="1" t="n">
        <v>45677</v>
      </c>
      <c r="D7065" t="inlineStr">
        <is>
          <t>GÄVLEBORGS LÄN</t>
        </is>
      </c>
      <c r="E7065" t="inlineStr">
        <is>
          <t>OVANÅKER</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22349-2023</t>
        </is>
      </c>
      <c r="B7066" s="1" t="n">
        <v>45070</v>
      </c>
      <c r="C7066" s="1" t="n">
        <v>45677</v>
      </c>
      <c r="D7066" t="inlineStr">
        <is>
          <t>GÄVLEBORGS LÄN</t>
        </is>
      </c>
      <c r="E7066" t="inlineStr">
        <is>
          <t>HUDIKSVALL</t>
        </is>
      </c>
      <c r="F7066" t="inlineStr">
        <is>
          <t>Holmen skog AB</t>
        </is>
      </c>
      <c r="G7066" t="n">
        <v>15.9</v>
      </c>
      <c r="H7066" t="n">
        <v>0</v>
      </c>
      <c r="I7066" t="n">
        <v>0</v>
      </c>
      <c r="J7066" t="n">
        <v>0</v>
      </c>
      <c r="K7066" t="n">
        <v>0</v>
      </c>
      <c r="L7066" t="n">
        <v>0</v>
      </c>
      <c r="M7066" t="n">
        <v>0</v>
      </c>
      <c r="N7066" t="n">
        <v>0</v>
      </c>
      <c r="O7066" t="n">
        <v>0</v>
      </c>
      <c r="P7066" t="n">
        <v>0</v>
      </c>
      <c r="Q7066" t="n">
        <v>0</v>
      </c>
      <c r="R7066" s="2" t="inlineStr"/>
    </row>
    <row r="7067" ht="15" customHeight="1">
      <c r="A7067" t="inlineStr">
        <is>
          <t>A 22459-2023</t>
        </is>
      </c>
      <c r="B7067" s="1" t="n">
        <v>45070</v>
      </c>
      <c r="C7067" s="1" t="n">
        <v>45677</v>
      </c>
      <c r="D7067" t="inlineStr">
        <is>
          <t>GÄVLEBORGS LÄN</t>
        </is>
      </c>
      <c r="E7067" t="inlineStr">
        <is>
          <t>NORDANSTIG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22272-2023</t>
        </is>
      </c>
      <c r="B7068" s="1" t="n">
        <v>45070</v>
      </c>
      <c r="C7068" s="1" t="n">
        <v>45677</v>
      </c>
      <c r="D7068" t="inlineStr">
        <is>
          <t>GÄVLEBORGS LÄN</t>
        </is>
      </c>
      <c r="E7068" t="inlineStr">
        <is>
          <t>OCKELBO</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22276-2023</t>
        </is>
      </c>
      <c r="B7069" s="1" t="n">
        <v>45070</v>
      </c>
      <c r="C7069" s="1" t="n">
        <v>45677</v>
      </c>
      <c r="D7069" t="inlineStr">
        <is>
          <t>GÄVLEBORGS LÄN</t>
        </is>
      </c>
      <c r="E7069" t="inlineStr">
        <is>
          <t>LJUSDAL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22299-2023</t>
        </is>
      </c>
      <c r="B7070" s="1" t="n">
        <v>45070</v>
      </c>
      <c r="C7070" s="1" t="n">
        <v>45677</v>
      </c>
      <c r="D7070" t="inlineStr">
        <is>
          <t>GÄVLEBORGS LÄN</t>
        </is>
      </c>
      <c r="E7070" t="inlineStr">
        <is>
          <t>OVANÅKER</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22320-2023</t>
        </is>
      </c>
      <c r="B7071" s="1" t="n">
        <v>45070</v>
      </c>
      <c r="C7071" s="1" t="n">
        <v>45677</v>
      </c>
      <c r="D7071" t="inlineStr">
        <is>
          <t>GÄVLEBORGS LÄN</t>
        </is>
      </c>
      <c r="E7071" t="inlineStr">
        <is>
          <t>NORDANSTIG</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22336-2023</t>
        </is>
      </c>
      <c r="B7072" s="1" t="n">
        <v>45070</v>
      </c>
      <c r="C7072" s="1" t="n">
        <v>45677</v>
      </c>
      <c r="D7072" t="inlineStr">
        <is>
          <t>GÄVLEBORGS LÄN</t>
        </is>
      </c>
      <c r="E7072" t="inlineStr">
        <is>
          <t>OVANÅKER</t>
        </is>
      </c>
      <c r="F7072" t="inlineStr">
        <is>
          <t>Bergvik skog väst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22383-2023</t>
        </is>
      </c>
      <c r="B7073" s="1" t="n">
        <v>45070</v>
      </c>
      <c r="C7073" s="1" t="n">
        <v>45677</v>
      </c>
      <c r="D7073" t="inlineStr">
        <is>
          <t>GÄVLEBORGS LÄN</t>
        </is>
      </c>
      <c r="E7073" t="inlineStr">
        <is>
          <t>SÖDERHAMN</t>
        </is>
      </c>
      <c r="F7073" t="inlineStr">
        <is>
          <t>Bergvik skog väst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22399-2023</t>
        </is>
      </c>
      <c r="B7074" s="1" t="n">
        <v>45070</v>
      </c>
      <c r="C7074" s="1" t="n">
        <v>45677</v>
      </c>
      <c r="D7074" t="inlineStr">
        <is>
          <t>GÄVLEBORGS LÄN</t>
        </is>
      </c>
      <c r="E7074" t="inlineStr">
        <is>
          <t>BOLLNÄS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22438-2023</t>
        </is>
      </c>
      <c r="B7075" s="1" t="n">
        <v>45070</v>
      </c>
      <c r="C7075" s="1" t="n">
        <v>45677</v>
      </c>
      <c r="D7075" t="inlineStr">
        <is>
          <t>GÄVLEBORGS LÄN</t>
        </is>
      </c>
      <c r="E7075" t="inlineStr">
        <is>
          <t>HUDIKSVALL</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22297-2023</t>
        </is>
      </c>
      <c r="B7076" s="1" t="n">
        <v>45070</v>
      </c>
      <c r="C7076" s="1" t="n">
        <v>45677</v>
      </c>
      <c r="D7076" t="inlineStr">
        <is>
          <t>GÄVLEBORGS LÄN</t>
        </is>
      </c>
      <c r="E7076" t="inlineStr">
        <is>
          <t>HOFORS</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22338-2023</t>
        </is>
      </c>
      <c r="B7077" s="1" t="n">
        <v>45070</v>
      </c>
      <c r="C7077" s="1" t="n">
        <v>45677</v>
      </c>
      <c r="D7077" t="inlineStr">
        <is>
          <t>GÄVLEBORGS LÄN</t>
        </is>
      </c>
      <c r="E7077" t="inlineStr">
        <is>
          <t>LJUSDAL</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22348-2023</t>
        </is>
      </c>
      <c r="B7078" s="1" t="n">
        <v>45070</v>
      </c>
      <c r="C7078" s="1" t="n">
        <v>45677</v>
      </c>
      <c r="D7078" t="inlineStr">
        <is>
          <t>GÄVLEBORGS LÄN</t>
        </is>
      </c>
      <c r="E7078" t="inlineStr">
        <is>
          <t>HUDIKSVALL</t>
        </is>
      </c>
      <c r="F7078" t="inlineStr">
        <is>
          <t>Holmen skog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22373-2023</t>
        </is>
      </c>
      <c r="B7079" s="1" t="n">
        <v>45070</v>
      </c>
      <c r="C7079" s="1" t="n">
        <v>45677</v>
      </c>
      <c r="D7079" t="inlineStr">
        <is>
          <t>GÄVLEBORGS LÄN</t>
        </is>
      </c>
      <c r="E7079" t="inlineStr">
        <is>
          <t>SANDVIKEN</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22385-2023</t>
        </is>
      </c>
      <c r="B7080" s="1" t="n">
        <v>45070</v>
      </c>
      <c r="C7080" s="1" t="n">
        <v>45677</v>
      </c>
      <c r="D7080" t="inlineStr">
        <is>
          <t>GÄVLEBORGS LÄN</t>
        </is>
      </c>
      <c r="E7080" t="inlineStr">
        <is>
          <t>OCKELBO</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22440-2023</t>
        </is>
      </c>
      <c r="B7081" s="1" t="n">
        <v>45070</v>
      </c>
      <c r="C7081" s="1" t="n">
        <v>45677</v>
      </c>
      <c r="D7081" t="inlineStr">
        <is>
          <t>GÄVLEBORGS LÄN</t>
        </is>
      </c>
      <c r="E7081" t="inlineStr">
        <is>
          <t>LJUSDAL</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22462-2023</t>
        </is>
      </c>
      <c r="B7082" s="1" t="n">
        <v>45070</v>
      </c>
      <c r="C7082" s="1" t="n">
        <v>45677</v>
      </c>
      <c r="D7082" t="inlineStr">
        <is>
          <t>GÄVLEBORGS LÄN</t>
        </is>
      </c>
      <c r="E7082" t="inlineStr">
        <is>
          <t>LJUSDAL</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22466-2023</t>
        </is>
      </c>
      <c r="B7083" s="1" t="n">
        <v>45070</v>
      </c>
      <c r="C7083" s="1" t="n">
        <v>45677</v>
      </c>
      <c r="D7083" t="inlineStr">
        <is>
          <t>GÄVLEBORGS LÄN</t>
        </is>
      </c>
      <c r="E7083" t="inlineStr">
        <is>
          <t>GÄVLE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22504-2023</t>
        </is>
      </c>
      <c r="B7084" s="1" t="n">
        <v>45071</v>
      </c>
      <c r="C7084" s="1" t="n">
        <v>45677</v>
      </c>
      <c r="D7084" t="inlineStr">
        <is>
          <t>GÄVLEBORGS LÄN</t>
        </is>
      </c>
      <c r="E7084" t="inlineStr">
        <is>
          <t>LJUSDAL</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22631-2023</t>
        </is>
      </c>
      <c r="B7085" s="1" t="n">
        <v>45071</v>
      </c>
      <c r="C7085" s="1" t="n">
        <v>45677</v>
      </c>
      <c r="D7085" t="inlineStr">
        <is>
          <t>GÄVLEBORGS LÄN</t>
        </is>
      </c>
      <c r="E7085" t="inlineStr">
        <is>
          <t>NORDANSTIG</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22497-2023</t>
        </is>
      </c>
      <c r="B7086" s="1" t="n">
        <v>45071</v>
      </c>
      <c r="C7086" s="1" t="n">
        <v>45677</v>
      </c>
      <c r="D7086" t="inlineStr">
        <is>
          <t>GÄVLEBORGS LÄN</t>
        </is>
      </c>
      <c r="E7086" t="inlineStr">
        <is>
          <t>SÖDERHAMN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22588-2023</t>
        </is>
      </c>
      <c r="B7087" s="1" t="n">
        <v>45071</v>
      </c>
      <c r="C7087" s="1" t="n">
        <v>45677</v>
      </c>
      <c r="D7087" t="inlineStr">
        <is>
          <t>GÄVLEBORGS LÄN</t>
        </is>
      </c>
      <c r="E7087" t="inlineStr">
        <is>
          <t>HUDIKSVALL</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22593-2023</t>
        </is>
      </c>
      <c r="B7088" s="1" t="n">
        <v>45071</v>
      </c>
      <c r="C7088" s="1" t="n">
        <v>45677</v>
      </c>
      <c r="D7088" t="inlineStr">
        <is>
          <t>GÄVLEBORGS LÄN</t>
        </is>
      </c>
      <c r="E7088" t="inlineStr">
        <is>
          <t>HUDIKSVALL</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22627-2023</t>
        </is>
      </c>
      <c r="B7089" s="1" t="n">
        <v>45071</v>
      </c>
      <c r="C7089" s="1" t="n">
        <v>45677</v>
      </c>
      <c r="D7089" t="inlineStr">
        <is>
          <t>GÄVLEBORGS LÄN</t>
        </is>
      </c>
      <c r="E7089" t="inlineStr">
        <is>
          <t>LJUSDAL</t>
        </is>
      </c>
      <c r="F7089" t="inlineStr">
        <is>
          <t>Holmen skog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22499-2023</t>
        </is>
      </c>
      <c r="B7090" s="1" t="n">
        <v>45071</v>
      </c>
      <c r="C7090" s="1" t="n">
        <v>45677</v>
      </c>
      <c r="D7090" t="inlineStr">
        <is>
          <t>GÄVLEBORGS LÄN</t>
        </is>
      </c>
      <c r="E7090" t="inlineStr">
        <is>
          <t>OVANÅKER</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22503-2023</t>
        </is>
      </c>
      <c r="B7091" s="1" t="n">
        <v>45071</v>
      </c>
      <c r="C7091" s="1" t="n">
        <v>45677</v>
      </c>
      <c r="D7091" t="inlineStr">
        <is>
          <t>GÄVLEBORGS LÄN</t>
        </is>
      </c>
      <c r="E7091" t="inlineStr">
        <is>
          <t>SÖDERHAMN</t>
        </is>
      </c>
      <c r="F7091" t="inlineStr">
        <is>
          <t>Bergvik skog väst AB</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22527-2023</t>
        </is>
      </c>
      <c r="B7092" s="1" t="n">
        <v>45071</v>
      </c>
      <c r="C7092" s="1" t="n">
        <v>45677</v>
      </c>
      <c r="D7092" t="inlineStr">
        <is>
          <t>GÄVLEBORGS LÄN</t>
        </is>
      </c>
      <c r="E7092" t="inlineStr">
        <is>
          <t>BOLLNÄS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22531-2023</t>
        </is>
      </c>
      <c r="B7093" s="1" t="n">
        <v>45071</v>
      </c>
      <c r="C7093" s="1" t="n">
        <v>45677</v>
      </c>
      <c r="D7093" t="inlineStr">
        <is>
          <t>GÄVLEBORGS LÄN</t>
        </is>
      </c>
      <c r="E7093" t="inlineStr">
        <is>
          <t>LJUSDAL</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22559-2023</t>
        </is>
      </c>
      <c r="B7094" s="1" t="n">
        <v>45071</v>
      </c>
      <c r="C7094" s="1" t="n">
        <v>45677</v>
      </c>
      <c r="D7094" t="inlineStr">
        <is>
          <t>GÄVLEBORGS LÄN</t>
        </is>
      </c>
      <c r="E7094" t="inlineStr">
        <is>
          <t>LJUSDAL</t>
        </is>
      </c>
      <c r="F7094" t="inlineStr">
        <is>
          <t>Holmen skog AB</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22558-2023</t>
        </is>
      </c>
      <c r="B7095" s="1" t="n">
        <v>45071</v>
      </c>
      <c r="C7095" s="1" t="n">
        <v>45677</v>
      </c>
      <c r="D7095" t="inlineStr">
        <is>
          <t>GÄVLEBORGS LÄN</t>
        </is>
      </c>
      <c r="E7095" t="inlineStr">
        <is>
          <t>LJUSDAL</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22575-2023</t>
        </is>
      </c>
      <c r="B7096" s="1" t="n">
        <v>45071</v>
      </c>
      <c r="C7096" s="1" t="n">
        <v>45677</v>
      </c>
      <c r="D7096" t="inlineStr">
        <is>
          <t>GÄVLEBORGS LÄN</t>
        </is>
      </c>
      <c r="E7096" t="inlineStr">
        <is>
          <t>HUDIKSVALL</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22608-2023</t>
        </is>
      </c>
      <c r="B7097" s="1" t="n">
        <v>45071</v>
      </c>
      <c r="C7097" s="1" t="n">
        <v>45677</v>
      </c>
      <c r="D7097" t="inlineStr">
        <is>
          <t>GÄVLEBORGS LÄN</t>
        </is>
      </c>
      <c r="E7097" t="inlineStr">
        <is>
          <t>LJUSDAL</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22620-2023</t>
        </is>
      </c>
      <c r="B7098" s="1" t="n">
        <v>45071</v>
      </c>
      <c r="C7098" s="1" t="n">
        <v>45677</v>
      </c>
      <c r="D7098" t="inlineStr">
        <is>
          <t>GÄVLEBORGS LÄN</t>
        </is>
      </c>
      <c r="E7098" t="inlineStr">
        <is>
          <t>LJUSDAL</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22678-2023</t>
        </is>
      </c>
      <c r="B7099" s="1" t="n">
        <v>45071</v>
      </c>
      <c r="C7099" s="1" t="n">
        <v>45677</v>
      </c>
      <c r="D7099" t="inlineStr">
        <is>
          <t>GÄVLEBORGS LÄN</t>
        </is>
      </c>
      <c r="E7099" t="inlineStr">
        <is>
          <t>LJUSDAL</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22690-2023</t>
        </is>
      </c>
      <c r="B7100" s="1" t="n">
        <v>45071</v>
      </c>
      <c r="C7100" s="1" t="n">
        <v>45677</v>
      </c>
      <c r="D7100" t="inlineStr">
        <is>
          <t>GÄVLEBORGS LÄN</t>
        </is>
      </c>
      <c r="E7100" t="inlineStr">
        <is>
          <t>SÖDERHAMN</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22720-2023</t>
        </is>
      </c>
      <c r="B7101" s="1" t="n">
        <v>45071</v>
      </c>
      <c r="C7101" s="1" t="n">
        <v>45677</v>
      </c>
      <c r="D7101" t="inlineStr">
        <is>
          <t>GÄVLEBORGS LÄN</t>
        </is>
      </c>
      <c r="E7101" t="inlineStr">
        <is>
          <t>GÄVLE</t>
        </is>
      </c>
      <c r="F7101" t="inlineStr">
        <is>
          <t>Bergvik skog öst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22738-2023</t>
        </is>
      </c>
      <c r="B7102" s="1" t="n">
        <v>45072</v>
      </c>
      <c r="C7102" s="1" t="n">
        <v>45677</v>
      </c>
      <c r="D7102" t="inlineStr">
        <is>
          <t>GÄVLEBORGS LÄN</t>
        </is>
      </c>
      <c r="E7102" t="inlineStr">
        <is>
          <t>SÖDERHAMN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22724-2023</t>
        </is>
      </c>
      <c r="B7103" s="1" t="n">
        <v>45071</v>
      </c>
      <c r="C7103" s="1" t="n">
        <v>45677</v>
      </c>
      <c r="D7103" t="inlineStr">
        <is>
          <t>GÄVLEBORGS LÄN</t>
        </is>
      </c>
      <c r="E7103" t="inlineStr">
        <is>
          <t>GÄVLE</t>
        </is>
      </c>
      <c r="F7103" t="inlineStr">
        <is>
          <t>Bergvik skog öst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22741-2023</t>
        </is>
      </c>
      <c r="B7104" s="1" t="n">
        <v>45072</v>
      </c>
      <c r="C7104" s="1" t="n">
        <v>45677</v>
      </c>
      <c r="D7104" t="inlineStr">
        <is>
          <t>GÄVLEBORGS LÄN</t>
        </is>
      </c>
      <c r="E7104" t="inlineStr">
        <is>
          <t>GÄVLE</t>
        </is>
      </c>
      <c r="F7104" t="inlineStr">
        <is>
          <t>Bergvik skog öst AB</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22727-2023</t>
        </is>
      </c>
      <c r="B7105" s="1" t="n">
        <v>45072</v>
      </c>
      <c r="C7105" s="1" t="n">
        <v>45677</v>
      </c>
      <c r="D7105" t="inlineStr">
        <is>
          <t>GÄVLEBORGS LÄN</t>
        </is>
      </c>
      <c r="E7105" t="inlineStr">
        <is>
          <t>LJUSDAL</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22774-2023</t>
        </is>
      </c>
      <c r="B7106" s="1" t="n">
        <v>45072</v>
      </c>
      <c r="C7106" s="1" t="n">
        <v>45677</v>
      </c>
      <c r="D7106" t="inlineStr">
        <is>
          <t>GÄVLEBORGS LÄN</t>
        </is>
      </c>
      <c r="E7106" t="inlineStr">
        <is>
          <t>OVANÅKER</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22777-2023</t>
        </is>
      </c>
      <c r="B7107" s="1" t="n">
        <v>45072</v>
      </c>
      <c r="C7107" s="1" t="n">
        <v>45677</v>
      </c>
      <c r="D7107" t="inlineStr">
        <is>
          <t>GÄVLEBORGS LÄN</t>
        </is>
      </c>
      <c r="E7107" t="inlineStr">
        <is>
          <t>GÄVLE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22857-2023</t>
        </is>
      </c>
      <c r="B7108" s="1" t="n">
        <v>45072</v>
      </c>
      <c r="C7108" s="1" t="n">
        <v>45677</v>
      </c>
      <c r="D7108" t="inlineStr">
        <is>
          <t>GÄVLEBORGS LÄN</t>
        </is>
      </c>
      <c r="E7108" t="inlineStr">
        <is>
          <t>SÖDERHAMN</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22863-2023</t>
        </is>
      </c>
      <c r="B7109" s="1" t="n">
        <v>45072</v>
      </c>
      <c r="C7109" s="1" t="n">
        <v>45677</v>
      </c>
      <c r="D7109" t="inlineStr">
        <is>
          <t>GÄVLEBORGS LÄN</t>
        </is>
      </c>
      <c r="E7109" t="inlineStr">
        <is>
          <t>NORDANSTIG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22868-2023</t>
        </is>
      </c>
      <c r="B7110" s="1" t="n">
        <v>45072</v>
      </c>
      <c r="C7110" s="1" t="n">
        <v>45677</v>
      </c>
      <c r="D7110" t="inlineStr">
        <is>
          <t>GÄVLEBORGS LÄN</t>
        </is>
      </c>
      <c r="E7110" t="inlineStr">
        <is>
          <t>NORDANSTIG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22787-2023</t>
        </is>
      </c>
      <c r="B7111" s="1" t="n">
        <v>45072</v>
      </c>
      <c r="C7111" s="1" t="n">
        <v>45677</v>
      </c>
      <c r="D7111" t="inlineStr">
        <is>
          <t>GÄVLEBORGS LÄN</t>
        </is>
      </c>
      <c r="E7111" t="inlineStr">
        <is>
          <t>HOFORS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22791-2023</t>
        </is>
      </c>
      <c r="B7112" s="1" t="n">
        <v>45072</v>
      </c>
      <c r="C7112" s="1" t="n">
        <v>45677</v>
      </c>
      <c r="D7112" t="inlineStr">
        <is>
          <t>GÄVLEBORGS LÄN</t>
        </is>
      </c>
      <c r="E7112" t="inlineStr">
        <is>
          <t>OCKELBO</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22801-2023</t>
        </is>
      </c>
      <c r="B7113" s="1" t="n">
        <v>45072</v>
      </c>
      <c r="C7113" s="1" t="n">
        <v>45677</v>
      </c>
      <c r="D7113" t="inlineStr">
        <is>
          <t>GÄVLEBORGS LÄN</t>
        </is>
      </c>
      <c r="E7113" t="inlineStr">
        <is>
          <t>LJUSDAL</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22810-2023</t>
        </is>
      </c>
      <c r="B7114" s="1" t="n">
        <v>45072</v>
      </c>
      <c r="C7114" s="1" t="n">
        <v>45677</v>
      </c>
      <c r="D7114" t="inlineStr">
        <is>
          <t>GÄVLEBORGS LÄN</t>
        </is>
      </c>
      <c r="E7114" t="inlineStr">
        <is>
          <t>LJUSDAL</t>
        </is>
      </c>
      <c r="F7114" t="inlineStr">
        <is>
          <t>Sveaskog</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22870-2023</t>
        </is>
      </c>
      <c r="B7115" s="1" t="n">
        <v>45072</v>
      </c>
      <c r="C7115" s="1" t="n">
        <v>45677</v>
      </c>
      <c r="D7115" t="inlineStr">
        <is>
          <t>GÄVLEBORGS LÄN</t>
        </is>
      </c>
      <c r="E7115" t="inlineStr">
        <is>
          <t>LJUSDAL</t>
        </is>
      </c>
      <c r="F7115" t="inlineStr">
        <is>
          <t>Sveaskog</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22892-2023</t>
        </is>
      </c>
      <c r="B7116" s="1" t="n">
        <v>45072</v>
      </c>
      <c r="C7116" s="1" t="n">
        <v>45677</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22904-2023</t>
        </is>
      </c>
      <c r="B7117" s="1" t="n">
        <v>45072</v>
      </c>
      <c r="C7117" s="1" t="n">
        <v>45677</v>
      </c>
      <c r="D7117" t="inlineStr">
        <is>
          <t>GÄVLEBORGS LÄN</t>
        </is>
      </c>
      <c r="E7117" t="inlineStr">
        <is>
          <t>HOFORS</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22919-2023</t>
        </is>
      </c>
      <c r="B7118" s="1" t="n">
        <v>45072</v>
      </c>
      <c r="C7118" s="1" t="n">
        <v>45677</v>
      </c>
      <c r="D7118" t="inlineStr">
        <is>
          <t>GÄVLEBORGS LÄN</t>
        </is>
      </c>
      <c r="E7118" t="inlineStr">
        <is>
          <t>BOLLNÄS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22954-2023</t>
        </is>
      </c>
      <c r="B7119" s="1" t="n">
        <v>45072</v>
      </c>
      <c r="C7119" s="1" t="n">
        <v>45677</v>
      </c>
      <c r="D7119" t="inlineStr">
        <is>
          <t>GÄVLEBORGS LÄN</t>
        </is>
      </c>
      <c r="E7119" t="inlineStr">
        <is>
          <t>OVANÅKER</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22959-2023</t>
        </is>
      </c>
      <c r="B7120" s="1" t="n">
        <v>45072</v>
      </c>
      <c r="C7120" s="1" t="n">
        <v>45677</v>
      </c>
      <c r="D7120" t="inlineStr">
        <is>
          <t>GÄVLEBORGS LÄN</t>
        </is>
      </c>
      <c r="E7120" t="inlineStr">
        <is>
          <t>LJUSDAL</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22783-2023</t>
        </is>
      </c>
      <c r="B7121" s="1" t="n">
        <v>45072</v>
      </c>
      <c r="C7121" s="1" t="n">
        <v>45677</v>
      </c>
      <c r="D7121" t="inlineStr">
        <is>
          <t>GÄVLEBORGS LÄN</t>
        </is>
      </c>
      <c r="E7121" t="inlineStr">
        <is>
          <t>HOFORS</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22788-2023</t>
        </is>
      </c>
      <c r="B7122" s="1" t="n">
        <v>45072</v>
      </c>
      <c r="C7122" s="1" t="n">
        <v>45677</v>
      </c>
      <c r="D7122" t="inlineStr">
        <is>
          <t>GÄVLEBORGS LÄN</t>
        </is>
      </c>
      <c r="E7122" t="inlineStr">
        <is>
          <t>OVANÅKER</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22952-2023</t>
        </is>
      </c>
      <c r="B7123" s="1" t="n">
        <v>45072</v>
      </c>
      <c r="C7123" s="1" t="n">
        <v>45677</v>
      </c>
      <c r="D7123" t="inlineStr">
        <is>
          <t>GÄVLEBORGS LÄN</t>
        </is>
      </c>
      <c r="E7123" t="inlineStr">
        <is>
          <t>OCKELBO</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22979-2023</t>
        </is>
      </c>
      <c r="B7124" s="1" t="n">
        <v>45073</v>
      </c>
      <c r="C7124" s="1" t="n">
        <v>45677</v>
      </c>
      <c r="D7124" t="inlineStr">
        <is>
          <t>GÄVLEBORGS LÄN</t>
        </is>
      </c>
      <c r="E7124" t="inlineStr">
        <is>
          <t>LJUSDAL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22797-2023</t>
        </is>
      </c>
      <c r="B7125" s="1" t="n">
        <v>45072</v>
      </c>
      <c r="C7125" s="1" t="n">
        <v>45677</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22843-2023</t>
        </is>
      </c>
      <c r="B7126" s="1" t="n">
        <v>45072</v>
      </c>
      <c r="C7126" s="1" t="n">
        <v>45677</v>
      </c>
      <c r="D7126" t="inlineStr">
        <is>
          <t>GÄVLEBORGS LÄN</t>
        </is>
      </c>
      <c r="E7126" t="inlineStr">
        <is>
          <t>SÖDERHAMN</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22891-2023</t>
        </is>
      </c>
      <c r="B7127" s="1" t="n">
        <v>45072</v>
      </c>
      <c r="C7127" s="1" t="n">
        <v>45677</v>
      </c>
      <c r="D7127" t="inlineStr">
        <is>
          <t>GÄVLEBORGS LÄN</t>
        </is>
      </c>
      <c r="E7127" t="inlineStr">
        <is>
          <t>BOLLNÄS</t>
        </is>
      </c>
      <c r="F7127" t="inlineStr">
        <is>
          <t>Bergvik skog väst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22918-2023</t>
        </is>
      </c>
      <c r="B7128" s="1" t="n">
        <v>45072</v>
      </c>
      <c r="C7128" s="1" t="n">
        <v>45677</v>
      </c>
      <c r="D7128" t="inlineStr">
        <is>
          <t>GÄVLEBORGS LÄN</t>
        </is>
      </c>
      <c r="E7128" t="inlineStr">
        <is>
          <t>BOLLNÄS</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22945-2023</t>
        </is>
      </c>
      <c r="B7129" s="1" t="n">
        <v>45072</v>
      </c>
      <c r="C7129" s="1" t="n">
        <v>45677</v>
      </c>
      <c r="D7129" t="inlineStr">
        <is>
          <t>GÄVLEBORGS LÄN</t>
        </is>
      </c>
      <c r="E7129" t="inlineStr">
        <is>
          <t>HUDIKSVALL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22862-2023</t>
        </is>
      </c>
      <c r="B7130" s="1" t="n">
        <v>45072</v>
      </c>
      <c r="C7130" s="1" t="n">
        <v>45677</v>
      </c>
      <c r="D7130" t="inlineStr">
        <is>
          <t>GÄVLEBORGS LÄN</t>
        </is>
      </c>
      <c r="E7130" t="inlineStr">
        <is>
          <t>SÖDERHAMN</t>
        </is>
      </c>
      <c r="F7130" t="inlineStr">
        <is>
          <t>Bergvik skog väst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22867-2023</t>
        </is>
      </c>
      <c r="B7131" s="1" t="n">
        <v>45072</v>
      </c>
      <c r="C7131" s="1" t="n">
        <v>45677</v>
      </c>
      <c r="D7131" t="inlineStr">
        <is>
          <t>GÄVLEBORGS LÄN</t>
        </is>
      </c>
      <c r="E7131" t="inlineStr">
        <is>
          <t>LJUSDAL</t>
        </is>
      </c>
      <c r="F7131" t="inlineStr">
        <is>
          <t>Sveaskog</t>
        </is>
      </c>
      <c r="G7131" t="n">
        <v>18.1</v>
      </c>
      <c r="H7131" t="n">
        <v>0</v>
      </c>
      <c r="I7131" t="n">
        <v>0</v>
      </c>
      <c r="J7131" t="n">
        <v>0</v>
      </c>
      <c r="K7131" t="n">
        <v>0</v>
      </c>
      <c r="L7131" t="n">
        <v>0</v>
      </c>
      <c r="M7131" t="n">
        <v>0</v>
      </c>
      <c r="N7131" t="n">
        <v>0</v>
      </c>
      <c r="O7131" t="n">
        <v>0</v>
      </c>
      <c r="P7131" t="n">
        <v>0</v>
      </c>
      <c r="Q7131" t="n">
        <v>0</v>
      </c>
      <c r="R7131" s="2" t="inlineStr"/>
    </row>
    <row r="7132" ht="15" customHeight="1">
      <c r="A7132" t="inlineStr">
        <is>
          <t>A 22889-2023</t>
        </is>
      </c>
      <c r="B7132" s="1" t="n">
        <v>45072</v>
      </c>
      <c r="C7132" s="1" t="n">
        <v>45677</v>
      </c>
      <c r="D7132" t="inlineStr">
        <is>
          <t>GÄVLEBORGS LÄN</t>
        </is>
      </c>
      <c r="E7132" t="inlineStr">
        <is>
          <t>BOLLNÄS</t>
        </is>
      </c>
      <c r="F7132" t="inlineStr">
        <is>
          <t>Bergvik skog väst AB</t>
        </is>
      </c>
      <c r="G7132" t="n">
        <v>14.9</v>
      </c>
      <c r="H7132" t="n">
        <v>0</v>
      </c>
      <c r="I7132" t="n">
        <v>0</v>
      </c>
      <c r="J7132" t="n">
        <v>0</v>
      </c>
      <c r="K7132" t="n">
        <v>0</v>
      </c>
      <c r="L7132" t="n">
        <v>0</v>
      </c>
      <c r="M7132" t="n">
        <v>0</v>
      </c>
      <c r="N7132" t="n">
        <v>0</v>
      </c>
      <c r="O7132" t="n">
        <v>0</v>
      </c>
      <c r="P7132" t="n">
        <v>0</v>
      </c>
      <c r="Q7132" t="n">
        <v>0</v>
      </c>
      <c r="R7132" s="2" t="inlineStr"/>
    </row>
    <row r="7133" ht="15" customHeight="1">
      <c r="A7133" t="inlineStr">
        <is>
          <t>A 22980-2023</t>
        </is>
      </c>
      <c r="B7133" s="1" t="n">
        <v>45073</v>
      </c>
      <c r="C7133" s="1" t="n">
        <v>45677</v>
      </c>
      <c r="D7133" t="inlineStr">
        <is>
          <t>GÄVLEBORGS LÄN</t>
        </is>
      </c>
      <c r="E7133" t="inlineStr">
        <is>
          <t>LJUSDAL</t>
        </is>
      </c>
      <c r="G7133" t="n">
        <v>12.1</v>
      </c>
      <c r="H7133" t="n">
        <v>0</v>
      </c>
      <c r="I7133" t="n">
        <v>0</v>
      </c>
      <c r="J7133" t="n">
        <v>0</v>
      </c>
      <c r="K7133" t="n">
        <v>0</v>
      </c>
      <c r="L7133" t="n">
        <v>0</v>
      </c>
      <c r="M7133" t="n">
        <v>0</v>
      </c>
      <c r="N7133" t="n">
        <v>0</v>
      </c>
      <c r="O7133" t="n">
        <v>0</v>
      </c>
      <c r="P7133" t="n">
        <v>0</v>
      </c>
      <c r="Q7133" t="n">
        <v>0</v>
      </c>
      <c r="R7133" s="2" t="inlineStr"/>
    </row>
    <row r="7134" ht="15" customHeight="1">
      <c r="A7134" t="inlineStr">
        <is>
          <t>A 23006-2023</t>
        </is>
      </c>
      <c r="B7134" s="1" t="n">
        <v>45073</v>
      </c>
      <c r="C7134" s="1" t="n">
        <v>45677</v>
      </c>
      <c r="D7134" t="inlineStr">
        <is>
          <t>GÄVLEBORGS LÄN</t>
        </is>
      </c>
      <c r="E7134" t="inlineStr">
        <is>
          <t>OCKELBO</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23133-2023</t>
        </is>
      </c>
      <c r="B7135" s="1" t="n">
        <v>45075</v>
      </c>
      <c r="C7135" s="1" t="n">
        <v>45677</v>
      </c>
      <c r="D7135" t="inlineStr">
        <is>
          <t>GÄVLEBORGS LÄN</t>
        </is>
      </c>
      <c r="E7135" t="inlineStr">
        <is>
          <t>NORDANSTIG</t>
        </is>
      </c>
      <c r="F7135" t="inlineStr">
        <is>
          <t>Holmen skog AB</t>
        </is>
      </c>
      <c r="G7135" t="n">
        <v>13.3</v>
      </c>
      <c r="H7135" t="n">
        <v>0</v>
      </c>
      <c r="I7135" t="n">
        <v>0</v>
      </c>
      <c r="J7135" t="n">
        <v>0</v>
      </c>
      <c r="K7135" t="n">
        <v>0</v>
      </c>
      <c r="L7135" t="n">
        <v>0</v>
      </c>
      <c r="M7135" t="n">
        <v>0</v>
      </c>
      <c r="N7135" t="n">
        <v>0</v>
      </c>
      <c r="O7135" t="n">
        <v>0</v>
      </c>
      <c r="P7135" t="n">
        <v>0</v>
      </c>
      <c r="Q7135" t="n">
        <v>0</v>
      </c>
      <c r="R7135" s="2" t="inlineStr"/>
    </row>
    <row r="7136" ht="15" customHeight="1">
      <c r="A7136" t="inlineStr">
        <is>
          <t>A 23162-2023</t>
        </is>
      </c>
      <c r="B7136" s="1" t="n">
        <v>45075</v>
      </c>
      <c r="C7136" s="1" t="n">
        <v>45677</v>
      </c>
      <c r="D7136" t="inlineStr">
        <is>
          <t>GÄVLEBORGS LÄN</t>
        </is>
      </c>
      <c r="E7136" t="inlineStr">
        <is>
          <t>SANDVIKEN</t>
        </is>
      </c>
      <c r="F7136" t="inlineStr">
        <is>
          <t>Bergvik skog öst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23219-2023</t>
        </is>
      </c>
      <c r="B7137" s="1" t="n">
        <v>45075</v>
      </c>
      <c r="C7137" s="1" t="n">
        <v>45677</v>
      </c>
      <c r="D7137" t="inlineStr">
        <is>
          <t>GÄVLEBORGS LÄN</t>
        </is>
      </c>
      <c r="E7137" t="inlineStr">
        <is>
          <t>HUDIKSVALL</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23252-2023</t>
        </is>
      </c>
      <c r="B7138" s="1" t="n">
        <v>45075</v>
      </c>
      <c r="C7138" s="1" t="n">
        <v>45677</v>
      </c>
      <c r="D7138" t="inlineStr">
        <is>
          <t>GÄVLEBORGS LÄN</t>
        </is>
      </c>
      <c r="E7138" t="inlineStr">
        <is>
          <t>HUDIKSVALL</t>
        </is>
      </c>
      <c r="F7138" t="inlineStr">
        <is>
          <t>Holmen skog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23085-2023</t>
        </is>
      </c>
      <c r="B7139" s="1" t="n">
        <v>45075</v>
      </c>
      <c r="C7139" s="1" t="n">
        <v>45677</v>
      </c>
      <c r="D7139" t="inlineStr">
        <is>
          <t>GÄVLEBORGS LÄN</t>
        </is>
      </c>
      <c r="E7139" t="inlineStr">
        <is>
          <t>SANDVIKEN</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23276-2023</t>
        </is>
      </c>
      <c r="B7140" s="1" t="n">
        <v>45076</v>
      </c>
      <c r="C7140" s="1" t="n">
        <v>45677</v>
      </c>
      <c r="D7140" t="inlineStr">
        <is>
          <t>GÄVLEBORGS LÄN</t>
        </is>
      </c>
      <c r="E7140" t="inlineStr">
        <is>
          <t>HUDIKSVALL</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23169-2023</t>
        </is>
      </c>
      <c r="B7141" s="1" t="n">
        <v>45075</v>
      </c>
      <c r="C7141" s="1" t="n">
        <v>45677</v>
      </c>
      <c r="D7141" t="inlineStr">
        <is>
          <t>GÄVLEBORGS LÄN</t>
        </is>
      </c>
      <c r="E7141" t="inlineStr">
        <is>
          <t>HUDIKSVALL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23187-2023</t>
        </is>
      </c>
      <c r="B7142" s="1" t="n">
        <v>45075</v>
      </c>
      <c r="C7142" s="1" t="n">
        <v>45677</v>
      </c>
      <c r="D7142" t="inlineStr">
        <is>
          <t>GÄVLEBORGS LÄN</t>
        </is>
      </c>
      <c r="E7142" t="inlineStr">
        <is>
          <t>HUDIKSVALL</t>
        </is>
      </c>
      <c r="F7142" t="inlineStr">
        <is>
          <t>Kommuner</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23217-2023</t>
        </is>
      </c>
      <c r="B7143" s="1" t="n">
        <v>45075</v>
      </c>
      <c r="C7143" s="1" t="n">
        <v>45677</v>
      </c>
      <c r="D7143" t="inlineStr">
        <is>
          <t>GÄVLEBORGS LÄN</t>
        </is>
      </c>
      <c r="E7143" t="inlineStr">
        <is>
          <t>SANDVIKEN</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23237-2023</t>
        </is>
      </c>
      <c r="B7144" s="1" t="n">
        <v>45075</v>
      </c>
      <c r="C7144" s="1" t="n">
        <v>45677</v>
      </c>
      <c r="D7144" t="inlineStr">
        <is>
          <t>GÄVLEBORGS LÄN</t>
        </is>
      </c>
      <c r="E7144" t="inlineStr">
        <is>
          <t>NORDANSTIG</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23244-2023</t>
        </is>
      </c>
      <c r="B7145" s="1" t="n">
        <v>45075</v>
      </c>
      <c r="C7145" s="1" t="n">
        <v>45677</v>
      </c>
      <c r="D7145" t="inlineStr">
        <is>
          <t>GÄVLEBORGS LÄN</t>
        </is>
      </c>
      <c r="E7145" t="inlineStr">
        <is>
          <t>NORDANSTIG</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23258-2023</t>
        </is>
      </c>
      <c r="B7146" s="1" t="n">
        <v>45075</v>
      </c>
      <c r="C7146" s="1" t="n">
        <v>45677</v>
      </c>
      <c r="D7146" t="inlineStr">
        <is>
          <t>GÄVLEBORGS LÄN</t>
        </is>
      </c>
      <c r="E7146" t="inlineStr">
        <is>
          <t>NORDANSTIG</t>
        </is>
      </c>
      <c r="F7146" t="inlineStr">
        <is>
          <t>Holmen skog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23417-2023</t>
        </is>
      </c>
      <c r="B7147" s="1" t="n">
        <v>45076</v>
      </c>
      <c r="C7147" s="1" t="n">
        <v>45677</v>
      </c>
      <c r="D7147" t="inlineStr">
        <is>
          <t>GÄVLEBORGS LÄN</t>
        </is>
      </c>
      <c r="E7147" t="inlineStr">
        <is>
          <t>NORDANSTIG</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23431-2023</t>
        </is>
      </c>
      <c r="B7148" s="1" t="n">
        <v>45076</v>
      </c>
      <c r="C7148" s="1" t="n">
        <v>45677</v>
      </c>
      <c r="D7148" t="inlineStr">
        <is>
          <t>GÄVLEBORGS LÄN</t>
        </is>
      </c>
      <c r="E7148" t="inlineStr">
        <is>
          <t>NORDANSTIG</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23468-2023</t>
        </is>
      </c>
      <c r="B7149" s="1" t="n">
        <v>45076</v>
      </c>
      <c r="C7149" s="1" t="n">
        <v>45677</v>
      </c>
      <c r="D7149" t="inlineStr">
        <is>
          <t>GÄVLEBORGS LÄN</t>
        </is>
      </c>
      <c r="E7149" t="inlineStr">
        <is>
          <t>HUDIKSVALL</t>
        </is>
      </c>
      <c r="F7149" t="inlineStr">
        <is>
          <t>Holmen skog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23365-2023</t>
        </is>
      </c>
      <c r="B7150" s="1" t="n">
        <v>45076</v>
      </c>
      <c r="C7150" s="1" t="n">
        <v>45677</v>
      </c>
      <c r="D7150" t="inlineStr">
        <is>
          <t>GÄVLEBORGS LÄN</t>
        </is>
      </c>
      <c r="E7150" t="inlineStr">
        <is>
          <t>HUDIKSVALL</t>
        </is>
      </c>
      <c r="F7150" t="inlineStr">
        <is>
          <t>Holmen skog AB</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24275-2023</t>
        </is>
      </c>
      <c r="B7151" s="1" t="n">
        <v>45076</v>
      </c>
      <c r="C7151" s="1" t="n">
        <v>45677</v>
      </c>
      <c r="D7151" t="inlineStr">
        <is>
          <t>GÄVLEBORGS LÄN</t>
        </is>
      </c>
      <c r="E7151" t="inlineStr">
        <is>
          <t>SANDVIKEN</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24227-2023</t>
        </is>
      </c>
      <c r="B7152" s="1" t="n">
        <v>45076</v>
      </c>
      <c r="C7152" s="1" t="n">
        <v>45677</v>
      </c>
      <c r="D7152" t="inlineStr">
        <is>
          <t>GÄVLEBORGS LÄN</t>
        </is>
      </c>
      <c r="E7152" t="inlineStr">
        <is>
          <t>SANDVIKEN</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23657-2023</t>
        </is>
      </c>
      <c r="B7153" s="1" t="n">
        <v>45077</v>
      </c>
      <c r="C7153" s="1" t="n">
        <v>45677</v>
      </c>
      <c r="D7153" t="inlineStr">
        <is>
          <t>GÄVLEBORGS LÄN</t>
        </is>
      </c>
      <c r="E7153" t="inlineStr">
        <is>
          <t>HUDIKSVALL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23711-2023</t>
        </is>
      </c>
      <c r="B7154" s="1" t="n">
        <v>45077</v>
      </c>
      <c r="C7154" s="1" t="n">
        <v>45677</v>
      </c>
      <c r="D7154" t="inlineStr">
        <is>
          <t>GÄVLEBORGS LÄN</t>
        </is>
      </c>
      <c r="E7154" t="inlineStr">
        <is>
          <t>LJUSDAL</t>
        </is>
      </c>
      <c r="G7154" t="n">
        <v>34.9</v>
      </c>
      <c r="H7154" t="n">
        <v>0</v>
      </c>
      <c r="I7154" t="n">
        <v>0</v>
      </c>
      <c r="J7154" t="n">
        <v>0</v>
      </c>
      <c r="K7154" t="n">
        <v>0</v>
      </c>
      <c r="L7154" t="n">
        <v>0</v>
      </c>
      <c r="M7154" t="n">
        <v>0</v>
      </c>
      <c r="N7154" t="n">
        <v>0</v>
      </c>
      <c r="O7154" t="n">
        <v>0</v>
      </c>
      <c r="P7154" t="n">
        <v>0</v>
      </c>
      <c r="Q7154" t="n">
        <v>0</v>
      </c>
      <c r="R7154" s="2" t="inlineStr"/>
    </row>
    <row r="7155" ht="15" customHeight="1">
      <c r="A7155" t="inlineStr">
        <is>
          <t>A 23784-2023</t>
        </is>
      </c>
      <c r="B7155" s="1" t="n">
        <v>45078</v>
      </c>
      <c r="C7155" s="1" t="n">
        <v>45677</v>
      </c>
      <c r="D7155" t="inlineStr">
        <is>
          <t>GÄVLEBORGS LÄN</t>
        </is>
      </c>
      <c r="E7155" t="inlineStr">
        <is>
          <t>HUDIKSVALL</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23792-2023</t>
        </is>
      </c>
      <c r="B7156" s="1" t="n">
        <v>45078</v>
      </c>
      <c r="C7156" s="1" t="n">
        <v>45677</v>
      </c>
      <c r="D7156" t="inlineStr">
        <is>
          <t>GÄVLEBORGS LÄN</t>
        </is>
      </c>
      <c r="E7156" t="inlineStr">
        <is>
          <t>HUDIKSVALL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23846-2023</t>
        </is>
      </c>
      <c r="B7157" s="1" t="n">
        <v>45078</v>
      </c>
      <c r="C7157" s="1" t="n">
        <v>45677</v>
      </c>
      <c r="D7157" t="inlineStr">
        <is>
          <t>GÄVLEBORGS LÄN</t>
        </is>
      </c>
      <c r="E7157" t="inlineStr">
        <is>
          <t>LJUSDAL</t>
        </is>
      </c>
      <c r="F7157" t="inlineStr">
        <is>
          <t>Allmännings- och besparingsskogar</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23921-2023</t>
        </is>
      </c>
      <c r="B7158" s="1" t="n">
        <v>45078</v>
      </c>
      <c r="C7158" s="1" t="n">
        <v>45677</v>
      </c>
      <c r="D7158" t="inlineStr">
        <is>
          <t>GÄVLEBORGS LÄN</t>
        </is>
      </c>
      <c r="E7158" t="inlineStr">
        <is>
          <t>HUDIKSVALL</t>
        </is>
      </c>
      <c r="F7158" t="inlineStr">
        <is>
          <t>Holmen skog AB</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23787-2023</t>
        </is>
      </c>
      <c r="B7159" s="1" t="n">
        <v>45078</v>
      </c>
      <c r="C7159" s="1" t="n">
        <v>45677</v>
      </c>
      <c r="D7159" t="inlineStr">
        <is>
          <t>GÄVLEBORGS LÄN</t>
        </is>
      </c>
      <c r="E7159" t="inlineStr">
        <is>
          <t>HUDIKSVALL</t>
        </is>
      </c>
      <c r="G7159" t="n">
        <v>2.7</v>
      </c>
      <c r="H7159" t="n">
        <v>0</v>
      </c>
      <c r="I7159" t="n">
        <v>0</v>
      </c>
      <c r="J7159" t="n">
        <v>0</v>
      </c>
      <c r="K7159" t="n">
        <v>0</v>
      </c>
      <c r="L7159" t="n">
        <v>0</v>
      </c>
      <c r="M7159" t="n">
        <v>0</v>
      </c>
      <c r="N7159" t="n">
        <v>0</v>
      </c>
      <c r="O7159" t="n">
        <v>0</v>
      </c>
      <c r="P7159" t="n">
        <v>0</v>
      </c>
      <c r="Q7159" t="n">
        <v>0</v>
      </c>
      <c r="R7159" s="2" t="inlineStr"/>
      <c r="U7159">
        <f>HYPERLINK("https://klasma.github.io/Logging_2184/knärot/A 23787-2023 karta knärot.png", "A 23787-2023")</f>
        <v/>
      </c>
      <c r="V7159">
        <f>HYPERLINK("https://klasma.github.io/Logging_2184/klagomål/A 23787-2023 FSC-klagomål.docx", "A 23787-2023")</f>
        <v/>
      </c>
      <c r="W7159">
        <f>HYPERLINK("https://klasma.github.io/Logging_2184/klagomålsmail/A 23787-2023 FSC-klagomål mail.docx", "A 23787-2023")</f>
        <v/>
      </c>
      <c r="X7159">
        <f>HYPERLINK("https://klasma.github.io/Logging_2184/tillsyn/A 23787-2023 tillsynsbegäran.docx", "A 23787-2023")</f>
        <v/>
      </c>
      <c r="Y7159">
        <f>HYPERLINK("https://klasma.github.io/Logging_2184/tillsynsmail/A 23787-2023 tillsynsbegäran mail.docx", "A 23787-2023")</f>
        <v/>
      </c>
    </row>
    <row r="7160" ht="15" customHeight="1">
      <c r="A7160" t="inlineStr">
        <is>
          <t>A 23848-2023</t>
        </is>
      </c>
      <c r="B7160" s="1" t="n">
        <v>45078</v>
      </c>
      <c r="C7160" s="1" t="n">
        <v>45677</v>
      </c>
      <c r="D7160" t="inlineStr">
        <is>
          <t>GÄVLEBORGS LÄN</t>
        </is>
      </c>
      <c r="E7160" t="inlineStr">
        <is>
          <t>LJUSDAL</t>
        </is>
      </c>
      <c r="F7160" t="inlineStr">
        <is>
          <t>Allmännings- och besparingsskogar</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23881-2023</t>
        </is>
      </c>
      <c r="B7161" s="1" t="n">
        <v>45078</v>
      </c>
      <c r="C7161" s="1" t="n">
        <v>45677</v>
      </c>
      <c r="D7161" t="inlineStr">
        <is>
          <t>GÄVLEBORGS LÄN</t>
        </is>
      </c>
      <c r="E7161" t="inlineStr">
        <is>
          <t>BOLLNÄS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23918-2023</t>
        </is>
      </c>
      <c r="B7162" s="1" t="n">
        <v>45078</v>
      </c>
      <c r="C7162" s="1" t="n">
        <v>45677</v>
      </c>
      <c r="D7162" t="inlineStr">
        <is>
          <t>GÄVLEBORGS LÄN</t>
        </is>
      </c>
      <c r="E7162" t="inlineStr">
        <is>
          <t>SÖDERHAMN</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23935-2023</t>
        </is>
      </c>
      <c r="B7163" s="1" t="n">
        <v>45078</v>
      </c>
      <c r="C7163" s="1" t="n">
        <v>45677</v>
      </c>
      <c r="D7163" t="inlineStr">
        <is>
          <t>GÄVLEBORGS LÄN</t>
        </is>
      </c>
      <c r="E7163" t="inlineStr">
        <is>
          <t>BOLLNÄS</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23947-2023</t>
        </is>
      </c>
      <c r="B7164" s="1" t="n">
        <v>45078</v>
      </c>
      <c r="C7164" s="1" t="n">
        <v>45677</v>
      </c>
      <c r="D7164" t="inlineStr">
        <is>
          <t>GÄVLEBORGS LÄN</t>
        </is>
      </c>
      <c r="E7164" t="inlineStr">
        <is>
          <t>BOLLNÄS</t>
        </is>
      </c>
      <c r="F7164" t="inlineStr">
        <is>
          <t>Bergvik skog väst AB</t>
        </is>
      </c>
      <c r="G7164" t="n">
        <v>12.6</v>
      </c>
      <c r="H7164" t="n">
        <v>0</v>
      </c>
      <c r="I7164" t="n">
        <v>0</v>
      </c>
      <c r="J7164" t="n">
        <v>0</v>
      </c>
      <c r="K7164" t="n">
        <v>0</v>
      </c>
      <c r="L7164" t="n">
        <v>0</v>
      </c>
      <c r="M7164" t="n">
        <v>0</v>
      </c>
      <c r="N7164" t="n">
        <v>0</v>
      </c>
      <c r="O7164" t="n">
        <v>0</v>
      </c>
      <c r="P7164" t="n">
        <v>0</v>
      </c>
      <c r="Q7164" t="n">
        <v>0</v>
      </c>
      <c r="R7164" s="2" t="inlineStr"/>
    </row>
    <row r="7165" ht="15" customHeight="1">
      <c r="A7165" t="inlineStr">
        <is>
          <t>A 23841-2023</t>
        </is>
      </c>
      <c r="B7165" s="1" t="n">
        <v>45078</v>
      </c>
      <c r="C7165" s="1" t="n">
        <v>45677</v>
      </c>
      <c r="D7165" t="inlineStr">
        <is>
          <t>GÄVLEBORGS LÄN</t>
        </is>
      </c>
      <c r="E7165" t="inlineStr">
        <is>
          <t>LJUSDAL</t>
        </is>
      </c>
      <c r="F7165" t="inlineStr">
        <is>
          <t>Allmännings- och besparingsskogar</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23928-2023</t>
        </is>
      </c>
      <c r="B7166" s="1" t="n">
        <v>45078</v>
      </c>
      <c r="C7166" s="1" t="n">
        <v>45677</v>
      </c>
      <c r="D7166" t="inlineStr">
        <is>
          <t>GÄVLEBORGS LÄN</t>
        </is>
      </c>
      <c r="E7166" t="inlineStr">
        <is>
          <t>HUDIKSVALL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23845-2023</t>
        </is>
      </c>
      <c r="B7167" s="1" t="n">
        <v>45078</v>
      </c>
      <c r="C7167" s="1" t="n">
        <v>45677</v>
      </c>
      <c r="D7167" t="inlineStr">
        <is>
          <t>GÄVLEBORGS LÄN</t>
        </is>
      </c>
      <c r="E7167" t="inlineStr">
        <is>
          <t>HUDIKSVALL</t>
        </is>
      </c>
      <c r="F7167" t="inlineStr">
        <is>
          <t>Holmen skog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23853-2023</t>
        </is>
      </c>
      <c r="B7168" s="1" t="n">
        <v>45078</v>
      </c>
      <c r="C7168" s="1" t="n">
        <v>45677</v>
      </c>
      <c r="D7168" t="inlineStr">
        <is>
          <t>GÄVLEBORGS LÄN</t>
        </is>
      </c>
      <c r="E7168" t="inlineStr">
        <is>
          <t>LJUSDAL</t>
        </is>
      </c>
      <c r="F7168" t="inlineStr">
        <is>
          <t>Allmännings- och besparingsskogar</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23924-2023</t>
        </is>
      </c>
      <c r="B7169" s="1" t="n">
        <v>45078</v>
      </c>
      <c r="C7169" s="1" t="n">
        <v>45677</v>
      </c>
      <c r="D7169" t="inlineStr">
        <is>
          <t>GÄVLEBORGS LÄN</t>
        </is>
      </c>
      <c r="E7169" t="inlineStr">
        <is>
          <t>HUDIKSVALL</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23930-2023</t>
        </is>
      </c>
      <c r="B7170" s="1" t="n">
        <v>45078</v>
      </c>
      <c r="C7170" s="1" t="n">
        <v>45677</v>
      </c>
      <c r="D7170" t="inlineStr">
        <is>
          <t>GÄVLEBORGS LÄN</t>
        </is>
      </c>
      <c r="E7170" t="inlineStr">
        <is>
          <t>LJUSDAL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23961-2023</t>
        </is>
      </c>
      <c r="B7171" s="1" t="n">
        <v>45078</v>
      </c>
      <c r="C7171" s="1" t="n">
        <v>45677</v>
      </c>
      <c r="D7171" t="inlineStr">
        <is>
          <t>GÄVLEBORGS LÄN</t>
        </is>
      </c>
      <c r="E7171" t="inlineStr">
        <is>
          <t>LJUSDAL</t>
        </is>
      </c>
      <c r="G7171" t="n">
        <v>22.5</v>
      </c>
      <c r="H7171" t="n">
        <v>0</v>
      </c>
      <c r="I7171" t="n">
        <v>0</v>
      </c>
      <c r="J7171" t="n">
        <v>0</v>
      </c>
      <c r="K7171" t="n">
        <v>0</v>
      </c>
      <c r="L7171" t="n">
        <v>0</v>
      </c>
      <c r="M7171" t="n">
        <v>0</v>
      </c>
      <c r="N7171" t="n">
        <v>0</v>
      </c>
      <c r="O7171" t="n">
        <v>0</v>
      </c>
      <c r="P7171" t="n">
        <v>0</v>
      </c>
      <c r="Q7171" t="n">
        <v>0</v>
      </c>
      <c r="R7171" s="2" t="inlineStr"/>
    </row>
    <row r="7172" ht="15" customHeight="1">
      <c r="A7172" t="inlineStr">
        <is>
          <t>A 23980-2023</t>
        </is>
      </c>
      <c r="B7172" s="1" t="n">
        <v>45078</v>
      </c>
      <c r="C7172" s="1" t="n">
        <v>45677</v>
      </c>
      <c r="D7172" t="inlineStr">
        <is>
          <t>GÄVLEBORGS LÄN</t>
        </is>
      </c>
      <c r="E7172" t="inlineStr">
        <is>
          <t>NORDANSTIG</t>
        </is>
      </c>
      <c r="F7172" t="inlineStr">
        <is>
          <t>Kyrkan</t>
        </is>
      </c>
      <c r="G7172" t="n">
        <v>9.800000000000001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24081-2023</t>
        </is>
      </c>
      <c r="B7173" s="1" t="n">
        <v>45079</v>
      </c>
      <c r="C7173" s="1" t="n">
        <v>45677</v>
      </c>
      <c r="D7173" t="inlineStr">
        <is>
          <t>GÄVLEBORGS LÄN</t>
        </is>
      </c>
      <c r="E7173" t="inlineStr">
        <is>
          <t>OVANÅKER</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24086-2023</t>
        </is>
      </c>
      <c r="B7174" s="1" t="n">
        <v>45079</v>
      </c>
      <c r="C7174" s="1" t="n">
        <v>45677</v>
      </c>
      <c r="D7174" t="inlineStr">
        <is>
          <t>GÄVLEBORGS LÄN</t>
        </is>
      </c>
      <c r="E7174" t="inlineStr">
        <is>
          <t>OVANÅKER</t>
        </is>
      </c>
      <c r="F7174" t="inlineStr">
        <is>
          <t>Sveaskog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24199-2023</t>
        </is>
      </c>
      <c r="B7175" s="1" t="n">
        <v>45079</v>
      </c>
      <c r="C7175" s="1" t="n">
        <v>45677</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24217-2023</t>
        </is>
      </c>
      <c r="B7176" s="1" t="n">
        <v>45079</v>
      </c>
      <c r="C7176" s="1" t="n">
        <v>45677</v>
      </c>
      <c r="D7176" t="inlineStr">
        <is>
          <t>GÄVLEBORGS LÄN</t>
        </is>
      </c>
      <c r="E7176" t="inlineStr">
        <is>
          <t>HUDIKSVALL</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24221-2023</t>
        </is>
      </c>
      <c r="B7177" s="1" t="n">
        <v>45079</v>
      </c>
      <c r="C7177" s="1" t="n">
        <v>45677</v>
      </c>
      <c r="D7177" t="inlineStr">
        <is>
          <t>GÄVLEBORGS LÄN</t>
        </is>
      </c>
      <c r="E7177" t="inlineStr">
        <is>
          <t>LJUSDAL</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24082-2023</t>
        </is>
      </c>
      <c r="B7178" s="1" t="n">
        <v>45079</v>
      </c>
      <c r="C7178" s="1" t="n">
        <v>45677</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24083-2023</t>
        </is>
      </c>
      <c r="B7179" s="1" t="n">
        <v>45079</v>
      </c>
      <c r="C7179" s="1" t="n">
        <v>45677</v>
      </c>
      <c r="D7179" t="inlineStr">
        <is>
          <t>GÄVLEBORGS LÄN</t>
        </is>
      </c>
      <c r="E7179" t="inlineStr">
        <is>
          <t>OVANÅKER</t>
        </is>
      </c>
      <c r="F7179" t="inlineStr">
        <is>
          <t>Sveaskog</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24088-2023</t>
        </is>
      </c>
      <c r="B7180" s="1" t="n">
        <v>45079</v>
      </c>
      <c r="C7180" s="1" t="n">
        <v>45677</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24092-2023</t>
        </is>
      </c>
      <c r="B7181" s="1" t="n">
        <v>45079</v>
      </c>
      <c r="C7181" s="1" t="n">
        <v>45677</v>
      </c>
      <c r="D7181" t="inlineStr">
        <is>
          <t>GÄVLEBORGS LÄN</t>
        </is>
      </c>
      <c r="E7181" t="inlineStr">
        <is>
          <t>HUDIKSVALL</t>
        </is>
      </c>
      <c r="F7181" t="inlineStr">
        <is>
          <t>Holmen skog AB</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24096-2023</t>
        </is>
      </c>
      <c r="B7182" s="1" t="n">
        <v>45079</v>
      </c>
      <c r="C7182" s="1" t="n">
        <v>45677</v>
      </c>
      <c r="D7182" t="inlineStr">
        <is>
          <t>GÄVLEBORGS LÄN</t>
        </is>
      </c>
      <c r="E7182" t="inlineStr">
        <is>
          <t>NORDANSTIG</t>
        </is>
      </c>
      <c r="F7182" t="inlineStr">
        <is>
          <t>Holmen skog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24138-2023</t>
        </is>
      </c>
      <c r="B7183" s="1" t="n">
        <v>45079</v>
      </c>
      <c r="C7183" s="1" t="n">
        <v>45677</v>
      </c>
      <c r="D7183" t="inlineStr">
        <is>
          <t>GÄVLEBORGS LÄN</t>
        </is>
      </c>
      <c r="E7183" t="inlineStr">
        <is>
          <t>GÄVLE</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24153-2023</t>
        </is>
      </c>
      <c r="B7184" s="1" t="n">
        <v>45079</v>
      </c>
      <c r="C7184" s="1" t="n">
        <v>45677</v>
      </c>
      <c r="D7184" t="inlineStr">
        <is>
          <t>GÄVLEBORGS LÄN</t>
        </is>
      </c>
      <c r="E7184" t="inlineStr">
        <is>
          <t>SÖDERHAMN</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24106-2023</t>
        </is>
      </c>
      <c r="B7185" s="1" t="n">
        <v>45079</v>
      </c>
      <c r="C7185" s="1" t="n">
        <v>45677</v>
      </c>
      <c r="D7185" t="inlineStr">
        <is>
          <t>GÄVLEBORGS LÄN</t>
        </is>
      </c>
      <c r="E7185" t="inlineStr">
        <is>
          <t>NORDANSTIG</t>
        </is>
      </c>
      <c r="F7185" t="inlineStr">
        <is>
          <t>Holmen skog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24201-2023</t>
        </is>
      </c>
      <c r="B7186" s="1" t="n">
        <v>45079</v>
      </c>
      <c r="C7186" s="1" t="n">
        <v>45677</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24205-2023</t>
        </is>
      </c>
      <c r="B7187" s="1" t="n">
        <v>45079</v>
      </c>
      <c r="C7187" s="1" t="n">
        <v>45677</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24209-2023</t>
        </is>
      </c>
      <c r="B7188" s="1" t="n">
        <v>45079</v>
      </c>
      <c r="C7188" s="1" t="n">
        <v>45677</v>
      </c>
      <c r="D7188" t="inlineStr">
        <is>
          <t>GÄVLEBORGS LÄN</t>
        </is>
      </c>
      <c r="E7188" t="inlineStr">
        <is>
          <t>HUDIKSVALL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24223-2023</t>
        </is>
      </c>
      <c r="B7189" s="1" t="n">
        <v>45079</v>
      </c>
      <c r="C7189" s="1" t="n">
        <v>45677</v>
      </c>
      <c r="D7189" t="inlineStr">
        <is>
          <t>GÄVLEBORGS LÄN</t>
        </is>
      </c>
      <c r="E7189" t="inlineStr">
        <is>
          <t>HUDIKSVALL</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24242-2023</t>
        </is>
      </c>
      <c r="B7190" s="1" t="n">
        <v>45079</v>
      </c>
      <c r="C7190" s="1" t="n">
        <v>45677</v>
      </c>
      <c r="D7190" t="inlineStr">
        <is>
          <t>GÄVLEBORGS LÄN</t>
        </is>
      </c>
      <c r="E7190" t="inlineStr">
        <is>
          <t>NORDANSTIG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24190-2023</t>
        </is>
      </c>
      <c r="B7191" s="1" t="n">
        <v>45079</v>
      </c>
      <c r="C7191" s="1" t="n">
        <v>45677</v>
      </c>
      <c r="D7191" t="inlineStr">
        <is>
          <t>GÄVLEBORGS LÄN</t>
        </is>
      </c>
      <c r="E7191" t="inlineStr">
        <is>
          <t>LJUSDAL</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24210-2023</t>
        </is>
      </c>
      <c r="B7192" s="1" t="n">
        <v>45079</v>
      </c>
      <c r="C7192" s="1" t="n">
        <v>45677</v>
      </c>
      <c r="D7192" t="inlineStr">
        <is>
          <t>GÄVLEBORGS LÄN</t>
        </is>
      </c>
      <c r="E7192" t="inlineStr">
        <is>
          <t>HUDIKSVALL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24258-2023</t>
        </is>
      </c>
      <c r="B7193" s="1" t="n">
        <v>45079</v>
      </c>
      <c r="C7193" s="1" t="n">
        <v>45677</v>
      </c>
      <c r="D7193" t="inlineStr">
        <is>
          <t>GÄVLEBORGS LÄN</t>
        </is>
      </c>
      <c r="E7193" t="inlineStr">
        <is>
          <t>OVANÅKER</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24208-2023</t>
        </is>
      </c>
      <c r="B7194" s="1" t="n">
        <v>45079</v>
      </c>
      <c r="C7194" s="1" t="n">
        <v>45677</v>
      </c>
      <c r="D7194" t="inlineStr">
        <is>
          <t>GÄVLEBORGS LÄN</t>
        </is>
      </c>
      <c r="E7194" t="inlineStr">
        <is>
          <t>NORDANSTIG</t>
        </is>
      </c>
      <c r="F7194" t="inlineStr">
        <is>
          <t>Holmen skog AB</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24213-2023</t>
        </is>
      </c>
      <c r="B7195" s="1" t="n">
        <v>45079</v>
      </c>
      <c r="C7195" s="1" t="n">
        <v>45677</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24237-2023</t>
        </is>
      </c>
      <c r="B7196" s="1" t="n">
        <v>45079</v>
      </c>
      <c r="C7196" s="1" t="n">
        <v>45677</v>
      </c>
      <c r="D7196" t="inlineStr">
        <is>
          <t>GÄVLEBORGS LÄN</t>
        </is>
      </c>
      <c r="E7196" t="inlineStr">
        <is>
          <t>LJUSDAL</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24480-2023</t>
        </is>
      </c>
      <c r="B7197" s="1" t="n">
        <v>45082</v>
      </c>
      <c r="C7197" s="1" t="n">
        <v>45677</v>
      </c>
      <c r="D7197" t="inlineStr">
        <is>
          <t>GÄVLEBORGS LÄN</t>
        </is>
      </c>
      <c r="E7197" t="inlineStr">
        <is>
          <t>GÄVLE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24508-2023</t>
        </is>
      </c>
      <c r="B7198" s="1" t="n">
        <v>45082</v>
      </c>
      <c r="C7198" s="1" t="n">
        <v>45677</v>
      </c>
      <c r="D7198" t="inlineStr">
        <is>
          <t>GÄVLEBORGS LÄN</t>
        </is>
      </c>
      <c r="E7198" t="inlineStr">
        <is>
          <t>BOLLNÄS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24372-2023</t>
        </is>
      </c>
      <c r="B7199" s="1" t="n">
        <v>45082</v>
      </c>
      <c r="C7199" s="1" t="n">
        <v>45677</v>
      </c>
      <c r="D7199" t="inlineStr">
        <is>
          <t>GÄVLEBORGS LÄN</t>
        </is>
      </c>
      <c r="E7199" t="inlineStr">
        <is>
          <t>HUDIKSVALL</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24465-2023</t>
        </is>
      </c>
      <c r="B7200" s="1" t="n">
        <v>45082</v>
      </c>
      <c r="C7200" s="1" t="n">
        <v>45677</v>
      </c>
      <c r="D7200" t="inlineStr">
        <is>
          <t>GÄVLEBORGS LÄN</t>
        </is>
      </c>
      <c r="E7200" t="inlineStr">
        <is>
          <t>SANDVIKEN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24478-2023</t>
        </is>
      </c>
      <c r="B7201" s="1" t="n">
        <v>45082</v>
      </c>
      <c r="C7201" s="1" t="n">
        <v>45677</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24412-2023</t>
        </is>
      </c>
      <c r="B7202" s="1" t="n">
        <v>45082</v>
      </c>
      <c r="C7202" s="1" t="n">
        <v>45677</v>
      </c>
      <c r="D7202" t="inlineStr">
        <is>
          <t>GÄVLEBORGS LÄN</t>
        </is>
      </c>
      <c r="E7202" t="inlineStr">
        <is>
          <t>HUDIKSVALL</t>
        </is>
      </c>
      <c r="F7202" t="inlineStr">
        <is>
          <t>Holmen skog AB</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24445-2023</t>
        </is>
      </c>
      <c r="B7203" s="1" t="n">
        <v>45082</v>
      </c>
      <c r="C7203" s="1" t="n">
        <v>45677</v>
      </c>
      <c r="D7203" t="inlineStr">
        <is>
          <t>GÄVLEBORGS LÄN</t>
        </is>
      </c>
      <c r="E7203" t="inlineStr">
        <is>
          <t>HUDIKSVALL</t>
        </is>
      </c>
      <c r="F7203" t="inlineStr">
        <is>
          <t>Holmen skog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24472-2023</t>
        </is>
      </c>
      <c r="B7204" s="1" t="n">
        <v>45082</v>
      </c>
      <c r="C7204" s="1" t="n">
        <v>45677</v>
      </c>
      <c r="D7204" t="inlineStr">
        <is>
          <t>GÄVLEBORGS LÄN</t>
        </is>
      </c>
      <c r="E7204" t="inlineStr">
        <is>
          <t>BOLLNÄS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24470-2023</t>
        </is>
      </c>
      <c r="B7205" s="1" t="n">
        <v>45082</v>
      </c>
      <c r="C7205" s="1" t="n">
        <v>45677</v>
      </c>
      <c r="D7205" t="inlineStr">
        <is>
          <t>GÄVLEBORGS LÄN</t>
        </is>
      </c>
      <c r="E7205" t="inlineStr">
        <is>
          <t>SANDVIKEN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24516-2023</t>
        </is>
      </c>
      <c r="B7206" s="1" t="n">
        <v>45082</v>
      </c>
      <c r="C7206" s="1" t="n">
        <v>45677</v>
      </c>
      <c r="D7206" t="inlineStr">
        <is>
          <t>GÄVLEBORGS LÄN</t>
        </is>
      </c>
      <c r="E7206" t="inlineStr">
        <is>
          <t>BOLLNÄS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24571-2023</t>
        </is>
      </c>
      <c r="B7207" s="1" t="n">
        <v>45083</v>
      </c>
      <c r="C7207" s="1" t="n">
        <v>45677</v>
      </c>
      <c r="D7207" t="inlineStr">
        <is>
          <t>GÄVLEBORGS LÄN</t>
        </is>
      </c>
      <c r="E7207" t="inlineStr">
        <is>
          <t>LJUSDAL</t>
        </is>
      </c>
      <c r="F7207" t="inlineStr">
        <is>
          <t>Allmännings- och besparingsskogar</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24646-2023</t>
        </is>
      </c>
      <c r="B7208" s="1" t="n">
        <v>45084</v>
      </c>
      <c r="C7208" s="1" t="n">
        <v>45677</v>
      </c>
      <c r="D7208" t="inlineStr">
        <is>
          <t>GÄVLEBORGS LÄN</t>
        </is>
      </c>
      <c r="E7208" t="inlineStr">
        <is>
          <t>HOFORS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24654-2023</t>
        </is>
      </c>
      <c r="B7209" s="1" t="n">
        <v>45084</v>
      </c>
      <c r="C7209" s="1" t="n">
        <v>45677</v>
      </c>
      <c r="D7209" t="inlineStr">
        <is>
          <t>GÄVLEBORGS LÄN</t>
        </is>
      </c>
      <c r="E7209" t="inlineStr">
        <is>
          <t>LJUSDAL</t>
        </is>
      </c>
      <c r="F7209" t="inlineStr">
        <is>
          <t>Sveaskog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24682-2023</t>
        </is>
      </c>
      <c r="B7210" s="1" t="n">
        <v>45084</v>
      </c>
      <c r="C7210" s="1" t="n">
        <v>45677</v>
      </c>
      <c r="D7210" t="inlineStr">
        <is>
          <t>GÄVLEBORGS LÄN</t>
        </is>
      </c>
      <c r="E7210" t="inlineStr">
        <is>
          <t>BOLLNÄS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24723-2023</t>
        </is>
      </c>
      <c r="B7211" s="1" t="n">
        <v>45084</v>
      </c>
      <c r="C7211" s="1" t="n">
        <v>45677</v>
      </c>
      <c r="D7211" t="inlineStr">
        <is>
          <t>GÄVLEBORGS LÄN</t>
        </is>
      </c>
      <c r="E7211" t="inlineStr">
        <is>
          <t>OCKELBO</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24651-2023</t>
        </is>
      </c>
      <c r="B7212" s="1" t="n">
        <v>45084</v>
      </c>
      <c r="C7212" s="1" t="n">
        <v>45677</v>
      </c>
      <c r="D7212" t="inlineStr">
        <is>
          <t>GÄVLEBORGS LÄN</t>
        </is>
      </c>
      <c r="E7212" t="inlineStr">
        <is>
          <t>BOLLNÄS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24745-2023</t>
        </is>
      </c>
      <c r="B7213" s="1" t="n">
        <v>45084</v>
      </c>
      <c r="C7213" s="1" t="n">
        <v>45677</v>
      </c>
      <c r="D7213" t="inlineStr">
        <is>
          <t>GÄVLEBORGS LÄN</t>
        </is>
      </c>
      <c r="E7213" t="inlineStr">
        <is>
          <t>BOLLNÄS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24715-2023</t>
        </is>
      </c>
      <c r="B7214" s="1" t="n">
        <v>45084</v>
      </c>
      <c r="C7214" s="1" t="n">
        <v>45677</v>
      </c>
      <c r="D7214" t="inlineStr">
        <is>
          <t>GÄVLEBORGS LÄN</t>
        </is>
      </c>
      <c r="E7214" t="inlineStr">
        <is>
          <t>BOLLNÄS</t>
        </is>
      </c>
      <c r="F7214" t="inlineStr">
        <is>
          <t>Bergvik skog väst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24720-2023</t>
        </is>
      </c>
      <c r="B7215" s="1" t="n">
        <v>45084</v>
      </c>
      <c r="C7215" s="1" t="n">
        <v>45677</v>
      </c>
      <c r="D7215" t="inlineStr">
        <is>
          <t>GÄVLEBORGS LÄN</t>
        </is>
      </c>
      <c r="E7215" t="inlineStr">
        <is>
          <t>GÄVLE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24724-2023</t>
        </is>
      </c>
      <c r="B7216" s="1" t="n">
        <v>45084</v>
      </c>
      <c r="C7216" s="1" t="n">
        <v>45677</v>
      </c>
      <c r="D7216" t="inlineStr">
        <is>
          <t>GÄVLEBORGS LÄN</t>
        </is>
      </c>
      <c r="E7216" t="inlineStr">
        <is>
          <t>GÄVLE</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24618-2023</t>
        </is>
      </c>
      <c r="B7217" s="1" t="n">
        <v>45084</v>
      </c>
      <c r="C7217" s="1" t="n">
        <v>45677</v>
      </c>
      <c r="D7217" t="inlineStr">
        <is>
          <t>GÄVLEBORGS LÄN</t>
        </is>
      </c>
      <c r="E7217" t="inlineStr">
        <is>
          <t>GÄVLE</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24649-2023</t>
        </is>
      </c>
      <c r="B7218" s="1" t="n">
        <v>45084</v>
      </c>
      <c r="C7218" s="1" t="n">
        <v>45677</v>
      </c>
      <c r="D7218" t="inlineStr">
        <is>
          <t>GÄVLEBORGS LÄN</t>
        </is>
      </c>
      <c r="E7218" t="inlineStr">
        <is>
          <t>OCKELBO</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24653-2023</t>
        </is>
      </c>
      <c r="B7219" s="1" t="n">
        <v>45084</v>
      </c>
      <c r="C7219" s="1" t="n">
        <v>45677</v>
      </c>
      <c r="D7219" t="inlineStr">
        <is>
          <t>GÄVLEBORGS LÄN</t>
        </is>
      </c>
      <c r="E7219" t="inlineStr">
        <is>
          <t>BOLLNÄS</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24667-2023</t>
        </is>
      </c>
      <c r="B7220" s="1" t="n">
        <v>45084</v>
      </c>
      <c r="C7220" s="1" t="n">
        <v>45677</v>
      </c>
      <c r="D7220" t="inlineStr">
        <is>
          <t>GÄVLEBORGS LÄN</t>
        </is>
      </c>
      <c r="E7220" t="inlineStr">
        <is>
          <t>BOLLNÄS</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24722-2023</t>
        </is>
      </c>
      <c r="B7221" s="1" t="n">
        <v>45084</v>
      </c>
      <c r="C7221" s="1" t="n">
        <v>45677</v>
      </c>
      <c r="D7221" t="inlineStr">
        <is>
          <t>GÄVLEBORGS LÄN</t>
        </is>
      </c>
      <c r="E7221" t="inlineStr">
        <is>
          <t>BOLLNÄS</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24769-2023</t>
        </is>
      </c>
      <c r="B7222" s="1" t="n">
        <v>45084</v>
      </c>
      <c r="C7222" s="1" t="n">
        <v>45677</v>
      </c>
      <c r="D7222" t="inlineStr">
        <is>
          <t>GÄVLEBORGS LÄN</t>
        </is>
      </c>
      <c r="E7222" t="inlineStr">
        <is>
          <t>HOFORS</t>
        </is>
      </c>
      <c r="F7222" t="inlineStr">
        <is>
          <t>Sveaskog</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24764-2023</t>
        </is>
      </c>
      <c r="B7223" s="1" t="n">
        <v>45084</v>
      </c>
      <c r="C7223" s="1" t="n">
        <v>45677</v>
      </c>
      <c r="D7223" t="inlineStr">
        <is>
          <t>GÄVLEBORGS LÄN</t>
        </is>
      </c>
      <c r="E7223" t="inlineStr">
        <is>
          <t>HUDIKSVALL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24772-2023</t>
        </is>
      </c>
      <c r="B7224" s="1" t="n">
        <v>45084</v>
      </c>
      <c r="C7224" s="1" t="n">
        <v>45677</v>
      </c>
      <c r="D7224" t="inlineStr">
        <is>
          <t>GÄVLEBORGS LÄN</t>
        </is>
      </c>
      <c r="E7224" t="inlineStr">
        <is>
          <t>HOFORS</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24766-2023</t>
        </is>
      </c>
      <c r="B7225" s="1" t="n">
        <v>45084</v>
      </c>
      <c r="C7225" s="1" t="n">
        <v>45677</v>
      </c>
      <c r="D7225" t="inlineStr">
        <is>
          <t>GÄVLEBORGS LÄN</t>
        </is>
      </c>
      <c r="E7225" t="inlineStr">
        <is>
          <t>SÖDERHAMN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24779-2023</t>
        </is>
      </c>
      <c r="B7226" s="1" t="n">
        <v>45084</v>
      </c>
      <c r="C7226" s="1" t="n">
        <v>45677</v>
      </c>
      <c r="D7226" t="inlineStr">
        <is>
          <t>GÄVLEBORGS LÄN</t>
        </is>
      </c>
      <c r="E7226" t="inlineStr">
        <is>
          <t>HUDIKSVALL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24815-2023</t>
        </is>
      </c>
      <c r="B7227" s="1" t="n">
        <v>45084</v>
      </c>
      <c r="C7227" s="1" t="n">
        <v>45677</v>
      </c>
      <c r="D7227" t="inlineStr">
        <is>
          <t>GÄVLEBORGS LÄN</t>
        </is>
      </c>
      <c r="E7227" t="inlineStr">
        <is>
          <t>BOLLNÄS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24890-2023</t>
        </is>
      </c>
      <c r="B7228" s="1" t="n">
        <v>45085</v>
      </c>
      <c r="C7228" s="1" t="n">
        <v>45677</v>
      </c>
      <c r="D7228" t="inlineStr">
        <is>
          <t>GÄVLEBORGS LÄN</t>
        </is>
      </c>
      <c r="E7228" t="inlineStr">
        <is>
          <t>HUDIKSVALL</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24885-2023</t>
        </is>
      </c>
      <c r="B7229" s="1" t="n">
        <v>45085</v>
      </c>
      <c r="C7229" s="1" t="n">
        <v>45677</v>
      </c>
      <c r="D7229" t="inlineStr">
        <is>
          <t>GÄVLEBORGS LÄN</t>
        </is>
      </c>
      <c r="E7229" t="inlineStr">
        <is>
          <t>HUDIKSVALL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24919-2023</t>
        </is>
      </c>
      <c r="B7230" s="1" t="n">
        <v>45085</v>
      </c>
      <c r="C7230" s="1" t="n">
        <v>45677</v>
      </c>
      <c r="D7230" t="inlineStr">
        <is>
          <t>GÄVLEBORGS LÄN</t>
        </is>
      </c>
      <c r="E7230" t="inlineStr">
        <is>
          <t>GÄVLE</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24958-2023</t>
        </is>
      </c>
      <c r="B7231" s="1" t="n">
        <v>45085</v>
      </c>
      <c r="C7231" s="1" t="n">
        <v>45677</v>
      </c>
      <c r="D7231" t="inlineStr">
        <is>
          <t>GÄVLEBORGS LÄN</t>
        </is>
      </c>
      <c r="E7231" t="inlineStr">
        <is>
          <t>BOLLNÄS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24989-2023</t>
        </is>
      </c>
      <c r="B7232" s="1" t="n">
        <v>45085</v>
      </c>
      <c r="C7232" s="1" t="n">
        <v>45677</v>
      </c>
      <c r="D7232" t="inlineStr">
        <is>
          <t>GÄVLEBORGS LÄN</t>
        </is>
      </c>
      <c r="E7232" t="inlineStr">
        <is>
          <t>HOFORS</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24988-2023</t>
        </is>
      </c>
      <c r="B7233" s="1" t="n">
        <v>45085</v>
      </c>
      <c r="C7233" s="1" t="n">
        <v>45677</v>
      </c>
      <c r="D7233" t="inlineStr">
        <is>
          <t>GÄVLEBORGS LÄN</t>
        </is>
      </c>
      <c r="E7233" t="inlineStr">
        <is>
          <t>HOFORS</t>
        </is>
      </c>
      <c r="F7233" t="inlineStr">
        <is>
          <t>Sveaskog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24992-2023</t>
        </is>
      </c>
      <c r="B7234" s="1" t="n">
        <v>45085</v>
      </c>
      <c r="C7234" s="1" t="n">
        <v>45677</v>
      </c>
      <c r="D7234" t="inlineStr">
        <is>
          <t>GÄVLEBORGS LÄN</t>
        </is>
      </c>
      <c r="E7234" t="inlineStr">
        <is>
          <t>SANDVIKEN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25089-2023</t>
        </is>
      </c>
      <c r="B7235" s="1" t="n">
        <v>45086</v>
      </c>
      <c r="C7235" s="1" t="n">
        <v>45677</v>
      </c>
      <c r="D7235" t="inlineStr">
        <is>
          <t>GÄVLEBORGS LÄN</t>
        </is>
      </c>
      <c r="E7235" t="inlineStr">
        <is>
          <t>LJUSDAL</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25116-2023</t>
        </is>
      </c>
      <c r="B7236" s="1" t="n">
        <v>45086</v>
      </c>
      <c r="C7236" s="1" t="n">
        <v>45677</v>
      </c>
      <c r="D7236" t="inlineStr">
        <is>
          <t>GÄVLEBORGS LÄN</t>
        </is>
      </c>
      <c r="E7236" t="inlineStr">
        <is>
          <t>SANDVIKEN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25224-2023</t>
        </is>
      </c>
      <c r="B7237" s="1" t="n">
        <v>45086</v>
      </c>
      <c r="C7237" s="1" t="n">
        <v>45677</v>
      </c>
      <c r="D7237" t="inlineStr">
        <is>
          <t>GÄVLEBORGS LÄN</t>
        </is>
      </c>
      <c r="E7237" t="inlineStr">
        <is>
          <t>SÖDERHAMN</t>
        </is>
      </c>
      <c r="G7237" t="n">
        <v>9.9</v>
      </c>
      <c r="H7237" t="n">
        <v>0</v>
      </c>
      <c r="I7237" t="n">
        <v>0</v>
      </c>
      <c r="J7237" t="n">
        <v>0</v>
      </c>
      <c r="K7237" t="n">
        <v>0</v>
      </c>
      <c r="L7237" t="n">
        <v>0</v>
      </c>
      <c r="M7237" t="n">
        <v>0</v>
      </c>
      <c r="N7237" t="n">
        <v>0</v>
      </c>
      <c r="O7237" t="n">
        <v>0</v>
      </c>
      <c r="P7237" t="n">
        <v>0</v>
      </c>
      <c r="Q7237" t="n">
        <v>0</v>
      </c>
      <c r="R7237" s="2" t="inlineStr"/>
    </row>
    <row r="7238" ht="15" customHeight="1">
      <c r="A7238" t="inlineStr">
        <is>
          <t>A 25252-2023</t>
        </is>
      </c>
      <c r="B7238" s="1" t="n">
        <v>45086</v>
      </c>
      <c r="C7238" s="1" t="n">
        <v>45677</v>
      </c>
      <c r="D7238" t="inlineStr">
        <is>
          <t>GÄVLEBORGS LÄN</t>
        </is>
      </c>
      <c r="E7238" t="inlineStr">
        <is>
          <t>LJUSDAL</t>
        </is>
      </c>
      <c r="F7238" t="inlineStr">
        <is>
          <t>Sveaskog</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25071-2023</t>
        </is>
      </c>
      <c r="B7239" s="1" t="n">
        <v>45086</v>
      </c>
      <c r="C7239" s="1" t="n">
        <v>45677</v>
      </c>
      <c r="D7239" t="inlineStr">
        <is>
          <t>GÄVLEBORGS LÄN</t>
        </is>
      </c>
      <c r="E7239" t="inlineStr">
        <is>
          <t>GÄVLE</t>
        </is>
      </c>
      <c r="F7239" t="inlineStr">
        <is>
          <t>Kyrkan</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25081-2023</t>
        </is>
      </c>
      <c r="B7240" s="1" t="n">
        <v>45086</v>
      </c>
      <c r="C7240" s="1" t="n">
        <v>45677</v>
      </c>
      <c r="D7240" t="inlineStr">
        <is>
          <t>GÄVLEBORGS LÄN</t>
        </is>
      </c>
      <c r="E7240" t="inlineStr">
        <is>
          <t>OVANÅKER</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25084-2023</t>
        </is>
      </c>
      <c r="B7241" s="1" t="n">
        <v>45086</v>
      </c>
      <c r="C7241" s="1" t="n">
        <v>45677</v>
      </c>
      <c r="D7241" t="inlineStr">
        <is>
          <t>GÄVLEBORGS LÄN</t>
        </is>
      </c>
      <c r="E7241" t="inlineStr">
        <is>
          <t>NORDANSTIG</t>
        </is>
      </c>
      <c r="F7241" t="inlineStr">
        <is>
          <t>Holmen skog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25112-2023</t>
        </is>
      </c>
      <c r="B7242" s="1" t="n">
        <v>45086</v>
      </c>
      <c r="C7242" s="1" t="n">
        <v>45677</v>
      </c>
      <c r="D7242" t="inlineStr">
        <is>
          <t>GÄVLEBORGS LÄN</t>
        </is>
      </c>
      <c r="E7242" t="inlineStr">
        <is>
          <t>LJUSDAL</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25185-2023</t>
        </is>
      </c>
      <c r="B7243" s="1" t="n">
        <v>45086</v>
      </c>
      <c r="C7243" s="1" t="n">
        <v>45677</v>
      </c>
      <c r="D7243" t="inlineStr">
        <is>
          <t>GÄVLEBORGS LÄN</t>
        </is>
      </c>
      <c r="E7243" t="inlineStr">
        <is>
          <t>GÄVLE</t>
        </is>
      </c>
      <c r="F7243" t="inlineStr">
        <is>
          <t>Bergvik skog öst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25091-2023</t>
        </is>
      </c>
      <c r="B7244" s="1" t="n">
        <v>45086</v>
      </c>
      <c r="C7244" s="1" t="n">
        <v>45677</v>
      </c>
      <c r="D7244" t="inlineStr">
        <is>
          <t>GÄVLEBORGS LÄN</t>
        </is>
      </c>
      <c r="E7244" t="inlineStr">
        <is>
          <t>LJUSDAL</t>
        </is>
      </c>
      <c r="F7244" t="inlineStr">
        <is>
          <t>Bergvik skog väst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25107-2023</t>
        </is>
      </c>
      <c r="B7245" s="1" t="n">
        <v>45086</v>
      </c>
      <c r="C7245" s="1" t="n">
        <v>45677</v>
      </c>
      <c r="D7245" t="inlineStr">
        <is>
          <t>GÄVLEBORGS LÄN</t>
        </is>
      </c>
      <c r="E7245" t="inlineStr">
        <is>
          <t>OCKELBO</t>
        </is>
      </c>
      <c r="F7245" t="inlineStr">
        <is>
          <t>Kyrkan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25190-2023</t>
        </is>
      </c>
      <c r="B7246" s="1" t="n">
        <v>45086</v>
      </c>
      <c r="C7246" s="1" t="n">
        <v>45677</v>
      </c>
      <c r="D7246" t="inlineStr">
        <is>
          <t>GÄVLEBORGS LÄN</t>
        </is>
      </c>
      <c r="E7246" t="inlineStr">
        <is>
          <t>OVANÅKER</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25294-2023</t>
        </is>
      </c>
      <c r="B7247" s="1" t="n">
        <v>45086</v>
      </c>
      <c r="C7247" s="1" t="n">
        <v>45677</v>
      </c>
      <c r="D7247" t="inlineStr">
        <is>
          <t>GÄVLEBORGS LÄN</t>
        </is>
      </c>
      <c r="E7247" t="inlineStr">
        <is>
          <t>NORDANSTIG</t>
        </is>
      </c>
      <c r="F7247" t="inlineStr">
        <is>
          <t>Holmen skog AB</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25101-2023</t>
        </is>
      </c>
      <c r="B7248" s="1" t="n">
        <v>45086</v>
      </c>
      <c r="C7248" s="1" t="n">
        <v>45677</v>
      </c>
      <c r="D7248" t="inlineStr">
        <is>
          <t>GÄVLEBORGS LÄN</t>
        </is>
      </c>
      <c r="E7248" t="inlineStr">
        <is>
          <t>OVANÅKER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25132-2023</t>
        </is>
      </c>
      <c r="B7249" s="1" t="n">
        <v>45086</v>
      </c>
      <c r="C7249" s="1" t="n">
        <v>45677</v>
      </c>
      <c r="D7249" t="inlineStr">
        <is>
          <t>GÄVLEBORGS LÄN</t>
        </is>
      </c>
      <c r="E7249" t="inlineStr">
        <is>
          <t>SÖDERHAMN</t>
        </is>
      </c>
      <c r="F7249" t="inlineStr">
        <is>
          <t>Bergvik skog väst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25162-2023</t>
        </is>
      </c>
      <c r="B7250" s="1" t="n">
        <v>45086</v>
      </c>
      <c r="C7250" s="1" t="n">
        <v>45677</v>
      </c>
      <c r="D7250" t="inlineStr">
        <is>
          <t>GÄVLEBORGS LÄN</t>
        </is>
      </c>
      <c r="E7250" t="inlineStr">
        <is>
          <t>OVANÅKER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25177-2023</t>
        </is>
      </c>
      <c r="B7251" s="1" t="n">
        <v>45086</v>
      </c>
      <c r="C7251" s="1" t="n">
        <v>45677</v>
      </c>
      <c r="D7251" t="inlineStr">
        <is>
          <t>GÄVLEBORGS LÄN</t>
        </is>
      </c>
      <c r="E7251" t="inlineStr">
        <is>
          <t>BOLLNÄS</t>
        </is>
      </c>
      <c r="F7251" t="inlineStr">
        <is>
          <t>Sveaskog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25187-2023</t>
        </is>
      </c>
      <c r="B7252" s="1" t="n">
        <v>45086</v>
      </c>
      <c r="C7252" s="1" t="n">
        <v>45677</v>
      </c>
      <c r="D7252" t="inlineStr">
        <is>
          <t>GÄVLEBORGS LÄN</t>
        </is>
      </c>
      <c r="E7252" t="inlineStr">
        <is>
          <t>OVANÅKER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25353-2023</t>
        </is>
      </c>
      <c r="B7253" s="1" t="n">
        <v>45088</v>
      </c>
      <c r="C7253" s="1" t="n">
        <v>45677</v>
      </c>
      <c r="D7253" t="inlineStr">
        <is>
          <t>GÄVLEBORGS LÄN</t>
        </is>
      </c>
      <c r="E7253" t="inlineStr">
        <is>
          <t>LJUSDAL</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25354-2023</t>
        </is>
      </c>
      <c r="B7254" s="1" t="n">
        <v>45088</v>
      </c>
      <c r="C7254" s="1" t="n">
        <v>45677</v>
      </c>
      <c r="D7254" t="inlineStr">
        <is>
          <t>GÄVLEBORGS LÄN</t>
        </is>
      </c>
      <c r="E7254" t="inlineStr">
        <is>
          <t>LJUSDAL</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25357-2023</t>
        </is>
      </c>
      <c r="B7255" s="1" t="n">
        <v>45088</v>
      </c>
      <c r="C7255" s="1" t="n">
        <v>45677</v>
      </c>
      <c r="D7255" t="inlineStr">
        <is>
          <t>GÄVLEBORGS LÄN</t>
        </is>
      </c>
      <c r="E7255" t="inlineStr">
        <is>
          <t>SANDVIKEN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25356-2023</t>
        </is>
      </c>
      <c r="B7256" s="1" t="n">
        <v>45088</v>
      </c>
      <c r="C7256" s="1" t="n">
        <v>45677</v>
      </c>
      <c r="D7256" t="inlineStr">
        <is>
          <t>GÄVLEBORGS LÄN</t>
        </is>
      </c>
      <c r="E7256" t="inlineStr">
        <is>
          <t>SANDVIKEN</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25398-2023</t>
        </is>
      </c>
      <c r="B7257" s="1" t="n">
        <v>45089</v>
      </c>
      <c r="C7257" s="1" t="n">
        <v>45677</v>
      </c>
      <c r="D7257" t="inlineStr">
        <is>
          <t>GÄVLEBORGS LÄN</t>
        </is>
      </c>
      <c r="E7257" t="inlineStr">
        <is>
          <t>LJUSDAL</t>
        </is>
      </c>
      <c r="F7257" t="inlineStr">
        <is>
          <t>Allmännings- och besparingsskogar</t>
        </is>
      </c>
      <c r="G7257" t="n">
        <v>24.7</v>
      </c>
      <c r="H7257" t="n">
        <v>0</v>
      </c>
      <c r="I7257" t="n">
        <v>0</v>
      </c>
      <c r="J7257" t="n">
        <v>0</v>
      </c>
      <c r="K7257" t="n">
        <v>0</v>
      </c>
      <c r="L7257" t="n">
        <v>0</v>
      </c>
      <c r="M7257" t="n">
        <v>0</v>
      </c>
      <c r="N7257" t="n">
        <v>0</v>
      </c>
      <c r="O7257" t="n">
        <v>0</v>
      </c>
      <c r="P7257" t="n">
        <v>0</v>
      </c>
      <c r="Q7257" t="n">
        <v>0</v>
      </c>
      <c r="R7257" s="2" t="inlineStr"/>
    </row>
    <row r="7258" ht="15" customHeight="1">
      <c r="A7258" t="inlineStr">
        <is>
          <t>A 25479-2023</t>
        </is>
      </c>
      <c r="B7258" s="1" t="n">
        <v>45089</v>
      </c>
      <c r="C7258" s="1" t="n">
        <v>45677</v>
      </c>
      <c r="D7258" t="inlineStr">
        <is>
          <t>GÄVLEBORGS LÄN</t>
        </is>
      </c>
      <c r="E7258" t="inlineStr">
        <is>
          <t>SANDVIKEN</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25377-2023</t>
        </is>
      </c>
      <c r="B7259" s="1" t="n">
        <v>45089</v>
      </c>
      <c r="C7259" s="1" t="n">
        <v>45677</v>
      </c>
      <c r="D7259" t="inlineStr">
        <is>
          <t>GÄVLEBORGS LÄN</t>
        </is>
      </c>
      <c r="E7259" t="inlineStr">
        <is>
          <t>HUDIKSVALL</t>
        </is>
      </c>
      <c r="F7259" t="inlineStr">
        <is>
          <t>Holmen skog AB</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25415-2023</t>
        </is>
      </c>
      <c r="B7260" s="1" t="n">
        <v>45089</v>
      </c>
      <c r="C7260" s="1" t="n">
        <v>45677</v>
      </c>
      <c r="D7260" t="inlineStr">
        <is>
          <t>GÄVLEBORGS LÄN</t>
        </is>
      </c>
      <c r="E7260" t="inlineStr">
        <is>
          <t>LJUSDAL</t>
        </is>
      </c>
      <c r="F7260" t="inlineStr">
        <is>
          <t>Allmännings- och besparingsskogar</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25610-2023</t>
        </is>
      </c>
      <c r="B7261" s="1" t="n">
        <v>45089</v>
      </c>
      <c r="C7261" s="1" t="n">
        <v>45677</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25466-2023</t>
        </is>
      </c>
      <c r="B7262" s="1" t="n">
        <v>45089</v>
      </c>
      <c r="C7262" s="1" t="n">
        <v>45677</v>
      </c>
      <c r="D7262" t="inlineStr">
        <is>
          <t>GÄVLEBORGS LÄN</t>
        </is>
      </c>
      <c r="E7262" t="inlineStr">
        <is>
          <t>GÄVLE</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25465-2023</t>
        </is>
      </c>
      <c r="B7263" s="1" t="n">
        <v>45089</v>
      </c>
      <c r="C7263" s="1" t="n">
        <v>45677</v>
      </c>
      <c r="D7263" t="inlineStr">
        <is>
          <t>GÄVLEBORGS LÄN</t>
        </is>
      </c>
      <c r="E7263" t="inlineStr">
        <is>
          <t>SÖDERHAMN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25532-2023</t>
        </is>
      </c>
      <c r="B7264" s="1" t="n">
        <v>45089</v>
      </c>
      <c r="C7264" s="1" t="n">
        <v>45677</v>
      </c>
      <c r="D7264" t="inlineStr">
        <is>
          <t>GÄVLEBORGS LÄN</t>
        </is>
      </c>
      <c r="E7264" t="inlineStr">
        <is>
          <t>GÄVLE</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25545-2023</t>
        </is>
      </c>
      <c r="B7265" s="1" t="n">
        <v>45089</v>
      </c>
      <c r="C7265" s="1" t="n">
        <v>45677</v>
      </c>
      <c r="D7265" t="inlineStr">
        <is>
          <t>GÄVLEBORGS LÄN</t>
        </is>
      </c>
      <c r="E7265" t="inlineStr">
        <is>
          <t>BOLLNÄS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25607-2023</t>
        </is>
      </c>
      <c r="B7266" s="1" t="n">
        <v>45089</v>
      </c>
      <c r="C7266" s="1" t="n">
        <v>45677</v>
      </c>
      <c r="D7266" t="inlineStr">
        <is>
          <t>GÄVLEBORGS LÄN</t>
        </is>
      </c>
      <c r="E7266" t="inlineStr">
        <is>
          <t>GÄVLE</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25564-2023</t>
        </is>
      </c>
      <c r="B7267" s="1" t="n">
        <v>45089</v>
      </c>
      <c r="C7267" s="1" t="n">
        <v>45677</v>
      </c>
      <c r="D7267" t="inlineStr">
        <is>
          <t>GÄVLEBORGS LÄN</t>
        </is>
      </c>
      <c r="E7267" t="inlineStr">
        <is>
          <t>LJUSDAL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25631-2023</t>
        </is>
      </c>
      <c r="B7268" s="1" t="n">
        <v>45089</v>
      </c>
      <c r="C7268" s="1" t="n">
        <v>45677</v>
      </c>
      <c r="D7268" t="inlineStr">
        <is>
          <t>GÄVLEBORGS LÄN</t>
        </is>
      </c>
      <c r="E7268" t="inlineStr">
        <is>
          <t>NORDANSTIG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25645-2023</t>
        </is>
      </c>
      <c r="B7269" s="1" t="n">
        <v>45089</v>
      </c>
      <c r="C7269" s="1" t="n">
        <v>45677</v>
      </c>
      <c r="D7269" t="inlineStr">
        <is>
          <t>GÄVLEBORGS LÄN</t>
        </is>
      </c>
      <c r="E7269" t="inlineStr">
        <is>
          <t>GÄVLE</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25665-2023</t>
        </is>
      </c>
      <c r="B7270" s="1" t="n">
        <v>45089</v>
      </c>
      <c r="C7270" s="1" t="n">
        <v>45677</v>
      </c>
      <c r="D7270" t="inlineStr">
        <is>
          <t>GÄVLEBORGS LÄN</t>
        </is>
      </c>
      <c r="E7270" t="inlineStr">
        <is>
          <t>NORDANSTIG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25664-2023</t>
        </is>
      </c>
      <c r="B7271" s="1" t="n">
        <v>45090</v>
      </c>
      <c r="C7271" s="1" t="n">
        <v>45677</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25646-2023</t>
        </is>
      </c>
      <c r="B7272" s="1" t="n">
        <v>45089</v>
      </c>
      <c r="C7272" s="1" t="n">
        <v>45677</v>
      </c>
      <c r="D7272" t="inlineStr">
        <is>
          <t>GÄVLEBORGS LÄN</t>
        </is>
      </c>
      <c r="E7272" t="inlineStr">
        <is>
          <t>GÄVLE</t>
        </is>
      </c>
      <c r="F7272" t="inlineStr">
        <is>
          <t>Bergvik skog öst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25650-2023</t>
        </is>
      </c>
      <c r="B7273" s="1" t="n">
        <v>45089</v>
      </c>
      <c r="C7273" s="1" t="n">
        <v>45677</v>
      </c>
      <c r="D7273" t="inlineStr">
        <is>
          <t>GÄVLEBORGS LÄN</t>
        </is>
      </c>
      <c r="E7273" t="inlineStr">
        <is>
          <t>GÄVLE</t>
        </is>
      </c>
      <c r="F7273" t="inlineStr">
        <is>
          <t>Bergvik skog öst AB</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25660-2023</t>
        </is>
      </c>
      <c r="B7274" s="1" t="n">
        <v>45089</v>
      </c>
      <c r="C7274" s="1" t="n">
        <v>45677</v>
      </c>
      <c r="D7274" t="inlineStr">
        <is>
          <t>GÄVLEBORGS LÄN</t>
        </is>
      </c>
      <c r="E7274" t="inlineStr">
        <is>
          <t>SÖDERHAMN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25668-2023</t>
        </is>
      </c>
      <c r="B7275" s="1" t="n">
        <v>45090</v>
      </c>
      <c r="C7275" s="1" t="n">
        <v>45677</v>
      </c>
      <c r="D7275" t="inlineStr">
        <is>
          <t>GÄVLEBORGS LÄN</t>
        </is>
      </c>
      <c r="E7275" t="inlineStr">
        <is>
          <t>LJUSDAL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25812-2023</t>
        </is>
      </c>
      <c r="B7276" s="1" t="n">
        <v>45090</v>
      </c>
      <c r="C7276" s="1" t="n">
        <v>45677</v>
      </c>
      <c r="D7276" t="inlineStr">
        <is>
          <t>GÄVLEBORGS LÄN</t>
        </is>
      </c>
      <c r="E7276" t="inlineStr">
        <is>
          <t>GÄVLE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25822-2023</t>
        </is>
      </c>
      <c r="B7277" s="1" t="n">
        <v>45090</v>
      </c>
      <c r="C7277" s="1" t="n">
        <v>45677</v>
      </c>
      <c r="D7277" t="inlineStr">
        <is>
          <t>GÄVLEBORGS LÄN</t>
        </is>
      </c>
      <c r="E7277" t="inlineStr">
        <is>
          <t>LJUSDAL</t>
        </is>
      </c>
      <c r="F7277" t="inlineStr">
        <is>
          <t>Allmännings- och besparingsskogar</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25877-2023</t>
        </is>
      </c>
      <c r="B7278" s="1" t="n">
        <v>45090</v>
      </c>
      <c r="C7278" s="1" t="n">
        <v>45677</v>
      </c>
      <c r="D7278" t="inlineStr">
        <is>
          <t>GÄVLEBORGS LÄN</t>
        </is>
      </c>
      <c r="E7278" t="inlineStr">
        <is>
          <t>BOLLNÄS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25788-2023</t>
        </is>
      </c>
      <c r="B7279" s="1" t="n">
        <v>45090</v>
      </c>
      <c r="C7279" s="1" t="n">
        <v>45677</v>
      </c>
      <c r="D7279" t="inlineStr">
        <is>
          <t>GÄVLEBORGS LÄN</t>
        </is>
      </c>
      <c r="E7279" t="inlineStr">
        <is>
          <t>OVANÅKER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25792-2023</t>
        </is>
      </c>
      <c r="B7280" s="1" t="n">
        <v>45090</v>
      </c>
      <c r="C7280" s="1" t="n">
        <v>45677</v>
      </c>
      <c r="D7280" t="inlineStr">
        <is>
          <t>GÄVLEBORGS LÄN</t>
        </is>
      </c>
      <c r="E7280" t="inlineStr">
        <is>
          <t>BOLLNÄS</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25867-2023</t>
        </is>
      </c>
      <c r="B7281" s="1" t="n">
        <v>45090</v>
      </c>
      <c r="C7281" s="1" t="n">
        <v>45677</v>
      </c>
      <c r="D7281" t="inlineStr">
        <is>
          <t>GÄVLEBORGS LÄN</t>
        </is>
      </c>
      <c r="E7281" t="inlineStr">
        <is>
          <t>SÖDERHAMN</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25873-2023</t>
        </is>
      </c>
      <c r="B7282" s="1" t="n">
        <v>45090</v>
      </c>
      <c r="C7282" s="1" t="n">
        <v>45677</v>
      </c>
      <c r="D7282" t="inlineStr">
        <is>
          <t>GÄVLEBORGS LÄN</t>
        </is>
      </c>
      <c r="E7282" t="inlineStr">
        <is>
          <t>BOLLNÄS</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25886-2023</t>
        </is>
      </c>
      <c r="B7283" s="1" t="n">
        <v>45090</v>
      </c>
      <c r="C7283" s="1" t="n">
        <v>45677</v>
      </c>
      <c r="D7283" t="inlineStr">
        <is>
          <t>GÄVLEBORGS LÄN</t>
        </is>
      </c>
      <c r="E7283" t="inlineStr">
        <is>
          <t>BOLLNÄS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25893-2023</t>
        </is>
      </c>
      <c r="B7284" s="1" t="n">
        <v>45090</v>
      </c>
      <c r="C7284" s="1" t="n">
        <v>45677</v>
      </c>
      <c r="D7284" t="inlineStr">
        <is>
          <t>GÄVLEBORGS LÄN</t>
        </is>
      </c>
      <c r="E7284" t="inlineStr">
        <is>
          <t>BOLLNÄS</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25864-2023</t>
        </is>
      </c>
      <c r="B7285" s="1" t="n">
        <v>45090</v>
      </c>
      <c r="C7285" s="1" t="n">
        <v>45677</v>
      </c>
      <c r="D7285" t="inlineStr">
        <is>
          <t>GÄVLEBORGS LÄN</t>
        </is>
      </c>
      <c r="E7285" t="inlineStr">
        <is>
          <t>BOLLNÄS</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25991-2023</t>
        </is>
      </c>
      <c r="B7286" s="1" t="n">
        <v>45091</v>
      </c>
      <c r="C7286" s="1" t="n">
        <v>45677</v>
      </c>
      <c r="D7286" t="inlineStr">
        <is>
          <t>GÄVLEBORGS LÄN</t>
        </is>
      </c>
      <c r="E7286" t="inlineStr">
        <is>
          <t>LJUSDAL</t>
        </is>
      </c>
      <c r="G7286" t="n">
        <v>9.5</v>
      </c>
      <c r="H7286" t="n">
        <v>0</v>
      </c>
      <c r="I7286" t="n">
        <v>0</v>
      </c>
      <c r="J7286" t="n">
        <v>0</v>
      </c>
      <c r="K7286" t="n">
        <v>0</v>
      </c>
      <c r="L7286" t="n">
        <v>0</v>
      </c>
      <c r="M7286" t="n">
        <v>0</v>
      </c>
      <c r="N7286" t="n">
        <v>0</v>
      </c>
      <c r="O7286" t="n">
        <v>0</v>
      </c>
      <c r="P7286" t="n">
        <v>0</v>
      </c>
      <c r="Q7286" t="n">
        <v>0</v>
      </c>
      <c r="R7286" s="2" t="inlineStr"/>
    </row>
    <row r="7287" ht="15" customHeight="1">
      <c r="A7287" t="inlineStr">
        <is>
          <t>A 25995-2023</t>
        </is>
      </c>
      <c r="B7287" s="1" t="n">
        <v>45091</v>
      </c>
      <c r="C7287" s="1" t="n">
        <v>45677</v>
      </c>
      <c r="D7287" t="inlineStr">
        <is>
          <t>GÄVLEBORGS LÄN</t>
        </is>
      </c>
      <c r="E7287" t="inlineStr">
        <is>
          <t>SÖDERHAMN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25929-2023</t>
        </is>
      </c>
      <c r="B7288" s="1" t="n">
        <v>45090</v>
      </c>
      <c r="C7288" s="1" t="n">
        <v>45677</v>
      </c>
      <c r="D7288" t="inlineStr">
        <is>
          <t>GÄVLEBORGS LÄN</t>
        </is>
      </c>
      <c r="E7288" t="inlineStr">
        <is>
          <t>LJUSDAL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26015-2023</t>
        </is>
      </c>
      <c r="B7289" s="1" t="n">
        <v>45090</v>
      </c>
      <c r="C7289" s="1" t="n">
        <v>45677</v>
      </c>
      <c r="D7289" t="inlineStr">
        <is>
          <t>GÄVLEBORGS LÄN</t>
        </is>
      </c>
      <c r="E7289" t="inlineStr">
        <is>
          <t>SÖDERHAMN</t>
        </is>
      </c>
      <c r="G7289" t="n">
        <v>18.7</v>
      </c>
      <c r="H7289" t="n">
        <v>0</v>
      </c>
      <c r="I7289" t="n">
        <v>0</v>
      </c>
      <c r="J7289" t="n">
        <v>0</v>
      </c>
      <c r="K7289" t="n">
        <v>0</v>
      </c>
      <c r="L7289" t="n">
        <v>0</v>
      </c>
      <c r="M7289" t="n">
        <v>0</v>
      </c>
      <c r="N7289" t="n">
        <v>0</v>
      </c>
      <c r="O7289" t="n">
        <v>0</v>
      </c>
      <c r="P7289" t="n">
        <v>0</v>
      </c>
      <c r="Q7289" t="n">
        <v>0</v>
      </c>
      <c r="R7289" s="2" t="inlineStr"/>
    </row>
    <row r="7290" ht="15" customHeight="1">
      <c r="A7290" t="inlineStr">
        <is>
          <t>A 25992-2023</t>
        </is>
      </c>
      <c r="B7290" s="1" t="n">
        <v>45090</v>
      </c>
      <c r="C7290" s="1" t="n">
        <v>45677</v>
      </c>
      <c r="D7290" t="inlineStr">
        <is>
          <t>GÄVLEBORGS LÄN</t>
        </is>
      </c>
      <c r="E7290" t="inlineStr">
        <is>
          <t>LJUSDAL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25782-2023</t>
        </is>
      </c>
      <c r="B7291" s="1" t="n">
        <v>45090</v>
      </c>
      <c r="C7291" s="1" t="n">
        <v>45677</v>
      </c>
      <c r="D7291" t="inlineStr">
        <is>
          <t>GÄVLEBORGS LÄN</t>
        </is>
      </c>
      <c r="E7291" t="inlineStr">
        <is>
          <t>BOLLNÄS</t>
        </is>
      </c>
      <c r="G7291" t="n">
        <v>16.9</v>
      </c>
      <c r="H7291" t="n">
        <v>0</v>
      </c>
      <c r="I7291" t="n">
        <v>0</v>
      </c>
      <c r="J7291" t="n">
        <v>0</v>
      </c>
      <c r="K7291" t="n">
        <v>0</v>
      </c>
      <c r="L7291" t="n">
        <v>0</v>
      </c>
      <c r="M7291" t="n">
        <v>0</v>
      </c>
      <c r="N7291" t="n">
        <v>0</v>
      </c>
      <c r="O7291" t="n">
        <v>0</v>
      </c>
      <c r="P7291" t="n">
        <v>0</v>
      </c>
      <c r="Q7291" t="n">
        <v>0</v>
      </c>
      <c r="R7291" s="2" t="inlineStr"/>
    </row>
    <row r="7292" ht="15" customHeight="1">
      <c r="A7292" t="inlineStr">
        <is>
          <t>A 25810-2023</t>
        </is>
      </c>
      <c r="B7292" s="1" t="n">
        <v>45090</v>
      </c>
      <c r="C7292" s="1" t="n">
        <v>45677</v>
      </c>
      <c r="D7292" t="inlineStr">
        <is>
          <t>GÄVLEBORGS LÄN</t>
        </is>
      </c>
      <c r="E7292" t="inlineStr">
        <is>
          <t>GÄVLE</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25814-2023</t>
        </is>
      </c>
      <c r="B7293" s="1" t="n">
        <v>45090</v>
      </c>
      <c r="C7293" s="1" t="n">
        <v>45677</v>
      </c>
      <c r="D7293" t="inlineStr">
        <is>
          <t>GÄVLEBORGS LÄN</t>
        </is>
      </c>
      <c r="E7293" t="inlineStr">
        <is>
          <t>GÄVLE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25863-2023</t>
        </is>
      </c>
      <c r="B7294" s="1" t="n">
        <v>45090</v>
      </c>
      <c r="C7294" s="1" t="n">
        <v>45677</v>
      </c>
      <c r="D7294" t="inlineStr">
        <is>
          <t>GÄVLEBORGS LÄN</t>
        </is>
      </c>
      <c r="E7294" t="inlineStr">
        <is>
          <t>BOLLNÄS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25946-2023</t>
        </is>
      </c>
      <c r="B7295" s="1" t="n">
        <v>45090</v>
      </c>
      <c r="C7295" s="1" t="n">
        <v>45677</v>
      </c>
      <c r="D7295" t="inlineStr">
        <is>
          <t>GÄVLEBORGS LÄN</t>
        </is>
      </c>
      <c r="E7295" t="inlineStr">
        <is>
          <t>NORDANSTIG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26281-2023</t>
        </is>
      </c>
      <c r="B7296" s="1" t="n">
        <v>45091</v>
      </c>
      <c r="C7296" s="1" t="n">
        <v>45677</v>
      </c>
      <c r="D7296" t="inlineStr">
        <is>
          <t>GÄVLEBORGS LÄN</t>
        </is>
      </c>
      <c r="E7296" t="inlineStr">
        <is>
          <t>OCKELBO</t>
        </is>
      </c>
      <c r="F7296" t="inlineStr">
        <is>
          <t>Bergvik skog väst AB</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26264-2023</t>
        </is>
      </c>
      <c r="B7297" s="1" t="n">
        <v>45091</v>
      </c>
      <c r="C7297" s="1" t="n">
        <v>45677</v>
      </c>
      <c r="D7297" t="inlineStr">
        <is>
          <t>GÄVLEBORGS LÄN</t>
        </is>
      </c>
      <c r="E7297" t="inlineStr">
        <is>
          <t>LJUSDAL</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26200-2023</t>
        </is>
      </c>
      <c r="B7298" s="1" t="n">
        <v>45091</v>
      </c>
      <c r="C7298" s="1" t="n">
        <v>45677</v>
      </c>
      <c r="D7298" t="inlineStr">
        <is>
          <t>GÄVLEBORGS LÄN</t>
        </is>
      </c>
      <c r="E7298" t="inlineStr">
        <is>
          <t>OVANÅKER</t>
        </is>
      </c>
      <c r="F7298" t="inlineStr">
        <is>
          <t>Bergvik skog väst AB</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26188-2023</t>
        </is>
      </c>
      <c r="B7299" s="1" t="n">
        <v>45091</v>
      </c>
      <c r="C7299" s="1" t="n">
        <v>45677</v>
      </c>
      <c r="D7299" t="inlineStr">
        <is>
          <t>GÄVLEBORGS LÄN</t>
        </is>
      </c>
      <c r="E7299" t="inlineStr">
        <is>
          <t>OVANÅKER</t>
        </is>
      </c>
      <c r="F7299" t="inlineStr">
        <is>
          <t>Bergvik skog väst AB</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26184-2023</t>
        </is>
      </c>
      <c r="B7300" s="1" t="n">
        <v>45091</v>
      </c>
      <c r="C7300" s="1" t="n">
        <v>45677</v>
      </c>
      <c r="D7300" t="inlineStr">
        <is>
          <t>GÄVLEBORGS LÄN</t>
        </is>
      </c>
      <c r="E7300" t="inlineStr">
        <is>
          <t>LJUSDAL</t>
        </is>
      </c>
      <c r="F7300" t="inlineStr">
        <is>
          <t>Sveaskog</t>
        </is>
      </c>
      <c r="G7300" t="n">
        <v>11.8</v>
      </c>
      <c r="H7300" t="n">
        <v>0</v>
      </c>
      <c r="I7300" t="n">
        <v>0</v>
      </c>
      <c r="J7300" t="n">
        <v>0</v>
      </c>
      <c r="K7300" t="n">
        <v>0</v>
      </c>
      <c r="L7300" t="n">
        <v>0</v>
      </c>
      <c r="M7300" t="n">
        <v>0</v>
      </c>
      <c r="N7300" t="n">
        <v>0</v>
      </c>
      <c r="O7300" t="n">
        <v>0</v>
      </c>
      <c r="P7300" t="n">
        <v>0</v>
      </c>
      <c r="Q7300" t="n">
        <v>0</v>
      </c>
      <c r="R7300" s="2" t="inlineStr"/>
    </row>
    <row r="7301" ht="15" customHeight="1">
      <c r="A7301" t="inlineStr">
        <is>
          <t>A 26195-2023</t>
        </is>
      </c>
      <c r="B7301" s="1" t="n">
        <v>45091</v>
      </c>
      <c r="C7301" s="1" t="n">
        <v>45677</v>
      </c>
      <c r="D7301" t="inlineStr">
        <is>
          <t>GÄVLEBORGS LÄN</t>
        </is>
      </c>
      <c r="E7301" t="inlineStr">
        <is>
          <t>OVANÅKER</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26190-2023</t>
        </is>
      </c>
      <c r="B7302" s="1" t="n">
        <v>45091</v>
      </c>
      <c r="C7302" s="1" t="n">
        <v>45677</v>
      </c>
      <c r="D7302" t="inlineStr">
        <is>
          <t>GÄVLEBORGS LÄN</t>
        </is>
      </c>
      <c r="E7302" t="inlineStr">
        <is>
          <t>OVANÅKER</t>
        </is>
      </c>
      <c r="F7302" t="inlineStr">
        <is>
          <t>Bergvik skog väst AB</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26186-2023</t>
        </is>
      </c>
      <c r="B7303" s="1" t="n">
        <v>45091</v>
      </c>
      <c r="C7303" s="1" t="n">
        <v>45677</v>
      </c>
      <c r="D7303" t="inlineStr">
        <is>
          <t>GÄVLEBORGS LÄN</t>
        </is>
      </c>
      <c r="E7303" t="inlineStr">
        <is>
          <t>LJUSDAL</t>
        </is>
      </c>
      <c r="F7303" t="inlineStr">
        <is>
          <t>Sveaskog</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26181-2023</t>
        </is>
      </c>
      <c r="B7304" s="1" t="n">
        <v>45091</v>
      </c>
      <c r="C7304" s="1" t="n">
        <v>45677</v>
      </c>
      <c r="D7304" t="inlineStr">
        <is>
          <t>GÄVLEBORGS LÄN</t>
        </is>
      </c>
      <c r="E7304" t="inlineStr">
        <is>
          <t>LJUSDAL</t>
        </is>
      </c>
      <c r="F7304" t="inlineStr">
        <is>
          <t>Sveaskog</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26076-2023</t>
        </is>
      </c>
      <c r="B7305" s="1" t="n">
        <v>45091</v>
      </c>
      <c r="C7305" s="1" t="n">
        <v>45677</v>
      </c>
      <c r="D7305" t="inlineStr">
        <is>
          <t>GÄVLEBORGS LÄN</t>
        </is>
      </c>
      <c r="E7305" t="inlineStr">
        <is>
          <t>OVANÅKER</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26185-2023</t>
        </is>
      </c>
      <c r="B7306" s="1" t="n">
        <v>45091</v>
      </c>
      <c r="C7306" s="1" t="n">
        <v>45677</v>
      </c>
      <c r="D7306" t="inlineStr">
        <is>
          <t>GÄVLEBORGS LÄN</t>
        </is>
      </c>
      <c r="E7306" t="inlineStr">
        <is>
          <t>LJUSDAL</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26180-2023</t>
        </is>
      </c>
      <c r="B7307" s="1" t="n">
        <v>45091</v>
      </c>
      <c r="C7307" s="1" t="n">
        <v>45677</v>
      </c>
      <c r="D7307" t="inlineStr">
        <is>
          <t>GÄVLEBORGS LÄN</t>
        </is>
      </c>
      <c r="E7307" t="inlineStr">
        <is>
          <t>LJUSDAL</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26126-2023</t>
        </is>
      </c>
      <c r="B7308" s="1" t="n">
        <v>45091</v>
      </c>
      <c r="C7308" s="1" t="n">
        <v>45677</v>
      </c>
      <c r="D7308" t="inlineStr">
        <is>
          <t>GÄVLEBORGS LÄN</t>
        </is>
      </c>
      <c r="E7308" t="inlineStr">
        <is>
          <t>BOLLNÄS</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26109-2023</t>
        </is>
      </c>
      <c r="B7309" s="1" t="n">
        <v>45091</v>
      </c>
      <c r="C7309" s="1" t="n">
        <v>45677</v>
      </c>
      <c r="D7309" t="inlineStr">
        <is>
          <t>GÄVLEBORGS LÄN</t>
        </is>
      </c>
      <c r="E7309" t="inlineStr">
        <is>
          <t>LJUSDAL</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26377-2023</t>
        </is>
      </c>
      <c r="B7310" s="1" t="n">
        <v>45092</v>
      </c>
      <c r="C7310" s="1" t="n">
        <v>45677</v>
      </c>
      <c r="D7310" t="inlineStr">
        <is>
          <t>GÄVLEBORGS LÄN</t>
        </is>
      </c>
      <c r="E7310" t="inlineStr">
        <is>
          <t>BOLLNÄS</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26456-2023</t>
        </is>
      </c>
      <c r="B7311" s="1" t="n">
        <v>45092</v>
      </c>
      <c r="C7311" s="1" t="n">
        <v>45677</v>
      </c>
      <c r="D7311" t="inlineStr">
        <is>
          <t>GÄVLEBORGS LÄN</t>
        </is>
      </c>
      <c r="E7311" t="inlineStr">
        <is>
          <t>HUDIKSVALL</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26518-2023</t>
        </is>
      </c>
      <c r="B7312" s="1" t="n">
        <v>45092</v>
      </c>
      <c r="C7312" s="1" t="n">
        <v>45677</v>
      </c>
      <c r="D7312" t="inlineStr">
        <is>
          <t>GÄVLEBORGS LÄN</t>
        </is>
      </c>
      <c r="E7312" t="inlineStr">
        <is>
          <t>OVANÅKER</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26523-2023</t>
        </is>
      </c>
      <c r="B7313" s="1" t="n">
        <v>45092</v>
      </c>
      <c r="C7313" s="1" t="n">
        <v>45677</v>
      </c>
      <c r="D7313" t="inlineStr">
        <is>
          <t>GÄVLEBORGS LÄN</t>
        </is>
      </c>
      <c r="E7313" t="inlineStr">
        <is>
          <t>LJUSDAL</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26527-2023</t>
        </is>
      </c>
      <c r="B7314" s="1" t="n">
        <v>45092</v>
      </c>
      <c r="C7314" s="1" t="n">
        <v>45677</v>
      </c>
      <c r="D7314" t="inlineStr">
        <is>
          <t>GÄVLEBORGS LÄN</t>
        </is>
      </c>
      <c r="E7314" t="inlineStr">
        <is>
          <t>LJUSDAL</t>
        </is>
      </c>
      <c r="F7314" t="inlineStr">
        <is>
          <t>Sveaskog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26531-2023</t>
        </is>
      </c>
      <c r="B7315" s="1" t="n">
        <v>45092</v>
      </c>
      <c r="C7315" s="1" t="n">
        <v>45677</v>
      </c>
      <c r="D7315" t="inlineStr">
        <is>
          <t>GÄVLEBORGS LÄN</t>
        </is>
      </c>
      <c r="E7315" t="inlineStr">
        <is>
          <t>BOLLNÄS</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26539-2023</t>
        </is>
      </c>
      <c r="B7316" s="1" t="n">
        <v>45092</v>
      </c>
      <c r="C7316" s="1" t="n">
        <v>45677</v>
      </c>
      <c r="D7316" t="inlineStr">
        <is>
          <t>GÄVLEBORGS LÄN</t>
        </is>
      </c>
      <c r="E7316" t="inlineStr">
        <is>
          <t>LJUSDAL</t>
        </is>
      </c>
      <c r="F7316" t="inlineStr">
        <is>
          <t>Sveaskog</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26619-2023</t>
        </is>
      </c>
      <c r="B7317" s="1" t="n">
        <v>45092</v>
      </c>
      <c r="C7317" s="1" t="n">
        <v>45677</v>
      </c>
      <c r="D7317" t="inlineStr">
        <is>
          <t>GÄVLEBORGS LÄN</t>
        </is>
      </c>
      <c r="E7317" t="inlineStr">
        <is>
          <t>LJUSDAL</t>
        </is>
      </c>
      <c r="F7317" t="inlineStr">
        <is>
          <t>Sveaskog</t>
        </is>
      </c>
      <c r="G7317" t="n">
        <v>11.3</v>
      </c>
      <c r="H7317" t="n">
        <v>0</v>
      </c>
      <c r="I7317" t="n">
        <v>0</v>
      </c>
      <c r="J7317" t="n">
        <v>0</v>
      </c>
      <c r="K7317" t="n">
        <v>0</v>
      </c>
      <c r="L7317" t="n">
        <v>0</v>
      </c>
      <c r="M7317" t="n">
        <v>0</v>
      </c>
      <c r="N7317" t="n">
        <v>0</v>
      </c>
      <c r="O7317" t="n">
        <v>0</v>
      </c>
      <c r="P7317" t="n">
        <v>0</v>
      </c>
      <c r="Q7317" t="n">
        <v>0</v>
      </c>
      <c r="R7317" s="2" t="inlineStr"/>
    </row>
    <row r="7318" ht="15" customHeight="1">
      <c r="A7318" t="inlineStr">
        <is>
          <t>A 26436-2023</t>
        </is>
      </c>
      <c r="B7318" s="1" t="n">
        <v>45092</v>
      </c>
      <c r="C7318" s="1" t="n">
        <v>45677</v>
      </c>
      <c r="D7318" t="inlineStr">
        <is>
          <t>GÄVLEBORGS LÄN</t>
        </is>
      </c>
      <c r="E7318" t="inlineStr">
        <is>
          <t>LJUSDAL</t>
        </is>
      </c>
      <c r="F7318" t="inlineStr">
        <is>
          <t>Bergvik skog väst AB</t>
        </is>
      </c>
      <c r="G7318" t="n">
        <v>20.2</v>
      </c>
      <c r="H7318" t="n">
        <v>0</v>
      </c>
      <c r="I7318" t="n">
        <v>0</v>
      </c>
      <c r="J7318" t="n">
        <v>0</v>
      </c>
      <c r="K7318" t="n">
        <v>0</v>
      </c>
      <c r="L7318" t="n">
        <v>0</v>
      </c>
      <c r="M7318" t="n">
        <v>0</v>
      </c>
      <c r="N7318" t="n">
        <v>0</v>
      </c>
      <c r="O7318" t="n">
        <v>0</v>
      </c>
      <c r="P7318" t="n">
        <v>0</v>
      </c>
      <c r="Q7318" t="n">
        <v>0</v>
      </c>
      <c r="R7318" s="2" t="inlineStr"/>
    </row>
    <row r="7319" ht="15" customHeight="1">
      <c r="A7319" t="inlineStr">
        <is>
          <t>A 26467-2023</t>
        </is>
      </c>
      <c r="B7319" s="1" t="n">
        <v>45092</v>
      </c>
      <c r="C7319" s="1" t="n">
        <v>45677</v>
      </c>
      <c r="D7319" t="inlineStr">
        <is>
          <t>GÄVLEBORGS LÄN</t>
        </is>
      </c>
      <c r="E7319" t="inlineStr">
        <is>
          <t>OVANÅKER</t>
        </is>
      </c>
      <c r="F7319" t="inlineStr">
        <is>
          <t>Bergvik skog väst AB</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26491-2023</t>
        </is>
      </c>
      <c r="B7320" s="1" t="n">
        <v>45092</v>
      </c>
      <c r="C7320" s="1" t="n">
        <v>45677</v>
      </c>
      <c r="D7320" t="inlineStr">
        <is>
          <t>GÄVLEBORGS LÄN</t>
        </is>
      </c>
      <c r="E7320" t="inlineStr">
        <is>
          <t>LJUSDAL</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26379-2023</t>
        </is>
      </c>
      <c r="B7321" s="1" t="n">
        <v>45092</v>
      </c>
      <c r="C7321" s="1" t="n">
        <v>45677</v>
      </c>
      <c r="D7321" t="inlineStr">
        <is>
          <t>GÄVLEBORGS LÄN</t>
        </is>
      </c>
      <c r="E7321" t="inlineStr">
        <is>
          <t>OVANÅKER</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26399-2023</t>
        </is>
      </c>
      <c r="B7322" s="1" t="n">
        <v>45092</v>
      </c>
      <c r="C7322" s="1" t="n">
        <v>45677</v>
      </c>
      <c r="D7322" t="inlineStr">
        <is>
          <t>GÄVLEBORGS LÄN</t>
        </is>
      </c>
      <c r="E7322" t="inlineStr">
        <is>
          <t>OVANÅKER</t>
        </is>
      </c>
      <c r="F7322" t="inlineStr">
        <is>
          <t>Bergvik skog väst AB</t>
        </is>
      </c>
      <c r="G7322" t="n">
        <v>40.2</v>
      </c>
      <c r="H7322" t="n">
        <v>0</v>
      </c>
      <c r="I7322" t="n">
        <v>0</v>
      </c>
      <c r="J7322" t="n">
        <v>0</v>
      </c>
      <c r="K7322" t="n">
        <v>0</v>
      </c>
      <c r="L7322" t="n">
        <v>0</v>
      </c>
      <c r="M7322" t="n">
        <v>0</v>
      </c>
      <c r="N7322" t="n">
        <v>0</v>
      </c>
      <c r="O7322" t="n">
        <v>0</v>
      </c>
      <c r="P7322" t="n">
        <v>0</v>
      </c>
      <c r="Q7322" t="n">
        <v>0</v>
      </c>
      <c r="R7322" s="2" t="inlineStr"/>
    </row>
    <row r="7323" ht="15" customHeight="1">
      <c r="A7323" t="inlineStr">
        <is>
          <t>A 26413-2023</t>
        </is>
      </c>
      <c r="B7323" s="1" t="n">
        <v>45092</v>
      </c>
      <c r="C7323" s="1" t="n">
        <v>45677</v>
      </c>
      <c r="D7323" t="inlineStr">
        <is>
          <t>GÄVLEBORGS LÄN</t>
        </is>
      </c>
      <c r="E7323" t="inlineStr">
        <is>
          <t>SANDVIKEN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26458-2023</t>
        </is>
      </c>
      <c r="B7324" s="1" t="n">
        <v>45092</v>
      </c>
      <c r="C7324" s="1" t="n">
        <v>45677</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26503-2023</t>
        </is>
      </c>
      <c r="B7325" s="1" t="n">
        <v>45092</v>
      </c>
      <c r="C7325" s="1" t="n">
        <v>45677</v>
      </c>
      <c r="D7325" t="inlineStr">
        <is>
          <t>GÄVLEBORGS LÄN</t>
        </is>
      </c>
      <c r="E7325" t="inlineStr">
        <is>
          <t>LJUSDAL</t>
        </is>
      </c>
      <c r="F7325" t="inlineStr">
        <is>
          <t>Sveaskog</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26463-2023</t>
        </is>
      </c>
      <c r="B7326" s="1" t="n">
        <v>45092</v>
      </c>
      <c r="C7326" s="1" t="n">
        <v>45677</v>
      </c>
      <c r="D7326" t="inlineStr">
        <is>
          <t>GÄVLEBORGS LÄN</t>
        </is>
      </c>
      <c r="E7326" t="inlineStr">
        <is>
          <t>OVANÅKER</t>
        </is>
      </c>
      <c r="F7326" t="inlineStr">
        <is>
          <t>Bergvik skog väst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26470-2023</t>
        </is>
      </c>
      <c r="B7327" s="1" t="n">
        <v>45092</v>
      </c>
      <c r="C7327" s="1" t="n">
        <v>45677</v>
      </c>
      <c r="D7327" t="inlineStr">
        <is>
          <t>GÄVLEBORGS LÄN</t>
        </is>
      </c>
      <c r="E7327" t="inlineStr">
        <is>
          <t>OVANÅKER</t>
        </is>
      </c>
      <c r="F7327" t="inlineStr">
        <is>
          <t>Bergvik skog väst AB</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26479-2023</t>
        </is>
      </c>
      <c r="B7328" s="1" t="n">
        <v>45092</v>
      </c>
      <c r="C7328" s="1" t="n">
        <v>45677</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26484-2023</t>
        </is>
      </c>
      <c r="B7329" s="1" t="n">
        <v>45092</v>
      </c>
      <c r="C7329" s="1" t="n">
        <v>45677</v>
      </c>
      <c r="D7329" t="inlineStr">
        <is>
          <t>GÄVLEBORGS LÄN</t>
        </is>
      </c>
      <c r="E7329" t="inlineStr">
        <is>
          <t>LJUSDAL</t>
        </is>
      </c>
      <c r="F7329" t="inlineStr">
        <is>
          <t>Sveaskog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26525-2023</t>
        </is>
      </c>
      <c r="B7330" s="1" t="n">
        <v>45092</v>
      </c>
      <c r="C7330" s="1" t="n">
        <v>45677</v>
      </c>
      <c r="D7330" t="inlineStr">
        <is>
          <t>GÄVLEBORGS LÄN</t>
        </is>
      </c>
      <c r="E7330" t="inlineStr">
        <is>
          <t>LJUSDAL</t>
        </is>
      </c>
      <c r="F7330" t="inlineStr">
        <is>
          <t>Sveaskog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26502-2023</t>
        </is>
      </c>
      <c r="B7331" s="1" t="n">
        <v>45092</v>
      </c>
      <c r="C7331" s="1" t="n">
        <v>45677</v>
      </c>
      <c r="D7331" t="inlineStr">
        <is>
          <t>GÄVLEBORGS LÄN</t>
        </is>
      </c>
      <c r="E7331" t="inlineStr">
        <is>
          <t>LJUSDAL</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26506-2023</t>
        </is>
      </c>
      <c r="B7332" s="1" t="n">
        <v>45092</v>
      </c>
      <c r="C7332" s="1" t="n">
        <v>45677</v>
      </c>
      <c r="D7332" t="inlineStr">
        <is>
          <t>GÄVLEBORGS LÄN</t>
        </is>
      </c>
      <c r="E7332" t="inlineStr">
        <is>
          <t>LJUSDAL</t>
        </is>
      </c>
      <c r="F7332" t="inlineStr">
        <is>
          <t>Sveaskog</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26510-2023</t>
        </is>
      </c>
      <c r="B7333" s="1" t="n">
        <v>45092</v>
      </c>
      <c r="C7333" s="1" t="n">
        <v>45677</v>
      </c>
      <c r="D7333" t="inlineStr">
        <is>
          <t>GÄVLEBORGS LÄN</t>
        </is>
      </c>
      <c r="E7333" t="inlineStr">
        <is>
          <t>LJUSDAL</t>
        </is>
      </c>
      <c r="F7333" t="inlineStr">
        <is>
          <t>Sveaskog</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26524-2023</t>
        </is>
      </c>
      <c r="B7334" s="1" t="n">
        <v>45092</v>
      </c>
      <c r="C7334" s="1" t="n">
        <v>45677</v>
      </c>
      <c r="D7334" t="inlineStr">
        <is>
          <t>GÄVLEBORGS LÄN</t>
        </is>
      </c>
      <c r="E7334" t="inlineStr">
        <is>
          <t>LJUSDAL</t>
        </is>
      </c>
      <c r="F7334" t="inlineStr">
        <is>
          <t>Sveaskog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26611-2023</t>
        </is>
      </c>
      <c r="B7335" s="1" t="n">
        <v>45092</v>
      </c>
      <c r="C7335" s="1" t="n">
        <v>45677</v>
      </c>
      <c r="D7335" t="inlineStr">
        <is>
          <t>GÄVLEBORGS LÄN</t>
        </is>
      </c>
      <c r="E7335" t="inlineStr">
        <is>
          <t>LJUSDAL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26621-2023</t>
        </is>
      </c>
      <c r="B7336" s="1" t="n">
        <v>45092</v>
      </c>
      <c r="C7336" s="1" t="n">
        <v>45677</v>
      </c>
      <c r="D7336" t="inlineStr">
        <is>
          <t>GÄVLEBORGS LÄN</t>
        </is>
      </c>
      <c r="E7336" t="inlineStr">
        <is>
          <t>LJUSDAL</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26625-2023</t>
        </is>
      </c>
      <c r="B7337" s="1" t="n">
        <v>45092</v>
      </c>
      <c r="C7337" s="1" t="n">
        <v>45677</v>
      </c>
      <c r="D7337" t="inlineStr">
        <is>
          <t>GÄVLEBORGS LÄN</t>
        </is>
      </c>
      <c r="E7337" t="inlineStr">
        <is>
          <t>LJUSDAL</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26653-2023</t>
        </is>
      </c>
      <c r="B7338" s="1" t="n">
        <v>45093</v>
      </c>
      <c r="C7338" s="1" t="n">
        <v>45677</v>
      </c>
      <c r="D7338" t="inlineStr">
        <is>
          <t>GÄVLEBORGS LÄN</t>
        </is>
      </c>
      <c r="E7338" t="inlineStr">
        <is>
          <t>LJUSDAL</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26669-2023</t>
        </is>
      </c>
      <c r="B7339" s="1" t="n">
        <v>45093</v>
      </c>
      <c r="C7339" s="1" t="n">
        <v>45677</v>
      </c>
      <c r="D7339" t="inlineStr">
        <is>
          <t>GÄVLEBORGS LÄN</t>
        </is>
      </c>
      <c r="E7339" t="inlineStr">
        <is>
          <t>LJUSDAL</t>
        </is>
      </c>
      <c r="F7339" t="inlineStr">
        <is>
          <t>Bergvik skog väst AB</t>
        </is>
      </c>
      <c r="G7339" t="n">
        <v>22.6</v>
      </c>
      <c r="H7339" t="n">
        <v>0</v>
      </c>
      <c r="I7339" t="n">
        <v>0</v>
      </c>
      <c r="J7339" t="n">
        <v>0</v>
      </c>
      <c r="K7339" t="n">
        <v>0</v>
      </c>
      <c r="L7339" t="n">
        <v>0</v>
      </c>
      <c r="M7339" t="n">
        <v>0</v>
      </c>
      <c r="N7339" t="n">
        <v>0</v>
      </c>
      <c r="O7339" t="n">
        <v>0</v>
      </c>
      <c r="P7339" t="n">
        <v>0</v>
      </c>
      <c r="Q7339" t="n">
        <v>0</v>
      </c>
      <c r="R7339" s="2" t="inlineStr"/>
    </row>
    <row r="7340" ht="15" customHeight="1">
      <c r="A7340" t="inlineStr">
        <is>
          <t>A 26630-2023</t>
        </is>
      </c>
      <c r="B7340" s="1" t="n">
        <v>45092</v>
      </c>
      <c r="C7340" s="1" t="n">
        <v>45677</v>
      </c>
      <c r="D7340" t="inlineStr">
        <is>
          <t>GÄVLEBORGS LÄN</t>
        </is>
      </c>
      <c r="E7340" t="inlineStr">
        <is>
          <t>OCKELBO</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26667-2023</t>
        </is>
      </c>
      <c r="B7341" s="1" t="n">
        <v>45093</v>
      </c>
      <c r="C7341" s="1" t="n">
        <v>45677</v>
      </c>
      <c r="D7341" t="inlineStr">
        <is>
          <t>GÄVLEBORGS LÄN</t>
        </is>
      </c>
      <c r="E7341" t="inlineStr">
        <is>
          <t>LJUSDAL</t>
        </is>
      </c>
      <c r="F7341" t="inlineStr">
        <is>
          <t>Bergvik skog väst AB</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26643-2023</t>
        </is>
      </c>
      <c r="B7342" s="1" t="n">
        <v>45092</v>
      </c>
      <c r="C7342" s="1" t="n">
        <v>45677</v>
      </c>
      <c r="D7342" t="inlineStr">
        <is>
          <t>GÄVLEBORGS LÄN</t>
        </is>
      </c>
      <c r="E7342" t="inlineStr">
        <is>
          <t>OCKELBO</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26668-2023</t>
        </is>
      </c>
      <c r="B7343" s="1" t="n">
        <v>45093</v>
      </c>
      <c r="C7343" s="1" t="n">
        <v>45677</v>
      </c>
      <c r="D7343" t="inlineStr">
        <is>
          <t>GÄVLEBORGS LÄN</t>
        </is>
      </c>
      <c r="E7343" t="inlineStr">
        <is>
          <t>LJUSDAL</t>
        </is>
      </c>
      <c r="F7343" t="inlineStr">
        <is>
          <t>Bergvik skog väst AB</t>
        </is>
      </c>
      <c r="G7343" t="n">
        <v>19.4</v>
      </c>
      <c r="H7343" t="n">
        <v>0</v>
      </c>
      <c r="I7343" t="n">
        <v>0</v>
      </c>
      <c r="J7343" t="n">
        <v>0</v>
      </c>
      <c r="K7343" t="n">
        <v>0</v>
      </c>
      <c r="L7343" t="n">
        <v>0</v>
      </c>
      <c r="M7343" t="n">
        <v>0</v>
      </c>
      <c r="N7343" t="n">
        <v>0</v>
      </c>
      <c r="O7343" t="n">
        <v>0</v>
      </c>
      <c r="P7343" t="n">
        <v>0</v>
      </c>
      <c r="Q7343" t="n">
        <v>0</v>
      </c>
      <c r="R7343" s="2" t="inlineStr"/>
    </row>
    <row r="7344" ht="15" customHeight="1">
      <c r="A7344" t="inlineStr">
        <is>
          <t>A 26654-2023</t>
        </is>
      </c>
      <c r="B7344" s="1" t="n">
        <v>45093</v>
      </c>
      <c r="C7344" s="1" t="n">
        <v>45677</v>
      </c>
      <c r="D7344" t="inlineStr">
        <is>
          <t>GÄVLEBORGS LÄN</t>
        </is>
      </c>
      <c r="E7344" t="inlineStr">
        <is>
          <t>LJUSDAL</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26781-2023</t>
        </is>
      </c>
      <c r="B7345" s="1" t="n">
        <v>45093</v>
      </c>
      <c r="C7345" s="1" t="n">
        <v>45677</v>
      </c>
      <c r="D7345" t="inlineStr">
        <is>
          <t>GÄVLEBORGS LÄN</t>
        </is>
      </c>
      <c r="E7345" t="inlineStr">
        <is>
          <t>LJUSDAL</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26782-2023</t>
        </is>
      </c>
      <c r="B7346" s="1" t="n">
        <v>45093</v>
      </c>
      <c r="C7346" s="1" t="n">
        <v>45677</v>
      </c>
      <c r="D7346" t="inlineStr">
        <is>
          <t>GÄVLEBORGS LÄN</t>
        </is>
      </c>
      <c r="E7346" t="inlineStr">
        <is>
          <t>SÖDERHAMN</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26795-2023</t>
        </is>
      </c>
      <c r="B7347" s="1" t="n">
        <v>45093</v>
      </c>
      <c r="C7347" s="1" t="n">
        <v>45677</v>
      </c>
      <c r="D7347" t="inlineStr">
        <is>
          <t>GÄVLEBORGS LÄN</t>
        </is>
      </c>
      <c r="E7347" t="inlineStr">
        <is>
          <t>SÖDERHAMN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26854-2023</t>
        </is>
      </c>
      <c r="B7348" s="1" t="n">
        <v>45093</v>
      </c>
      <c r="C7348" s="1" t="n">
        <v>45677</v>
      </c>
      <c r="D7348" t="inlineStr">
        <is>
          <t>GÄVLEBORGS LÄN</t>
        </is>
      </c>
      <c r="E7348" t="inlineStr">
        <is>
          <t>BOLLNÄS</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26874-2023</t>
        </is>
      </c>
      <c r="B7349" s="1" t="n">
        <v>45093</v>
      </c>
      <c r="C7349" s="1" t="n">
        <v>45677</v>
      </c>
      <c r="D7349" t="inlineStr">
        <is>
          <t>GÄVLEBORGS LÄN</t>
        </is>
      </c>
      <c r="E7349" t="inlineStr">
        <is>
          <t>HUDIKSVALL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26894-2023</t>
        </is>
      </c>
      <c r="B7350" s="1" t="n">
        <v>45093</v>
      </c>
      <c r="C7350" s="1" t="n">
        <v>45677</v>
      </c>
      <c r="D7350" t="inlineStr">
        <is>
          <t>GÄVLEBORGS LÄN</t>
        </is>
      </c>
      <c r="E7350" t="inlineStr">
        <is>
          <t>LJUSDAL</t>
        </is>
      </c>
      <c r="F7350" t="inlineStr">
        <is>
          <t>Holmen skog AB</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26785-2023</t>
        </is>
      </c>
      <c r="B7351" s="1" t="n">
        <v>45093</v>
      </c>
      <c r="C7351" s="1" t="n">
        <v>45677</v>
      </c>
      <c r="D7351" t="inlineStr">
        <is>
          <t>GÄVLEBORGS LÄN</t>
        </is>
      </c>
      <c r="E7351" t="inlineStr">
        <is>
          <t>LJUSDAL</t>
        </is>
      </c>
      <c r="F7351" t="inlineStr">
        <is>
          <t>Sveaskog</t>
        </is>
      </c>
      <c r="G7351" t="n">
        <v>18.6</v>
      </c>
      <c r="H7351" t="n">
        <v>0</v>
      </c>
      <c r="I7351" t="n">
        <v>0</v>
      </c>
      <c r="J7351" t="n">
        <v>0</v>
      </c>
      <c r="K7351" t="n">
        <v>0</v>
      </c>
      <c r="L7351" t="n">
        <v>0</v>
      </c>
      <c r="M7351" t="n">
        <v>0</v>
      </c>
      <c r="N7351" t="n">
        <v>0</v>
      </c>
      <c r="O7351" t="n">
        <v>0</v>
      </c>
      <c r="P7351" t="n">
        <v>0</v>
      </c>
      <c r="Q7351" t="n">
        <v>0</v>
      </c>
      <c r="R7351" s="2" t="inlineStr"/>
    </row>
    <row r="7352" ht="15" customHeight="1">
      <c r="A7352" t="inlineStr">
        <is>
          <t>A 26861-2023</t>
        </is>
      </c>
      <c r="B7352" s="1" t="n">
        <v>45093</v>
      </c>
      <c r="C7352" s="1" t="n">
        <v>45677</v>
      </c>
      <c r="D7352" t="inlineStr">
        <is>
          <t>GÄVLEBORGS LÄN</t>
        </is>
      </c>
      <c r="E7352" t="inlineStr">
        <is>
          <t>LJUSDAL</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26860-2023</t>
        </is>
      </c>
      <c r="B7353" s="1" t="n">
        <v>45093</v>
      </c>
      <c r="C7353" s="1" t="n">
        <v>45677</v>
      </c>
      <c r="D7353" t="inlineStr">
        <is>
          <t>GÄVLEBORGS LÄN</t>
        </is>
      </c>
      <c r="E7353" t="inlineStr">
        <is>
          <t>LJUSDAL</t>
        </is>
      </c>
      <c r="F7353" t="inlineStr">
        <is>
          <t>Sveaskog</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26801-2023</t>
        </is>
      </c>
      <c r="B7354" s="1" t="n">
        <v>45093</v>
      </c>
      <c r="C7354" s="1" t="n">
        <v>45677</v>
      </c>
      <c r="D7354" t="inlineStr">
        <is>
          <t>GÄVLEBORGS LÄN</t>
        </is>
      </c>
      <c r="E7354" t="inlineStr">
        <is>
          <t>SÖDERHAMN</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26822-2023</t>
        </is>
      </c>
      <c r="B7355" s="1" t="n">
        <v>45093</v>
      </c>
      <c r="C7355" s="1" t="n">
        <v>45677</v>
      </c>
      <c r="D7355" t="inlineStr">
        <is>
          <t>GÄVLEBORGS LÄN</t>
        </is>
      </c>
      <c r="E7355" t="inlineStr">
        <is>
          <t>BOLLNÄS</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26827-2023</t>
        </is>
      </c>
      <c r="B7356" s="1" t="n">
        <v>45093</v>
      </c>
      <c r="C7356" s="1" t="n">
        <v>45677</v>
      </c>
      <c r="D7356" t="inlineStr">
        <is>
          <t>GÄVLEBORGS LÄN</t>
        </is>
      </c>
      <c r="E7356" t="inlineStr">
        <is>
          <t>LJUSDAL</t>
        </is>
      </c>
      <c r="F7356" t="inlineStr">
        <is>
          <t>Sveaskog</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26851-2023</t>
        </is>
      </c>
      <c r="B7357" s="1" t="n">
        <v>45093</v>
      </c>
      <c r="C7357" s="1" t="n">
        <v>45677</v>
      </c>
      <c r="D7357" t="inlineStr">
        <is>
          <t>GÄVLEBORGS LÄN</t>
        </is>
      </c>
      <c r="E7357" t="inlineStr">
        <is>
          <t>BOLLNÄS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26918-2023</t>
        </is>
      </c>
      <c r="B7358" s="1" t="n">
        <v>45093</v>
      </c>
      <c r="C7358" s="1" t="n">
        <v>45677</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26930-2023</t>
        </is>
      </c>
      <c r="B7359" s="1" t="n">
        <v>45093</v>
      </c>
      <c r="C7359" s="1" t="n">
        <v>45677</v>
      </c>
      <c r="D7359" t="inlineStr">
        <is>
          <t>GÄVLEBORGS LÄN</t>
        </is>
      </c>
      <c r="E7359" t="inlineStr">
        <is>
          <t>SÖDERHAMN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26947-2023</t>
        </is>
      </c>
      <c r="B7360" s="1" t="n">
        <v>45093</v>
      </c>
      <c r="C7360" s="1" t="n">
        <v>45677</v>
      </c>
      <c r="D7360" t="inlineStr">
        <is>
          <t>GÄVLEBORGS LÄN</t>
        </is>
      </c>
      <c r="E7360" t="inlineStr">
        <is>
          <t>SÖDERHAMN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26936-2023</t>
        </is>
      </c>
      <c r="B7361" s="1" t="n">
        <v>45093</v>
      </c>
      <c r="C7361" s="1" t="n">
        <v>45677</v>
      </c>
      <c r="D7361" t="inlineStr">
        <is>
          <t>GÄVLEBORGS LÄN</t>
        </is>
      </c>
      <c r="E7361" t="inlineStr">
        <is>
          <t>SÖDERHAMN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26958-2023</t>
        </is>
      </c>
      <c r="B7362" s="1" t="n">
        <v>45093</v>
      </c>
      <c r="C7362" s="1" t="n">
        <v>45677</v>
      </c>
      <c r="D7362" t="inlineStr">
        <is>
          <t>GÄVLEBORGS LÄN</t>
        </is>
      </c>
      <c r="E7362" t="inlineStr">
        <is>
          <t>HUDIKSVALL</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27012-2023</t>
        </is>
      </c>
      <c r="B7363" s="1" t="n">
        <v>45094</v>
      </c>
      <c r="C7363" s="1" t="n">
        <v>45677</v>
      </c>
      <c r="D7363" t="inlineStr">
        <is>
          <t>GÄVLEBORGS LÄN</t>
        </is>
      </c>
      <c r="E7363" t="inlineStr">
        <is>
          <t>LJUSDAL</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27006-2023</t>
        </is>
      </c>
      <c r="B7364" s="1" t="n">
        <v>45094</v>
      </c>
      <c r="C7364" s="1" t="n">
        <v>45677</v>
      </c>
      <c r="D7364" t="inlineStr">
        <is>
          <t>GÄVLEBORGS LÄN</t>
        </is>
      </c>
      <c r="E7364" t="inlineStr">
        <is>
          <t>SANDVIKEN</t>
        </is>
      </c>
      <c r="F7364" t="inlineStr">
        <is>
          <t>Bergvik skog öst AB</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27005-2023</t>
        </is>
      </c>
      <c r="B7365" s="1" t="n">
        <v>45094</v>
      </c>
      <c r="C7365" s="1" t="n">
        <v>45677</v>
      </c>
      <c r="D7365" t="inlineStr">
        <is>
          <t>GÄVLEBORGS LÄN</t>
        </is>
      </c>
      <c r="E7365" t="inlineStr">
        <is>
          <t>SANDVIKEN</t>
        </is>
      </c>
      <c r="F7365" t="inlineStr">
        <is>
          <t>Bergvik skog öst AB</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27089-2023</t>
        </is>
      </c>
      <c r="B7366" s="1" t="n">
        <v>45096</v>
      </c>
      <c r="C7366" s="1" t="n">
        <v>45677</v>
      </c>
      <c r="D7366" t="inlineStr">
        <is>
          <t>GÄVLEBORGS LÄN</t>
        </is>
      </c>
      <c r="E7366" t="inlineStr">
        <is>
          <t>GÄVLE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27144-2023</t>
        </is>
      </c>
      <c r="B7367" s="1" t="n">
        <v>45096</v>
      </c>
      <c r="C7367" s="1" t="n">
        <v>45677</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27194-2023</t>
        </is>
      </c>
      <c r="B7368" s="1" t="n">
        <v>45096</v>
      </c>
      <c r="C7368" s="1" t="n">
        <v>45677</v>
      </c>
      <c r="D7368" t="inlineStr">
        <is>
          <t>GÄVLEBORGS LÄN</t>
        </is>
      </c>
      <c r="E7368" t="inlineStr">
        <is>
          <t>OVANÅKER</t>
        </is>
      </c>
      <c r="F7368" t="inlineStr">
        <is>
          <t>Bergvik skog väst AB</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27203-2023</t>
        </is>
      </c>
      <c r="B7369" s="1" t="n">
        <v>45096</v>
      </c>
      <c r="C7369" s="1" t="n">
        <v>45677</v>
      </c>
      <c r="D7369" t="inlineStr">
        <is>
          <t>GÄVLEBORGS LÄN</t>
        </is>
      </c>
      <c r="E7369" t="inlineStr">
        <is>
          <t>OVANÅKER</t>
        </is>
      </c>
      <c r="F7369" t="inlineStr">
        <is>
          <t>Bergvik skog väst AB</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27113-2023</t>
        </is>
      </c>
      <c r="B7370" s="1" t="n">
        <v>45096</v>
      </c>
      <c r="C7370" s="1" t="n">
        <v>45677</v>
      </c>
      <c r="D7370" t="inlineStr">
        <is>
          <t>GÄVLEBORGS LÄN</t>
        </is>
      </c>
      <c r="E7370" t="inlineStr">
        <is>
          <t>OVANÅKER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27127-2023</t>
        </is>
      </c>
      <c r="B7371" s="1" t="n">
        <v>45096</v>
      </c>
      <c r="C7371" s="1" t="n">
        <v>45677</v>
      </c>
      <c r="D7371" t="inlineStr">
        <is>
          <t>GÄVLEBORGS LÄN</t>
        </is>
      </c>
      <c r="E7371" t="inlineStr">
        <is>
          <t>OCKELBO</t>
        </is>
      </c>
      <c r="F7371" t="inlineStr">
        <is>
          <t>Bergvik skog väst AB</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27151-2023</t>
        </is>
      </c>
      <c r="B7372" s="1" t="n">
        <v>45096</v>
      </c>
      <c r="C7372" s="1" t="n">
        <v>45677</v>
      </c>
      <c r="D7372" t="inlineStr">
        <is>
          <t>GÄVLEBORGS LÄN</t>
        </is>
      </c>
      <c r="E7372" t="inlineStr">
        <is>
          <t>SÖDERHAMN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27155-2023</t>
        </is>
      </c>
      <c r="B7373" s="1" t="n">
        <v>45096</v>
      </c>
      <c r="C7373" s="1" t="n">
        <v>45677</v>
      </c>
      <c r="D7373" t="inlineStr">
        <is>
          <t>GÄVLEBORGS LÄN</t>
        </is>
      </c>
      <c r="E7373" t="inlineStr">
        <is>
          <t>SÖDERHAMN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27179-2023</t>
        </is>
      </c>
      <c r="B7374" s="1" t="n">
        <v>45096</v>
      </c>
      <c r="C7374" s="1" t="n">
        <v>45677</v>
      </c>
      <c r="D7374" t="inlineStr">
        <is>
          <t>GÄVLEBORGS LÄN</t>
        </is>
      </c>
      <c r="E7374" t="inlineStr">
        <is>
          <t>BOLLNÄS</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27174-2023</t>
        </is>
      </c>
      <c r="B7375" s="1" t="n">
        <v>45096</v>
      </c>
      <c r="C7375" s="1" t="n">
        <v>45677</v>
      </c>
      <c r="D7375" t="inlineStr">
        <is>
          <t>GÄVLEBORGS LÄN</t>
        </is>
      </c>
      <c r="E7375" t="inlineStr">
        <is>
          <t>SANDVIKEN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27192-2023</t>
        </is>
      </c>
      <c r="B7376" s="1" t="n">
        <v>45096</v>
      </c>
      <c r="C7376" s="1" t="n">
        <v>45677</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27202-2023</t>
        </is>
      </c>
      <c r="B7377" s="1" t="n">
        <v>45096</v>
      </c>
      <c r="C7377" s="1" t="n">
        <v>45677</v>
      </c>
      <c r="D7377" t="inlineStr">
        <is>
          <t>GÄVLEBORGS LÄN</t>
        </is>
      </c>
      <c r="E7377" t="inlineStr">
        <is>
          <t>HUDIKSVALL</t>
        </is>
      </c>
      <c r="F7377" t="inlineStr">
        <is>
          <t>Naturvårdsverket</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27100-2023</t>
        </is>
      </c>
      <c r="B7378" s="1" t="n">
        <v>45096</v>
      </c>
      <c r="C7378" s="1" t="n">
        <v>45677</v>
      </c>
      <c r="D7378" t="inlineStr">
        <is>
          <t>GÄVLEBORGS LÄN</t>
        </is>
      </c>
      <c r="E7378" t="inlineStr">
        <is>
          <t>OVANÅKER</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27161-2023</t>
        </is>
      </c>
      <c r="B7379" s="1" t="n">
        <v>45096</v>
      </c>
      <c r="C7379" s="1" t="n">
        <v>45677</v>
      </c>
      <c r="D7379" t="inlineStr">
        <is>
          <t>GÄVLEBORGS LÄN</t>
        </is>
      </c>
      <c r="E7379" t="inlineStr">
        <is>
          <t>BOLLNÄS</t>
        </is>
      </c>
      <c r="F7379" t="inlineStr">
        <is>
          <t>Bergvik skog väst AB</t>
        </is>
      </c>
      <c r="G7379" t="n">
        <v>15.5</v>
      </c>
      <c r="H7379" t="n">
        <v>0</v>
      </c>
      <c r="I7379" t="n">
        <v>0</v>
      </c>
      <c r="J7379" t="n">
        <v>0</v>
      </c>
      <c r="K7379" t="n">
        <v>0</v>
      </c>
      <c r="L7379" t="n">
        <v>0</v>
      </c>
      <c r="M7379" t="n">
        <v>0</v>
      </c>
      <c r="N7379" t="n">
        <v>0</v>
      </c>
      <c r="O7379" t="n">
        <v>0</v>
      </c>
      <c r="P7379" t="n">
        <v>0</v>
      </c>
      <c r="Q7379" t="n">
        <v>0</v>
      </c>
      <c r="R7379" s="2" t="inlineStr"/>
    </row>
    <row r="7380" ht="15" customHeight="1">
      <c r="A7380" t="inlineStr">
        <is>
          <t>A 27165-2023</t>
        </is>
      </c>
      <c r="B7380" s="1" t="n">
        <v>45096</v>
      </c>
      <c r="C7380" s="1" t="n">
        <v>45677</v>
      </c>
      <c r="D7380" t="inlineStr">
        <is>
          <t>GÄVLEBORGS LÄN</t>
        </is>
      </c>
      <c r="E7380" t="inlineStr">
        <is>
          <t>BOLLNÄS</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27169-2023</t>
        </is>
      </c>
      <c r="B7381" s="1" t="n">
        <v>45096</v>
      </c>
      <c r="C7381" s="1" t="n">
        <v>45677</v>
      </c>
      <c r="D7381" t="inlineStr">
        <is>
          <t>GÄVLEBORGS LÄN</t>
        </is>
      </c>
      <c r="E7381" t="inlineStr">
        <is>
          <t>BOLLNÄS</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27204-2023</t>
        </is>
      </c>
      <c r="B7382" s="1" t="n">
        <v>45096</v>
      </c>
      <c r="C7382" s="1" t="n">
        <v>45677</v>
      </c>
      <c r="D7382" t="inlineStr">
        <is>
          <t>GÄVLEBORGS LÄN</t>
        </is>
      </c>
      <c r="E7382" t="inlineStr">
        <is>
          <t>HUDIKSVALL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27289-2023</t>
        </is>
      </c>
      <c r="B7383" s="1" t="n">
        <v>45096</v>
      </c>
      <c r="C7383" s="1" t="n">
        <v>45677</v>
      </c>
      <c r="D7383" t="inlineStr">
        <is>
          <t>GÄVLEBORGS LÄN</t>
        </is>
      </c>
      <c r="E7383" t="inlineStr">
        <is>
          <t>HUDIKSVALL</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27324-2023</t>
        </is>
      </c>
      <c r="B7384" s="1" t="n">
        <v>45096</v>
      </c>
      <c r="C7384" s="1" t="n">
        <v>45677</v>
      </c>
      <c r="D7384" t="inlineStr">
        <is>
          <t>GÄVLEBORGS LÄN</t>
        </is>
      </c>
      <c r="E7384" t="inlineStr">
        <is>
          <t>OVANÅKER</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27337-2023</t>
        </is>
      </c>
      <c r="B7385" s="1" t="n">
        <v>45096</v>
      </c>
      <c r="C7385" s="1" t="n">
        <v>45677</v>
      </c>
      <c r="D7385" t="inlineStr">
        <is>
          <t>GÄVLEBORGS LÄN</t>
        </is>
      </c>
      <c r="E7385" t="inlineStr">
        <is>
          <t>SANDVIKEN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27302-2023</t>
        </is>
      </c>
      <c r="B7386" s="1" t="n">
        <v>45096</v>
      </c>
      <c r="C7386" s="1" t="n">
        <v>45677</v>
      </c>
      <c r="D7386" t="inlineStr">
        <is>
          <t>GÄVLEBORGS LÄN</t>
        </is>
      </c>
      <c r="E7386" t="inlineStr">
        <is>
          <t>HUDIKSVALL</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27320-2023</t>
        </is>
      </c>
      <c r="B7387" s="1" t="n">
        <v>45096</v>
      </c>
      <c r="C7387" s="1" t="n">
        <v>45677</v>
      </c>
      <c r="D7387" t="inlineStr">
        <is>
          <t>GÄVLEBORGS LÄN</t>
        </is>
      </c>
      <c r="E7387" t="inlineStr">
        <is>
          <t>OVANÅKER</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27296-2023</t>
        </is>
      </c>
      <c r="B7388" s="1" t="n">
        <v>45096</v>
      </c>
      <c r="C7388" s="1" t="n">
        <v>45677</v>
      </c>
      <c r="D7388" t="inlineStr">
        <is>
          <t>GÄVLEBORGS LÄN</t>
        </is>
      </c>
      <c r="E7388" t="inlineStr">
        <is>
          <t>HUDIKSVALL</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28163-2023</t>
        </is>
      </c>
      <c r="B7389" s="1" t="n">
        <v>45096</v>
      </c>
      <c r="C7389" s="1" t="n">
        <v>45677</v>
      </c>
      <c r="D7389" t="inlineStr">
        <is>
          <t>GÄVLEBORGS LÄN</t>
        </is>
      </c>
      <c r="E7389" t="inlineStr">
        <is>
          <t>SANDVIKEN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27423-2023</t>
        </is>
      </c>
      <c r="B7390" s="1" t="n">
        <v>45097</v>
      </c>
      <c r="C7390" s="1" t="n">
        <v>45677</v>
      </c>
      <c r="D7390" t="inlineStr">
        <is>
          <t>GÄVLEBORGS LÄN</t>
        </is>
      </c>
      <c r="E7390" t="inlineStr">
        <is>
          <t>SANDVIKEN</t>
        </is>
      </c>
      <c r="F7390" t="inlineStr">
        <is>
          <t>Kommuner</t>
        </is>
      </c>
      <c r="G7390" t="n">
        <v>18.9</v>
      </c>
      <c r="H7390" t="n">
        <v>0</v>
      </c>
      <c r="I7390" t="n">
        <v>0</v>
      </c>
      <c r="J7390" t="n">
        <v>0</v>
      </c>
      <c r="K7390" t="n">
        <v>0</v>
      </c>
      <c r="L7390" t="n">
        <v>0</v>
      </c>
      <c r="M7390" t="n">
        <v>0</v>
      </c>
      <c r="N7390" t="n">
        <v>0</v>
      </c>
      <c r="O7390" t="n">
        <v>0</v>
      </c>
      <c r="P7390" t="n">
        <v>0</v>
      </c>
      <c r="Q7390" t="n">
        <v>0</v>
      </c>
      <c r="R7390" s="2" t="inlineStr"/>
    </row>
    <row r="7391" ht="15" customHeight="1">
      <c r="A7391" t="inlineStr">
        <is>
          <t>A 27547-2023</t>
        </is>
      </c>
      <c r="B7391" s="1" t="n">
        <v>45097</v>
      </c>
      <c r="C7391" s="1" t="n">
        <v>45677</v>
      </c>
      <c r="D7391" t="inlineStr">
        <is>
          <t>GÄVLEBORGS LÄN</t>
        </is>
      </c>
      <c r="E7391" t="inlineStr">
        <is>
          <t>BOLLNÄS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27397-2023</t>
        </is>
      </c>
      <c r="B7392" s="1" t="n">
        <v>45097</v>
      </c>
      <c r="C7392" s="1" t="n">
        <v>45677</v>
      </c>
      <c r="D7392" t="inlineStr">
        <is>
          <t>GÄVLEBORGS LÄN</t>
        </is>
      </c>
      <c r="E7392" t="inlineStr">
        <is>
          <t>SÖDERHAMN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27460-2023</t>
        </is>
      </c>
      <c r="B7393" s="1" t="n">
        <v>45097</v>
      </c>
      <c r="C7393" s="1" t="n">
        <v>45677</v>
      </c>
      <c r="D7393" t="inlineStr">
        <is>
          <t>GÄVLEBORGS LÄN</t>
        </is>
      </c>
      <c r="E7393" t="inlineStr">
        <is>
          <t>LJUSDAL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27497-2023</t>
        </is>
      </c>
      <c r="B7394" s="1" t="n">
        <v>45097</v>
      </c>
      <c r="C7394" s="1" t="n">
        <v>45677</v>
      </c>
      <c r="D7394" t="inlineStr">
        <is>
          <t>GÄVLEBORGS LÄN</t>
        </is>
      </c>
      <c r="E7394" t="inlineStr">
        <is>
          <t>LJUSDAL</t>
        </is>
      </c>
      <c r="F7394" t="inlineStr">
        <is>
          <t>Bergvik skog väst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27590-2023</t>
        </is>
      </c>
      <c r="B7395" s="1" t="n">
        <v>45097</v>
      </c>
      <c r="C7395" s="1" t="n">
        <v>45677</v>
      </c>
      <c r="D7395" t="inlineStr">
        <is>
          <t>GÄVLEBORGS LÄN</t>
        </is>
      </c>
      <c r="E7395" t="inlineStr">
        <is>
          <t>BOLLNÄS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27564-2023</t>
        </is>
      </c>
      <c r="B7396" s="1" t="n">
        <v>45097</v>
      </c>
      <c r="C7396" s="1" t="n">
        <v>45677</v>
      </c>
      <c r="D7396" t="inlineStr">
        <is>
          <t>GÄVLEBORGS LÄN</t>
        </is>
      </c>
      <c r="E7396" t="inlineStr">
        <is>
          <t>LJUSDAL</t>
        </is>
      </c>
      <c r="F7396" t="inlineStr">
        <is>
          <t>Holmen skog AB</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27490-2023</t>
        </is>
      </c>
      <c r="B7397" s="1" t="n">
        <v>45097</v>
      </c>
      <c r="C7397" s="1" t="n">
        <v>45677</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27512-2023</t>
        </is>
      </c>
      <c r="B7398" s="1" t="n">
        <v>45097</v>
      </c>
      <c r="C7398" s="1" t="n">
        <v>45677</v>
      </c>
      <c r="D7398" t="inlineStr">
        <is>
          <t>GÄVLEBORGS LÄN</t>
        </is>
      </c>
      <c r="E7398" t="inlineStr">
        <is>
          <t>LJUSDAL</t>
        </is>
      </c>
      <c r="F7398" t="inlineStr">
        <is>
          <t>Holmen skog AB</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27578-2023</t>
        </is>
      </c>
      <c r="B7399" s="1" t="n">
        <v>45097</v>
      </c>
      <c r="C7399" s="1" t="n">
        <v>45677</v>
      </c>
      <c r="D7399" t="inlineStr">
        <is>
          <t>GÄVLEBORGS LÄN</t>
        </is>
      </c>
      <c r="E7399" t="inlineStr">
        <is>
          <t>BOLLNÄS</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27583-2023</t>
        </is>
      </c>
      <c r="B7400" s="1" t="n">
        <v>45097</v>
      </c>
      <c r="C7400" s="1" t="n">
        <v>45677</v>
      </c>
      <c r="D7400" t="inlineStr">
        <is>
          <t>GÄVLEBORGS LÄN</t>
        </is>
      </c>
      <c r="E7400" t="inlineStr">
        <is>
          <t>HOFORS</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27605-2023</t>
        </is>
      </c>
      <c r="B7401" s="1" t="n">
        <v>45097</v>
      </c>
      <c r="C7401" s="1" t="n">
        <v>45677</v>
      </c>
      <c r="D7401" t="inlineStr">
        <is>
          <t>GÄVLEBORGS LÄN</t>
        </is>
      </c>
      <c r="E7401" t="inlineStr">
        <is>
          <t>OCKELBO</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27475-2023</t>
        </is>
      </c>
      <c r="B7402" s="1" t="n">
        <v>45097</v>
      </c>
      <c r="C7402" s="1" t="n">
        <v>45677</v>
      </c>
      <c r="D7402" t="inlineStr">
        <is>
          <t>GÄVLEBORGS LÄN</t>
        </is>
      </c>
      <c r="E7402" t="inlineStr">
        <is>
          <t>HUDIKSVALL</t>
        </is>
      </c>
      <c r="F7402" t="inlineStr">
        <is>
          <t>Holmen skog AB</t>
        </is>
      </c>
      <c r="G7402" t="n">
        <v>14.6</v>
      </c>
      <c r="H7402" t="n">
        <v>0</v>
      </c>
      <c r="I7402" t="n">
        <v>0</v>
      </c>
      <c r="J7402" t="n">
        <v>0</v>
      </c>
      <c r="K7402" t="n">
        <v>0</v>
      </c>
      <c r="L7402" t="n">
        <v>0</v>
      </c>
      <c r="M7402" t="n">
        <v>0</v>
      </c>
      <c r="N7402" t="n">
        <v>0</v>
      </c>
      <c r="O7402" t="n">
        <v>0</v>
      </c>
      <c r="P7402" t="n">
        <v>0</v>
      </c>
      <c r="Q7402" t="n">
        <v>0</v>
      </c>
      <c r="R7402" s="2" t="inlineStr"/>
    </row>
    <row r="7403" ht="15" customHeight="1">
      <c r="A7403" t="inlineStr">
        <is>
          <t>A 27558-2023</t>
        </is>
      </c>
      <c r="B7403" s="1" t="n">
        <v>45097</v>
      </c>
      <c r="C7403" s="1" t="n">
        <v>45677</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27742-2023</t>
        </is>
      </c>
      <c r="B7404" s="1" t="n">
        <v>45098</v>
      </c>
      <c r="C7404" s="1" t="n">
        <v>45677</v>
      </c>
      <c r="D7404" t="inlineStr">
        <is>
          <t>GÄVLEBORGS LÄN</t>
        </is>
      </c>
      <c r="E7404" t="inlineStr">
        <is>
          <t>GÄVLE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27710-2023</t>
        </is>
      </c>
      <c r="B7405" s="1" t="n">
        <v>45098</v>
      </c>
      <c r="C7405" s="1" t="n">
        <v>45677</v>
      </c>
      <c r="D7405" t="inlineStr">
        <is>
          <t>GÄVLEBORGS LÄN</t>
        </is>
      </c>
      <c r="E7405" t="inlineStr">
        <is>
          <t>HUDIKSVALL</t>
        </is>
      </c>
      <c r="F7405" t="inlineStr">
        <is>
          <t>Kommuner</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27718-2023</t>
        </is>
      </c>
      <c r="B7406" s="1" t="n">
        <v>45098</v>
      </c>
      <c r="C7406" s="1" t="n">
        <v>45677</v>
      </c>
      <c r="D7406" t="inlineStr">
        <is>
          <t>GÄVLEBORGS LÄN</t>
        </is>
      </c>
      <c r="E7406" t="inlineStr">
        <is>
          <t>LJUSDAL</t>
        </is>
      </c>
      <c r="F7406" t="inlineStr">
        <is>
          <t>Holmen skog AB</t>
        </is>
      </c>
      <c r="G7406" t="n">
        <v>23.3</v>
      </c>
      <c r="H7406" t="n">
        <v>0</v>
      </c>
      <c r="I7406" t="n">
        <v>0</v>
      </c>
      <c r="J7406" t="n">
        <v>0</v>
      </c>
      <c r="K7406" t="n">
        <v>0</v>
      </c>
      <c r="L7406" t="n">
        <v>0</v>
      </c>
      <c r="M7406" t="n">
        <v>0</v>
      </c>
      <c r="N7406" t="n">
        <v>0</v>
      </c>
      <c r="O7406" t="n">
        <v>0</v>
      </c>
      <c r="P7406" t="n">
        <v>0</v>
      </c>
      <c r="Q7406" t="n">
        <v>0</v>
      </c>
      <c r="R7406" s="2" t="inlineStr"/>
    </row>
    <row r="7407" ht="15" customHeight="1">
      <c r="A7407" t="inlineStr">
        <is>
          <t>A 27761-2023</t>
        </is>
      </c>
      <c r="B7407" s="1" t="n">
        <v>45098</v>
      </c>
      <c r="C7407" s="1" t="n">
        <v>45677</v>
      </c>
      <c r="D7407" t="inlineStr">
        <is>
          <t>GÄVLEBORGS LÄN</t>
        </is>
      </c>
      <c r="E7407" t="inlineStr">
        <is>
          <t>BOLLNÄS</t>
        </is>
      </c>
      <c r="F7407" t="inlineStr">
        <is>
          <t>Kyrkan</t>
        </is>
      </c>
      <c r="G7407" t="n">
        <v>13.7</v>
      </c>
      <c r="H7407" t="n">
        <v>0</v>
      </c>
      <c r="I7407" t="n">
        <v>0</v>
      </c>
      <c r="J7407" t="n">
        <v>0</v>
      </c>
      <c r="K7407" t="n">
        <v>0</v>
      </c>
      <c r="L7407" t="n">
        <v>0</v>
      </c>
      <c r="M7407" t="n">
        <v>0</v>
      </c>
      <c r="N7407" t="n">
        <v>0</v>
      </c>
      <c r="O7407" t="n">
        <v>0</v>
      </c>
      <c r="P7407" t="n">
        <v>0</v>
      </c>
      <c r="Q7407" t="n">
        <v>0</v>
      </c>
      <c r="R7407" s="2" t="inlineStr"/>
    </row>
    <row r="7408" ht="15" customHeight="1">
      <c r="A7408" t="inlineStr">
        <is>
          <t>A 27795-2023</t>
        </is>
      </c>
      <c r="B7408" s="1" t="n">
        <v>45098</v>
      </c>
      <c r="C7408" s="1" t="n">
        <v>45677</v>
      </c>
      <c r="D7408" t="inlineStr">
        <is>
          <t>GÄVLEBORGS LÄN</t>
        </is>
      </c>
      <c r="E7408" t="inlineStr">
        <is>
          <t>BOLLNÄS</t>
        </is>
      </c>
      <c r="F7408" t="inlineStr">
        <is>
          <t>Bergvik skog väst AB</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27793-2023</t>
        </is>
      </c>
      <c r="B7409" s="1" t="n">
        <v>45098</v>
      </c>
      <c r="C7409" s="1" t="n">
        <v>45677</v>
      </c>
      <c r="D7409" t="inlineStr">
        <is>
          <t>GÄVLEBORGS LÄN</t>
        </is>
      </c>
      <c r="E7409" t="inlineStr">
        <is>
          <t>BOLLNÄS</t>
        </is>
      </c>
      <c r="F7409" t="inlineStr">
        <is>
          <t>Bergvik skog väst AB</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27817-2023</t>
        </is>
      </c>
      <c r="B7410" s="1" t="n">
        <v>45098</v>
      </c>
      <c r="C7410" s="1" t="n">
        <v>45677</v>
      </c>
      <c r="D7410" t="inlineStr">
        <is>
          <t>GÄVLEBORGS LÄN</t>
        </is>
      </c>
      <c r="E7410" t="inlineStr">
        <is>
          <t>HUDIKSVALL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27862-2023</t>
        </is>
      </c>
      <c r="B7411" s="1" t="n">
        <v>45098</v>
      </c>
      <c r="C7411" s="1" t="n">
        <v>45677</v>
      </c>
      <c r="D7411" t="inlineStr">
        <is>
          <t>GÄVLEBORGS LÄN</t>
        </is>
      </c>
      <c r="E7411" t="inlineStr">
        <is>
          <t>SÖDERHAMN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27866-2023</t>
        </is>
      </c>
      <c r="B7412" s="1" t="n">
        <v>45098</v>
      </c>
      <c r="C7412" s="1" t="n">
        <v>45677</v>
      </c>
      <c r="D7412" t="inlineStr">
        <is>
          <t>GÄVLEBORGS LÄN</t>
        </is>
      </c>
      <c r="E7412" t="inlineStr">
        <is>
          <t>HUDIKSVALL</t>
        </is>
      </c>
      <c r="G7412" t="n">
        <v>0.1</v>
      </c>
      <c r="H7412" t="n">
        <v>0</v>
      </c>
      <c r="I7412" t="n">
        <v>0</v>
      </c>
      <c r="J7412" t="n">
        <v>0</v>
      </c>
      <c r="K7412" t="n">
        <v>0</v>
      </c>
      <c r="L7412" t="n">
        <v>0</v>
      </c>
      <c r="M7412" t="n">
        <v>0</v>
      </c>
      <c r="N7412" t="n">
        <v>0</v>
      </c>
      <c r="O7412" t="n">
        <v>0</v>
      </c>
      <c r="P7412" t="n">
        <v>0</v>
      </c>
      <c r="Q7412" t="n">
        <v>0</v>
      </c>
      <c r="R7412" s="2" t="inlineStr"/>
    </row>
    <row r="7413" ht="15" customHeight="1">
      <c r="A7413" t="inlineStr">
        <is>
          <t>A 27995-2023</t>
        </is>
      </c>
      <c r="B7413" s="1" t="n">
        <v>45098</v>
      </c>
      <c r="C7413" s="1" t="n">
        <v>45677</v>
      </c>
      <c r="D7413" t="inlineStr">
        <is>
          <t>GÄVLEBORGS LÄN</t>
        </is>
      </c>
      <c r="E7413" t="inlineStr">
        <is>
          <t>SANDVIKEN</t>
        </is>
      </c>
      <c r="F7413" t="inlineStr">
        <is>
          <t>Bergvik skog öst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27988-2023</t>
        </is>
      </c>
      <c r="B7414" s="1" t="n">
        <v>45098</v>
      </c>
      <c r="C7414" s="1" t="n">
        <v>45677</v>
      </c>
      <c r="D7414" t="inlineStr">
        <is>
          <t>GÄVLEBORGS LÄN</t>
        </is>
      </c>
      <c r="E7414" t="inlineStr">
        <is>
          <t>SANDVIKEN</t>
        </is>
      </c>
      <c r="F7414" t="inlineStr">
        <is>
          <t>Bergvik skog öst AB</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27984-2023</t>
        </is>
      </c>
      <c r="B7415" s="1" t="n">
        <v>45098</v>
      </c>
      <c r="C7415" s="1" t="n">
        <v>45677</v>
      </c>
      <c r="D7415" t="inlineStr">
        <is>
          <t>GÄVLEBORGS LÄN</t>
        </is>
      </c>
      <c r="E7415" t="inlineStr">
        <is>
          <t>SANDVIKEN</t>
        </is>
      </c>
      <c r="F7415" t="inlineStr">
        <is>
          <t>Bergvik skog öst AB</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28037-2023</t>
        </is>
      </c>
      <c r="B7416" s="1" t="n">
        <v>45099</v>
      </c>
      <c r="C7416" s="1" t="n">
        <v>45677</v>
      </c>
      <c r="D7416" t="inlineStr">
        <is>
          <t>GÄVLEBORGS LÄN</t>
        </is>
      </c>
      <c r="E7416" t="inlineStr">
        <is>
          <t>SANDVIKEN</t>
        </is>
      </c>
      <c r="F7416" t="inlineStr">
        <is>
          <t>Bergvik skog öst AB</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28041-2023</t>
        </is>
      </c>
      <c r="B7417" s="1" t="n">
        <v>45099</v>
      </c>
      <c r="C7417" s="1" t="n">
        <v>45677</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28040-2023</t>
        </is>
      </c>
      <c r="B7418" s="1" t="n">
        <v>45099</v>
      </c>
      <c r="C7418" s="1" t="n">
        <v>45677</v>
      </c>
      <c r="D7418" t="inlineStr">
        <is>
          <t>GÄVLEBORGS LÄN</t>
        </is>
      </c>
      <c r="E7418" t="inlineStr">
        <is>
          <t>HUDIKSVALL</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28063-2023</t>
        </is>
      </c>
      <c r="B7419" s="1" t="n">
        <v>45099</v>
      </c>
      <c r="C7419" s="1" t="n">
        <v>45677</v>
      </c>
      <c r="D7419" t="inlineStr">
        <is>
          <t>GÄVLEBORGS LÄN</t>
        </is>
      </c>
      <c r="E7419" t="inlineStr">
        <is>
          <t>SANDVIKEN</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28114-2023</t>
        </is>
      </c>
      <c r="B7420" s="1" t="n">
        <v>45099</v>
      </c>
      <c r="C7420" s="1" t="n">
        <v>45677</v>
      </c>
      <c r="D7420" t="inlineStr">
        <is>
          <t>GÄVLEBORGS LÄN</t>
        </is>
      </c>
      <c r="E7420" t="inlineStr">
        <is>
          <t>LJUSDAL</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28058-2023</t>
        </is>
      </c>
      <c r="B7421" s="1" t="n">
        <v>45099</v>
      </c>
      <c r="C7421" s="1" t="n">
        <v>45677</v>
      </c>
      <c r="D7421" t="inlineStr">
        <is>
          <t>GÄVLEBORGS LÄN</t>
        </is>
      </c>
      <c r="E7421" t="inlineStr">
        <is>
          <t>HOFORS</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28179-2023</t>
        </is>
      </c>
      <c r="B7422" s="1" t="n">
        <v>45099</v>
      </c>
      <c r="C7422" s="1" t="n">
        <v>45677</v>
      </c>
      <c r="D7422" t="inlineStr">
        <is>
          <t>GÄVLEBORGS LÄN</t>
        </is>
      </c>
      <c r="E7422" t="inlineStr">
        <is>
          <t>BOLLNÄS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28085-2023</t>
        </is>
      </c>
      <c r="B7423" s="1" t="n">
        <v>45099</v>
      </c>
      <c r="C7423" s="1" t="n">
        <v>45677</v>
      </c>
      <c r="D7423" t="inlineStr">
        <is>
          <t>GÄVLEBORGS LÄN</t>
        </is>
      </c>
      <c r="E7423" t="inlineStr">
        <is>
          <t>OVANÅKER</t>
        </is>
      </c>
      <c r="F7423" t="inlineStr">
        <is>
          <t>Bergvik skog väst AB</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28117-2023</t>
        </is>
      </c>
      <c r="B7424" s="1" t="n">
        <v>45099</v>
      </c>
      <c r="C7424" s="1" t="n">
        <v>45677</v>
      </c>
      <c r="D7424" t="inlineStr">
        <is>
          <t>GÄVLEBORGS LÄN</t>
        </is>
      </c>
      <c r="E7424" t="inlineStr">
        <is>
          <t>OVANÅKER</t>
        </is>
      </c>
      <c r="F7424" t="inlineStr">
        <is>
          <t>Bergvik skog väst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28102-2023</t>
        </is>
      </c>
      <c r="B7425" s="1" t="n">
        <v>45099</v>
      </c>
      <c r="C7425" s="1" t="n">
        <v>45677</v>
      </c>
      <c r="D7425" t="inlineStr">
        <is>
          <t>GÄVLEBORGS LÄN</t>
        </is>
      </c>
      <c r="E7425" t="inlineStr">
        <is>
          <t>OVANÅKER</t>
        </is>
      </c>
      <c r="F7425" t="inlineStr">
        <is>
          <t>Bergvik skog väst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28240-2023</t>
        </is>
      </c>
      <c r="B7426" s="1" t="n">
        <v>45099</v>
      </c>
      <c r="C7426" s="1" t="n">
        <v>45677</v>
      </c>
      <c r="D7426" t="inlineStr">
        <is>
          <t>GÄVLEBORGS LÄN</t>
        </is>
      </c>
      <c r="E7426" t="inlineStr">
        <is>
          <t>LJUSDAL</t>
        </is>
      </c>
      <c r="F7426" t="inlineStr">
        <is>
          <t>Holmen skog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28197-2023</t>
        </is>
      </c>
      <c r="B7427" s="1" t="n">
        <v>45099</v>
      </c>
      <c r="C7427" s="1" t="n">
        <v>45677</v>
      </c>
      <c r="D7427" t="inlineStr">
        <is>
          <t>GÄVLEBORGS LÄN</t>
        </is>
      </c>
      <c r="E7427" t="inlineStr">
        <is>
          <t>SÖDERHAMN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28200-2023</t>
        </is>
      </c>
      <c r="B7428" s="1" t="n">
        <v>45099</v>
      </c>
      <c r="C7428" s="1" t="n">
        <v>45677</v>
      </c>
      <c r="D7428" t="inlineStr">
        <is>
          <t>GÄVLEBORGS LÄN</t>
        </is>
      </c>
      <c r="E7428" t="inlineStr">
        <is>
          <t>SÖDERHAMN</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28205-2023</t>
        </is>
      </c>
      <c r="B7429" s="1" t="n">
        <v>45099</v>
      </c>
      <c r="C7429" s="1" t="n">
        <v>45677</v>
      </c>
      <c r="D7429" t="inlineStr">
        <is>
          <t>GÄVLEBORGS LÄN</t>
        </is>
      </c>
      <c r="E7429" t="inlineStr">
        <is>
          <t>SÖDERHAMN</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28110-2023</t>
        </is>
      </c>
      <c r="B7430" s="1" t="n">
        <v>45099</v>
      </c>
      <c r="C7430" s="1" t="n">
        <v>45677</v>
      </c>
      <c r="D7430" t="inlineStr">
        <is>
          <t>GÄVLEBORGS LÄN</t>
        </is>
      </c>
      <c r="E7430" t="inlineStr">
        <is>
          <t>OVANÅKER</t>
        </is>
      </c>
      <c r="F7430" t="inlineStr">
        <is>
          <t>Bergvik skog väst AB</t>
        </is>
      </c>
      <c r="G7430" t="n">
        <v>8.5</v>
      </c>
      <c r="H7430" t="n">
        <v>0</v>
      </c>
      <c r="I7430" t="n">
        <v>0</v>
      </c>
      <c r="J7430" t="n">
        <v>0</v>
      </c>
      <c r="K7430" t="n">
        <v>0</v>
      </c>
      <c r="L7430" t="n">
        <v>0</v>
      </c>
      <c r="M7430" t="n">
        <v>0</v>
      </c>
      <c r="N7430" t="n">
        <v>0</v>
      </c>
      <c r="O7430" t="n">
        <v>0</v>
      </c>
      <c r="P7430" t="n">
        <v>0</v>
      </c>
      <c r="Q7430" t="n">
        <v>0</v>
      </c>
      <c r="R7430" s="2" t="inlineStr"/>
    </row>
    <row r="7431" ht="15" customHeight="1">
      <c r="A7431" t="inlineStr">
        <is>
          <t>A 28115-2023</t>
        </is>
      </c>
      <c r="B7431" s="1" t="n">
        <v>45099</v>
      </c>
      <c r="C7431" s="1" t="n">
        <v>45677</v>
      </c>
      <c r="D7431" t="inlineStr">
        <is>
          <t>GÄVLEBORGS LÄN</t>
        </is>
      </c>
      <c r="E7431" t="inlineStr">
        <is>
          <t>HUDIKSVALL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28248-2023</t>
        </is>
      </c>
      <c r="B7432" s="1" t="n">
        <v>45099</v>
      </c>
      <c r="C7432" s="1" t="n">
        <v>45677</v>
      </c>
      <c r="D7432" t="inlineStr">
        <is>
          <t>GÄVLEBORGS LÄN</t>
        </is>
      </c>
      <c r="E7432" t="inlineStr">
        <is>
          <t>LJUSDAL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28174-2023</t>
        </is>
      </c>
      <c r="B7433" s="1" t="n">
        <v>45099</v>
      </c>
      <c r="C7433" s="1" t="n">
        <v>45677</v>
      </c>
      <c r="D7433" t="inlineStr">
        <is>
          <t>GÄVLEBORGS LÄN</t>
        </is>
      </c>
      <c r="E7433" t="inlineStr">
        <is>
          <t>HUDIKSVALL</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28180-2023</t>
        </is>
      </c>
      <c r="B7434" s="1" t="n">
        <v>45099</v>
      </c>
      <c r="C7434" s="1" t="n">
        <v>45677</v>
      </c>
      <c r="D7434" t="inlineStr">
        <is>
          <t>GÄVLEBORGS LÄN</t>
        </is>
      </c>
      <c r="E7434" t="inlineStr">
        <is>
          <t>SÖDERHAMN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28246-2023</t>
        </is>
      </c>
      <c r="B7435" s="1" t="n">
        <v>45099</v>
      </c>
      <c r="C7435" s="1" t="n">
        <v>45677</v>
      </c>
      <c r="D7435" t="inlineStr">
        <is>
          <t>GÄVLEBORGS LÄN</t>
        </is>
      </c>
      <c r="E7435" t="inlineStr">
        <is>
          <t>LJUSDAL</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28272-2023</t>
        </is>
      </c>
      <c r="B7436" s="1" t="n">
        <v>45099</v>
      </c>
      <c r="C7436" s="1" t="n">
        <v>45677</v>
      </c>
      <c r="D7436" t="inlineStr">
        <is>
          <t>GÄVLEBORGS LÄN</t>
        </is>
      </c>
      <c r="E7436" t="inlineStr">
        <is>
          <t>LJUSDAL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28303-2023</t>
        </is>
      </c>
      <c r="B7437" s="1" t="n">
        <v>45099</v>
      </c>
      <c r="C7437" s="1" t="n">
        <v>45677</v>
      </c>
      <c r="D7437" t="inlineStr">
        <is>
          <t>GÄVLEBORGS LÄN</t>
        </is>
      </c>
      <c r="E7437" t="inlineStr">
        <is>
          <t>LJUSDAL</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28284-2023</t>
        </is>
      </c>
      <c r="B7438" s="1" t="n">
        <v>45099</v>
      </c>
      <c r="C7438" s="1" t="n">
        <v>45677</v>
      </c>
      <c r="D7438" t="inlineStr">
        <is>
          <t>GÄVLEBORGS LÄN</t>
        </is>
      </c>
      <c r="E7438" t="inlineStr">
        <is>
          <t>SÖDERHAMN</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28293-2023</t>
        </is>
      </c>
      <c r="B7439" s="1" t="n">
        <v>45099</v>
      </c>
      <c r="C7439" s="1" t="n">
        <v>45677</v>
      </c>
      <c r="D7439" t="inlineStr">
        <is>
          <t>GÄVLEBORGS LÄN</t>
        </is>
      </c>
      <c r="E7439" t="inlineStr">
        <is>
          <t>LJUSDAL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28298-2023</t>
        </is>
      </c>
      <c r="B7440" s="1" t="n">
        <v>45099</v>
      </c>
      <c r="C7440" s="1" t="n">
        <v>45677</v>
      </c>
      <c r="D7440" t="inlineStr">
        <is>
          <t>GÄVLEBORGS LÄN</t>
        </is>
      </c>
      <c r="E7440" t="inlineStr">
        <is>
          <t>LJUSDAL</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28302-2023</t>
        </is>
      </c>
      <c r="B7441" s="1" t="n">
        <v>45099</v>
      </c>
      <c r="C7441" s="1" t="n">
        <v>45677</v>
      </c>
      <c r="D7441" t="inlineStr">
        <is>
          <t>GÄVLEBORGS LÄN</t>
        </is>
      </c>
      <c r="E7441" t="inlineStr">
        <is>
          <t>LJUSDAL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28306-2023</t>
        </is>
      </c>
      <c r="B7442" s="1" t="n">
        <v>45099</v>
      </c>
      <c r="C7442" s="1" t="n">
        <v>45677</v>
      </c>
      <c r="D7442" t="inlineStr">
        <is>
          <t>GÄVLEBORGS LÄN</t>
        </is>
      </c>
      <c r="E7442" t="inlineStr">
        <is>
          <t>LJUSDAL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28301-2023</t>
        </is>
      </c>
      <c r="B7443" s="1" t="n">
        <v>45099</v>
      </c>
      <c r="C7443" s="1" t="n">
        <v>45677</v>
      </c>
      <c r="D7443" t="inlineStr">
        <is>
          <t>GÄVLEBORGS LÄN</t>
        </is>
      </c>
      <c r="E7443" t="inlineStr">
        <is>
          <t>LJUSDAL</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28305-2023</t>
        </is>
      </c>
      <c r="B7444" s="1" t="n">
        <v>45099</v>
      </c>
      <c r="C7444" s="1" t="n">
        <v>45677</v>
      </c>
      <c r="D7444" t="inlineStr">
        <is>
          <t>GÄVLEBORGS LÄN</t>
        </is>
      </c>
      <c r="E7444" t="inlineStr">
        <is>
          <t>LJUSDAL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28320-2023</t>
        </is>
      </c>
      <c r="B7445" s="1" t="n">
        <v>45099</v>
      </c>
      <c r="C7445" s="1" t="n">
        <v>45677</v>
      </c>
      <c r="D7445" t="inlineStr">
        <is>
          <t>GÄVLEBORGS LÄN</t>
        </is>
      </c>
      <c r="E7445" t="inlineStr">
        <is>
          <t>BOLLNÄS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28270-2023</t>
        </is>
      </c>
      <c r="B7446" s="1" t="n">
        <v>45099</v>
      </c>
      <c r="C7446" s="1" t="n">
        <v>45677</v>
      </c>
      <c r="D7446" t="inlineStr">
        <is>
          <t>GÄVLEBORGS LÄN</t>
        </is>
      </c>
      <c r="E7446" t="inlineStr">
        <is>
          <t>NORDANSTIG</t>
        </is>
      </c>
      <c r="F7446" t="inlineStr">
        <is>
          <t>Holmen skog AB</t>
        </is>
      </c>
      <c r="G7446" t="n">
        <v>22.3</v>
      </c>
      <c r="H7446" t="n">
        <v>0</v>
      </c>
      <c r="I7446" t="n">
        <v>0</v>
      </c>
      <c r="J7446" t="n">
        <v>0</v>
      </c>
      <c r="K7446" t="n">
        <v>0</v>
      </c>
      <c r="L7446" t="n">
        <v>0</v>
      </c>
      <c r="M7446" t="n">
        <v>0</v>
      </c>
      <c r="N7446" t="n">
        <v>0</v>
      </c>
      <c r="O7446" t="n">
        <v>0</v>
      </c>
      <c r="P7446" t="n">
        <v>0</v>
      </c>
      <c r="Q7446" t="n">
        <v>0</v>
      </c>
      <c r="R7446" s="2" t="inlineStr"/>
    </row>
    <row r="7447" ht="15" customHeight="1">
      <c r="A7447" t="inlineStr">
        <is>
          <t>A 28314-2023</t>
        </is>
      </c>
      <c r="B7447" s="1" t="n">
        <v>45099</v>
      </c>
      <c r="C7447" s="1" t="n">
        <v>45677</v>
      </c>
      <c r="D7447" t="inlineStr">
        <is>
          <t>GÄVLEBORGS LÄN</t>
        </is>
      </c>
      <c r="E7447" t="inlineStr">
        <is>
          <t>BOLLNÄS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28319-2023</t>
        </is>
      </c>
      <c r="B7448" s="1" t="n">
        <v>45099</v>
      </c>
      <c r="C7448" s="1" t="n">
        <v>45677</v>
      </c>
      <c r="D7448" t="inlineStr">
        <is>
          <t>GÄVLEBORGS LÄN</t>
        </is>
      </c>
      <c r="E7448" t="inlineStr">
        <is>
          <t>NORDANSTIG</t>
        </is>
      </c>
      <c r="F7448" t="inlineStr">
        <is>
          <t>Holmen skog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28339-2023</t>
        </is>
      </c>
      <c r="B7449" s="1" t="n">
        <v>45099</v>
      </c>
      <c r="C7449" s="1" t="n">
        <v>45677</v>
      </c>
      <c r="D7449" t="inlineStr">
        <is>
          <t>GÄVLEBORGS LÄN</t>
        </is>
      </c>
      <c r="E7449" t="inlineStr">
        <is>
          <t>LJUSDAL</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28347-2023</t>
        </is>
      </c>
      <c r="B7450" s="1" t="n">
        <v>45099</v>
      </c>
      <c r="C7450" s="1" t="n">
        <v>45677</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29807-2023</t>
        </is>
      </c>
      <c r="B7451" s="1" t="n">
        <v>45099</v>
      </c>
      <c r="C7451" s="1" t="n">
        <v>45677</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28300-2023</t>
        </is>
      </c>
      <c r="B7452" s="1" t="n">
        <v>45099</v>
      </c>
      <c r="C7452" s="1" t="n">
        <v>45677</v>
      </c>
      <c r="D7452" t="inlineStr">
        <is>
          <t>GÄVLEBORGS LÄN</t>
        </is>
      </c>
      <c r="E7452" t="inlineStr">
        <is>
          <t>LJUSDAL</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28304-2023</t>
        </is>
      </c>
      <c r="B7453" s="1" t="n">
        <v>45099</v>
      </c>
      <c r="C7453" s="1" t="n">
        <v>45677</v>
      </c>
      <c r="D7453" t="inlineStr">
        <is>
          <t>GÄVLEBORGS LÄN</t>
        </is>
      </c>
      <c r="E7453" t="inlineStr">
        <is>
          <t>LJUSDAL</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28346-2023</t>
        </is>
      </c>
      <c r="B7454" s="1" t="n">
        <v>45099</v>
      </c>
      <c r="C7454" s="1" t="n">
        <v>45677</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29841-2023</t>
        </is>
      </c>
      <c r="B7455" s="1" t="n">
        <v>45099</v>
      </c>
      <c r="C7455" s="1" t="n">
        <v>45677</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29831-2023</t>
        </is>
      </c>
      <c r="B7456" s="1" t="n">
        <v>45099</v>
      </c>
      <c r="C7456" s="1" t="n">
        <v>45677</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29845-2023</t>
        </is>
      </c>
      <c r="B7457" s="1" t="n">
        <v>45099</v>
      </c>
      <c r="C7457" s="1" t="n">
        <v>45677</v>
      </c>
      <c r="D7457" t="inlineStr">
        <is>
          <t>GÄVLEBORGS LÄN</t>
        </is>
      </c>
      <c r="E7457" t="inlineStr">
        <is>
          <t>LJUSDAL</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28418-2023</t>
        </is>
      </c>
      <c r="B7458" s="1" t="n">
        <v>45102</v>
      </c>
      <c r="C7458" s="1" t="n">
        <v>45677</v>
      </c>
      <c r="D7458" t="inlineStr">
        <is>
          <t>GÄVLEBORGS LÄN</t>
        </is>
      </c>
      <c r="E7458" t="inlineStr">
        <is>
          <t>OVANÅKER</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28419-2023</t>
        </is>
      </c>
      <c r="B7459" s="1" t="n">
        <v>45102</v>
      </c>
      <c r="C7459" s="1" t="n">
        <v>45677</v>
      </c>
      <c r="D7459" t="inlineStr">
        <is>
          <t>GÄVLEBORGS LÄN</t>
        </is>
      </c>
      <c r="E7459" t="inlineStr">
        <is>
          <t>OVANÅKER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28475-2023</t>
        </is>
      </c>
      <c r="B7460" s="1" t="n">
        <v>45103</v>
      </c>
      <c r="C7460" s="1" t="n">
        <v>45677</v>
      </c>
      <c r="D7460" t="inlineStr">
        <is>
          <t>GÄVLEBORGS LÄN</t>
        </is>
      </c>
      <c r="E7460" t="inlineStr">
        <is>
          <t>OVANÅKER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28487-2023</t>
        </is>
      </c>
      <c r="B7461" s="1" t="n">
        <v>45103</v>
      </c>
      <c r="C7461" s="1" t="n">
        <v>45677</v>
      </c>
      <c r="D7461" t="inlineStr">
        <is>
          <t>GÄVLEBORGS LÄN</t>
        </is>
      </c>
      <c r="E7461" t="inlineStr">
        <is>
          <t>OCKELBO</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28453-2023</t>
        </is>
      </c>
      <c r="B7462" s="1" t="n">
        <v>45103</v>
      </c>
      <c r="C7462" s="1" t="n">
        <v>45677</v>
      </c>
      <c r="D7462" t="inlineStr">
        <is>
          <t>GÄVLEBORGS LÄN</t>
        </is>
      </c>
      <c r="E7462" t="inlineStr">
        <is>
          <t>OVANÅKER</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28523-2023</t>
        </is>
      </c>
      <c r="B7463" s="1" t="n">
        <v>45103</v>
      </c>
      <c r="C7463" s="1" t="n">
        <v>45677</v>
      </c>
      <c r="D7463" t="inlineStr">
        <is>
          <t>GÄVLEBORGS LÄN</t>
        </is>
      </c>
      <c r="E7463" t="inlineStr">
        <is>
          <t>BOLLNÄS</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28563-2023</t>
        </is>
      </c>
      <c r="B7464" s="1" t="n">
        <v>45103</v>
      </c>
      <c r="C7464" s="1" t="n">
        <v>45677</v>
      </c>
      <c r="D7464" t="inlineStr">
        <is>
          <t>GÄVLEBORGS LÄN</t>
        </is>
      </c>
      <c r="E7464" t="inlineStr">
        <is>
          <t>BOLLNÄS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28622-2023</t>
        </is>
      </c>
      <c r="B7465" s="1" t="n">
        <v>45103</v>
      </c>
      <c r="C7465" s="1" t="n">
        <v>45677</v>
      </c>
      <c r="D7465" t="inlineStr">
        <is>
          <t>GÄVLEBORGS LÄN</t>
        </is>
      </c>
      <c r="E7465" t="inlineStr">
        <is>
          <t>HUDIKSVALL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28631-2023</t>
        </is>
      </c>
      <c r="B7466" s="1" t="n">
        <v>45103</v>
      </c>
      <c r="C7466" s="1" t="n">
        <v>45677</v>
      </c>
      <c r="D7466" t="inlineStr">
        <is>
          <t>GÄVLEBORGS LÄN</t>
        </is>
      </c>
      <c r="E7466" t="inlineStr">
        <is>
          <t>LJUSDAL</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28604-2023</t>
        </is>
      </c>
      <c r="B7467" s="1" t="n">
        <v>45103</v>
      </c>
      <c r="C7467" s="1" t="n">
        <v>45677</v>
      </c>
      <c r="D7467" t="inlineStr">
        <is>
          <t>GÄVLEBORGS LÄN</t>
        </is>
      </c>
      <c r="E7467" t="inlineStr">
        <is>
          <t>OVANÅKER</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28697-2023</t>
        </is>
      </c>
      <c r="B7468" s="1" t="n">
        <v>45103</v>
      </c>
      <c r="C7468" s="1" t="n">
        <v>45677</v>
      </c>
      <c r="D7468" t="inlineStr">
        <is>
          <t>GÄVLEBORGS LÄN</t>
        </is>
      </c>
      <c r="E7468" t="inlineStr">
        <is>
          <t>NORDANSTIG</t>
        </is>
      </c>
      <c r="F7468" t="inlineStr">
        <is>
          <t>Holmen skog AB</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28687-2023</t>
        </is>
      </c>
      <c r="B7469" s="1" t="n">
        <v>45103</v>
      </c>
      <c r="C7469" s="1" t="n">
        <v>45677</v>
      </c>
      <c r="D7469" t="inlineStr">
        <is>
          <t>GÄVLEBORGS LÄN</t>
        </is>
      </c>
      <c r="E7469" t="inlineStr">
        <is>
          <t>OVANÅKER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28712-2023</t>
        </is>
      </c>
      <c r="B7470" s="1" t="n">
        <v>45103</v>
      </c>
      <c r="C7470" s="1" t="n">
        <v>45677</v>
      </c>
      <c r="D7470" t="inlineStr">
        <is>
          <t>GÄVLEBORGS LÄN</t>
        </is>
      </c>
      <c r="E7470" t="inlineStr">
        <is>
          <t>LJUSDAL</t>
        </is>
      </c>
      <c r="F7470" t="inlineStr">
        <is>
          <t>Holmen skog AB</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28593-2023</t>
        </is>
      </c>
      <c r="B7471" s="1" t="n">
        <v>45103</v>
      </c>
      <c r="C7471" s="1" t="n">
        <v>45677</v>
      </c>
      <c r="D7471" t="inlineStr">
        <is>
          <t>GÄVLEBORGS LÄN</t>
        </is>
      </c>
      <c r="E7471" t="inlineStr">
        <is>
          <t>BOLLNÄS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28606-2023</t>
        </is>
      </c>
      <c r="B7472" s="1" t="n">
        <v>45103</v>
      </c>
      <c r="C7472" s="1" t="n">
        <v>45677</v>
      </c>
      <c r="D7472" t="inlineStr">
        <is>
          <t>GÄVLEBORGS LÄN</t>
        </is>
      </c>
      <c r="E7472" t="inlineStr">
        <is>
          <t>OVANÅKER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28626-2023</t>
        </is>
      </c>
      <c r="B7473" s="1" t="n">
        <v>45103</v>
      </c>
      <c r="C7473" s="1" t="n">
        <v>45677</v>
      </c>
      <c r="D7473" t="inlineStr">
        <is>
          <t>GÄVLEBORGS LÄN</t>
        </is>
      </c>
      <c r="E7473" t="inlineStr">
        <is>
          <t>HUDIKSVALL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28657-2023</t>
        </is>
      </c>
      <c r="B7474" s="1" t="n">
        <v>45103</v>
      </c>
      <c r="C7474" s="1" t="n">
        <v>45677</v>
      </c>
      <c r="D7474" t="inlineStr">
        <is>
          <t>GÄVLEBORGS LÄN</t>
        </is>
      </c>
      <c r="E7474" t="inlineStr">
        <is>
          <t>NORDANSTIG</t>
        </is>
      </c>
      <c r="F7474" t="inlineStr">
        <is>
          <t>Holmen skog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28675-2023</t>
        </is>
      </c>
      <c r="B7475" s="1" t="n">
        <v>45103</v>
      </c>
      <c r="C7475" s="1" t="n">
        <v>45677</v>
      </c>
      <c r="D7475" t="inlineStr">
        <is>
          <t>GÄVLEBORGS LÄN</t>
        </is>
      </c>
      <c r="E7475" t="inlineStr">
        <is>
          <t>GÄVLE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28680-2023</t>
        </is>
      </c>
      <c r="B7476" s="1" t="n">
        <v>45103</v>
      </c>
      <c r="C7476" s="1" t="n">
        <v>45677</v>
      </c>
      <c r="D7476" t="inlineStr">
        <is>
          <t>GÄVLEBORGS LÄN</t>
        </is>
      </c>
      <c r="E7476" t="inlineStr">
        <is>
          <t>NORDANSTIG</t>
        </is>
      </c>
      <c r="F7476" t="inlineStr">
        <is>
          <t>Holmen skog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28690-2023</t>
        </is>
      </c>
      <c r="B7477" s="1" t="n">
        <v>45103</v>
      </c>
      <c r="C7477" s="1" t="n">
        <v>45677</v>
      </c>
      <c r="D7477" t="inlineStr">
        <is>
          <t>GÄVLEBORGS LÄN</t>
        </is>
      </c>
      <c r="E7477" t="inlineStr">
        <is>
          <t>NORDANSTIG</t>
        </is>
      </c>
      <c r="F7477" t="inlineStr">
        <is>
          <t>Holmen skog AB</t>
        </is>
      </c>
      <c r="G7477" t="n">
        <v>21.8</v>
      </c>
      <c r="H7477" t="n">
        <v>0</v>
      </c>
      <c r="I7477" t="n">
        <v>0</v>
      </c>
      <c r="J7477" t="n">
        <v>0</v>
      </c>
      <c r="K7477" t="n">
        <v>0</v>
      </c>
      <c r="L7477" t="n">
        <v>0</v>
      </c>
      <c r="M7477" t="n">
        <v>0</v>
      </c>
      <c r="N7477" t="n">
        <v>0</v>
      </c>
      <c r="O7477" t="n">
        <v>0</v>
      </c>
      <c r="P7477" t="n">
        <v>0</v>
      </c>
      <c r="Q7477" t="n">
        <v>0</v>
      </c>
      <c r="R7477" s="2" t="inlineStr"/>
    </row>
    <row r="7478" ht="15" customHeight="1">
      <c r="A7478" t="inlineStr">
        <is>
          <t>A 31317-2023</t>
        </is>
      </c>
      <c r="B7478" s="1" t="n">
        <v>45103</v>
      </c>
      <c r="C7478" s="1" t="n">
        <v>45677</v>
      </c>
      <c r="D7478" t="inlineStr">
        <is>
          <t>GÄVLEBORGS LÄN</t>
        </is>
      </c>
      <c r="E7478" t="inlineStr">
        <is>
          <t>SANDVIKEN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28771-2023</t>
        </is>
      </c>
      <c r="B7479" s="1" t="n">
        <v>45104</v>
      </c>
      <c r="C7479" s="1" t="n">
        <v>45677</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28797-2023</t>
        </is>
      </c>
      <c r="B7480" s="1" t="n">
        <v>45104</v>
      </c>
      <c r="C7480" s="1" t="n">
        <v>45677</v>
      </c>
      <c r="D7480" t="inlineStr">
        <is>
          <t>GÄVLEBORGS LÄN</t>
        </is>
      </c>
      <c r="E7480" t="inlineStr">
        <is>
          <t>GÄVLE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28826-2023</t>
        </is>
      </c>
      <c r="B7481" s="1" t="n">
        <v>45104</v>
      </c>
      <c r="C7481" s="1" t="n">
        <v>45677</v>
      </c>
      <c r="D7481" t="inlineStr">
        <is>
          <t>GÄVLEBORGS LÄN</t>
        </is>
      </c>
      <c r="E7481" t="inlineStr">
        <is>
          <t>NORDANSTIG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28865-2023</t>
        </is>
      </c>
      <c r="B7482" s="1" t="n">
        <v>45104</v>
      </c>
      <c r="C7482" s="1" t="n">
        <v>45677</v>
      </c>
      <c r="D7482" t="inlineStr">
        <is>
          <t>GÄVLEBORGS LÄN</t>
        </is>
      </c>
      <c r="E7482" t="inlineStr">
        <is>
          <t>LJUSDAL</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28891-2023</t>
        </is>
      </c>
      <c r="B7483" s="1" t="n">
        <v>45104</v>
      </c>
      <c r="C7483" s="1" t="n">
        <v>45677</v>
      </c>
      <c r="D7483" t="inlineStr">
        <is>
          <t>GÄVLEBORGS LÄN</t>
        </is>
      </c>
      <c r="E7483" t="inlineStr">
        <is>
          <t>LJUSDAL</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28944-2023</t>
        </is>
      </c>
      <c r="B7484" s="1" t="n">
        <v>45104</v>
      </c>
      <c r="C7484" s="1" t="n">
        <v>45677</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31319-2023</t>
        </is>
      </c>
      <c r="B7485" s="1" t="n">
        <v>45104</v>
      </c>
      <c r="C7485" s="1" t="n">
        <v>45677</v>
      </c>
      <c r="D7485" t="inlineStr">
        <is>
          <t>GÄVLEBORGS LÄN</t>
        </is>
      </c>
      <c r="E7485" t="inlineStr">
        <is>
          <t>SANDVIKEN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28770-2023</t>
        </is>
      </c>
      <c r="B7486" s="1" t="n">
        <v>45104</v>
      </c>
      <c r="C7486" s="1" t="n">
        <v>45677</v>
      </c>
      <c r="D7486" t="inlineStr">
        <is>
          <t>GÄVLEBORGS LÄN</t>
        </is>
      </c>
      <c r="E7486" t="inlineStr">
        <is>
          <t>BOLLNÄS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28812-2023</t>
        </is>
      </c>
      <c r="B7487" s="1" t="n">
        <v>45104</v>
      </c>
      <c r="C7487" s="1" t="n">
        <v>45677</v>
      </c>
      <c r="D7487" t="inlineStr">
        <is>
          <t>GÄVLEBORGS LÄN</t>
        </is>
      </c>
      <c r="E7487" t="inlineStr">
        <is>
          <t>GÄVLE</t>
        </is>
      </c>
      <c r="F7487" t="inlineStr">
        <is>
          <t>Bergvik skog öst AB</t>
        </is>
      </c>
      <c r="G7487" t="n">
        <v>17.4</v>
      </c>
      <c r="H7487" t="n">
        <v>0</v>
      </c>
      <c r="I7487" t="n">
        <v>0</v>
      </c>
      <c r="J7487" t="n">
        <v>0</v>
      </c>
      <c r="K7487" t="n">
        <v>0</v>
      </c>
      <c r="L7487" t="n">
        <v>0</v>
      </c>
      <c r="M7487" t="n">
        <v>0</v>
      </c>
      <c r="N7487" t="n">
        <v>0</v>
      </c>
      <c r="O7487" t="n">
        <v>0</v>
      </c>
      <c r="P7487" t="n">
        <v>0</v>
      </c>
      <c r="Q7487" t="n">
        <v>0</v>
      </c>
      <c r="R7487" s="2" t="inlineStr"/>
    </row>
    <row r="7488" ht="15" customHeight="1">
      <c r="A7488" t="inlineStr">
        <is>
          <t>A 28927-2023</t>
        </is>
      </c>
      <c r="B7488" s="1" t="n">
        <v>45104</v>
      </c>
      <c r="C7488" s="1" t="n">
        <v>45677</v>
      </c>
      <c r="D7488" t="inlineStr">
        <is>
          <t>GÄVLEBORGS LÄN</t>
        </is>
      </c>
      <c r="E7488" t="inlineStr">
        <is>
          <t>LJUSDAL</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28971-2023</t>
        </is>
      </c>
      <c r="B7489" s="1" t="n">
        <v>45104</v>
      </c>
      <c r="C7489" s="1" t="n">
        <v>45677</v>
      </c>
      <c r="D7489" t="inlineStr">
        <is>
          <t>GÄVLEBORGS LÄN</t>
        </is>
      </c>
      <c r="E7489" t="inlineStr">
        <is>
          <t>SANDVIKEN</t>
        </is>
      </c>
      <c r="F7489" t="inlineStr">
        <is>
          <t>Bergvik skog öst AB</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29014-2023</t>
        </is>
      </c>
      <c r="B7490" s="1" t="n">
        <v>45104</v>
      </c>
      <c r="C7490" s="1" t="n">
        <v>45677</v>
      </c>
      <c r="D7490" t="inlineStr">
        <is>
          <t>GÄVLEBORGS LÄN</t>
        </is>
      </c>
      <c r="E7490" t="inlineStr">
        <is>
          <t>GÄVLE</t>
        </is>
      </c>
      <c r="F7490" t="inlineStr">
        <is>
          <t>Bergvik skog öst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31331-2023</t>
        </is>
      </c>
      <c r="B7491" s="1" t="n">
        <v>45104</v>
      </c>
      <c r="C7491" s="1" t="n">
        <v>45677</v>
      </c>
      <c r="D7491" t="inlineStr">
        <is>
          <t>GÄVLEBORGS LÄN</t>
        </is>
      </c>
      <c r="E7491" t="inlineStr">
        <is>
          <t>SANDVIKEN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28853-2023</t>
        </is>
      </c>
      <c r="B7492" s="1" t="n">
        <v>45104</v>
      </c>
      <c r="C7492" s="1" t="n">
        <v>45677</v>
      </c>
      <c r="D7492" t="inlineStr">
        <is>
          <t>GÄVLEBORGS LÄN</t>
        </is>
      </c>
      <c r="E7492" t="inlineStr">
        <is>
          <t>LJUSDAL</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28892-2023</t>
        </is>
      </c>
      <c r="B7493" s="1" t="n">
        <v>45104</v>
      </c>
      <c r="C7493" s="1" t="n">
        <v>45677</v>
      </c>
      <c r="D7493" t="inlineStr">
        <is>
          <t>GÄVLEBORGS LÄN</t>
        </is>
      </c>
      <c r="E7493" t="inlineStr">
        <is>
          <t>LJUSDAL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28905-2023</t>
        </is>
      </c>
      <c r="B7494" s="1" t="n">
        <v>45104</v>
      </c>
      <c r="C7494" s="1" t="n">
        <v>45677</v>
      </c>
      <c r="D7494" t="inlineStr">
        <is>
          <t>GÄVLEBORGS LÄN</t>
        </is>
      </c>
      <c r="E7494" t="inlineStr">
        <is>
          <t>GÄVLE</t>
        </is>
      </c>
      <c r="F7494" t="inlineStr">
        <is>
          <t>Bergvik skog väst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28945-2023</t>
        </is>
      </c>
      <c r="B7495" s="1" t="n">
        <v>45104</v>
      </c>
      <c r="C7495" s="1" t="n">
        <v>45677</v>
      </c>
      <c r="D7495" t="inlineStr">
        <is>
          <t>GÄVLEBORGS LÄN</t>
        </is>
      </c>
      <c r="E7495" t="inlineStr">
        <is>
          <t>SANDVIKEN</t>
        </is>
      </c>
      <c r="F7495" t="inlineStr">
        <is>
          <t>Bergvik skog öst AB</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29016-2023</t>
        </is>
      </c>
      <c r="B7496" s="1" t="n">
        <v>45104</v>
      </c>
      <c r="C7496" s="1" t="n">
        <v>45677</v>
      </c>
      <c r="D7496" t="inlineStr">
        <is>
          <t>GÄVLEBORGS LÄN</t>
        </is>
      </c>
      <c r="E7496" t="inlineStr">
        <is>
          <t>GÄVLE</t>
        </is>
      </c>
      <c r="F7496" t="inlineStr">
        <is>
          <t>Bergvik skog öst AB</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31324-2023</t>
        </is>
      </c>
      <c r="B7497" s="1" t="n">
        <v>45104</v>
      </c>
      <c r="C7497" s="1" t="n">
        <v>45677</v>
      </c>
      <c r="D7497" t="inlineStr">
        <is>
          <t>GÄVLEBORGS LÄN</t>
        </is>
      </c>
      <c r="E7497" t="inlineStr">
        <is>
          <t>SANDVIKEN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29159-2023</t>
        </is>
      </c>
      <c r="B7498" s="1" t="n">
        <v>45105</v>
      </c>
      <c r="C7498" s="1" t="n">
        <v>45677</v>
      </c>
      <c r="D7498" t="inlineStr">
        <is>
          <t>GÄVLEBORGS LÄN</t>
        </is>
      </c>
      <c r="E7498" t="inlineStr">
        <is>
          <t>BOLLNÄS</t>
        </is>
      </c>
      <c r="F7498" t="inlineStr">
        <is>
          <t>Bergvik skog väst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29132-2023</t>
        </is>
      </c>
      <c r="B7499" s="1" t="n">
        <v>45105</v>
      </c>
      <c r="C7499" s="1" t="n">
        <v>45677</v>
      </c>
      <c r="D7499" t="inlineStr">
        <is>
          <t>GÄVLEBORGS LÄN</t>
        </is>
      </c>
      <c r="E7499" t="inlineStr">
        <is>
          <t>OCKELBO</t>
        </is>
      </c>
      <c r="G7499" t="n">
        <v>14.5</v>
      </c>
      <c r="H7499" t="n">
        <v>0</v>
      </c>
      <c r="I7499" t="n">
        <v>0</v>
      </c>
      <c r="J7499" t="n">
        <v>0</v>
      </c>
      <c r="K7499" t="n">
        <v>0</v>
      </c>
      <c r="L7499" t="n">
        <v>0</v>
      </c>
      <c r="M7499" t="n">
        <v>0</v>
      </c>
      <c r="N7499" t="n">
        <v>0</v>
      </c>
      <c r="O7499" t="n">
        <v>0</v>
      </c>
      <c r="P7499" t="n">
        <v>0</v>
      </c>
      <c r="Q7499" t="n">
        <v>0</v>
      </c>
      <c r="R7499" s="2" t="inlineStr"/>
    </row>
    <row r="7500" ht="15" customHeight="1">
      <c r="A7500" t="inlineStr">
        <is>
          <t>A 29205-2023</t>
        </is>
      </c>
      <c r="B7500" s="1" t="n">
        <v>45105</v>
      </c>
      <c r="C7500" s="1" t="n">
        <v>45677</v>
      </c>
      <c r="D7500" t="inlineStr">
        <is>
          <t>GÄVLEBORGS LÄN</t>
        </is>
      </c>
      <c r="E7500" t="inlineStr">
        <is>
          <t>LJUSDAL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29156-2023</t>
        </is>
      </c>
      <c r="B7501" s="1" t="n">
        <v>45105</v>
      </c>
      <c r="C7501" s="1" t="n">
        <v>45677</v>
      </c>
      <c r="D7501" t="inlineStr">
        <is>
          <t>GÄVLEBORGS LÄN</t>
        </is>
      </c>
      <c r="E7501" t="inlineStr">
        <is>
          <t>HUDIKSVALL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29239-2023</t>
        </is>
      </c>
      <c r="B7502" s="1" t="n">
        <v>45105</v>
      </c>
      <c r="C7502" s="1" t="n">
        <v>45677</v>
      </c>
      <c r="D7502" t="inlineStr">
        <is>
          <t>GÄVLEBORGS LÄN</t>
        </is>
      </c>
      <c r="E7502" t="inlineStr">
        <is>
          <t>LJUSDAL</t>
        </is>
      </c>
      <c r="F7502" t="inlineStr">
        <is>
          <t>Sveaskog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29238-2023</t>
        </is>
      </c>
      <c r="B7503" s="1" t="n">
        <v>45105</v>
      </c>
      <c r="C7503" s="1" t="n">
        <v>45677</v>
      </c>
      <c r="D7503" t="inlineStr">
        <is>
          <t>GÄVLEBORGS LÄN</t>
        </is>
      </c>
      <c r="E7503" t="inlineStr">
        <is>
          <t>LJUSDAL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29260-2023</t>
        </is>
      </c>
      <c r="B7504" s="1" t="n">
        <v>45105</v>
      </c>
      <c r="C7504" s="1" t="n">
        <v>45677</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29268-2023</t>
        </is>
      </c>
      <c r="B7505" s="1" t="n">
        <v>45105</v>
      </c>
      <c r="C7505" s="1" t="n">
        <v>45677</v>
      </c>
      <c r="D7505" t="inlineStr">
        <is>
          <t>GÄVLEBORGS LÄN</t>
        </is>
      </c>
      <c r="E7505" t="inlineStr">
        <is>
          <t>NORDANSTIG</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29153-2023</t>
        </is>
      </c>
      <c r="B7506" s="1" t="n">
        <v>45105</v>
      </c>
      <c r="C7506" s="1" t="n">
        <v>45677</v>
      </c>
      <c r="D7506" t="inlineStr">
        <is>
          <t>GÄVLEBORGS LÄN</t>
        </is>
      </c>
      <c r="E7506" t="inlineStr">
        <is>
          <t>HUDIKSVALL</t>
        </is>
      </c>
      <c r="G7506" t="n">
        <v>10.3</v>
      </c>
      <c r="H7506" t="n">
        <v>0</v>
      </c>
      <c r="I7506" t="n">
        <v>0</v>
      </c>
      <c r="J7506" t="n">
        <v>0</v>
      </c>
      <c r="K7506" t="n">
        <v>0</v>
      </c>
      <c r="L7506" t="n">
        <v>0</v>
      </c>
      <c r="M7506" t="n">
        <v>0</v>
      </c>
      <c r="N7506" t="n">
        <v>0</v>
      </c>
      <c r="O7506" t="n">
        <v>0</v>
      </c>
      <c r="P7506" t="n">
        <v>0</v>
      </c>
      <c r="Q7506" t="n">
        <v>0</v>
      </c>
      <c r="R7506" s="2" t="inlineStr"/>
    </row>
    <row r="7507" ht="15" customHeight="1">
      <c r="A7507" t="inlineStr">
        <is>
          <t>A 29424-2023</t>
        </is>
      </c>
      <c r="B7507" s="1" t="n">
        <v>45106</v>
      </c>
      <c r="C7507" s="1" t="n">
        <v>45677</v>
      </c>
      <c r="D7507" t="inlineStr">
        <is>
          <t>GÄVLEBORGS LÄN</t>
        </is>
      </c>
      <c r="E7507" t="inlineStr">
        <is>
          <t>OCKELBO</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29386-2023</t>
        </is>
      </c>
      <c r="B7508" s="1" t="n">
        <v>45106</v>
      </c>
      <c r="C7508" s="1" t="n">
        <v>45677</v>
      </c>
      <c r="D7508" t="inlineStr">
        <is>
          <t>GÄVLEBORGS LÄN</t>
        </is>
      </c>
      <c r="E7508" t="inlineStr">
        <is>
          <t>OVANÅKER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29489-2023</t>
        </is>
      </c>
      <c r="B7509" s="1" t="n">
        <v>45106</v>
      </c>
      <c r="C7509" s="1" t="n">
        <v>45677</v>
      </c>
      <c r="D7509" t="inlineStr">
        <is>
          <t>GÄVLEBORGS LÄN</t>
        </is>
      </c>
      <c r="E7509" t="inlineStr">
        <is>
          <t>OCKELBO</t>
        </is>
      </c>
      <c r="F7509" t="inlineStr">
        <is>
          <t>Bergvik skog väst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29507-2023</t>
        </is>
      </c>
      <c r="B7510" s="1" t="n">
        <v>45106</v>
      </c>
      <c r="C7510" s="1" t="n">
        <v>45677</v>
      </c>
      <c r="D7510" t="inlineStr">
        <is>
          <t>GÄVLEBORGS LÄN</t>
        </is>
      </c>
      <c r="E7510" t="inlineStr">
        <is>
          <t>OCKELBO</t>
        </is>
      </c>
      <c r="F7510" t="inlineStr">
        <is>
          <t>Bergvik skog väst AB</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29380-2023</t>
        </is>
      </c>
      <c r="B7511" s="1" t="n">
        <v>45106</v>
      </c>
      <c r="C7511" s="1" t="n">
        <v>45677</v>
      </c>
      <c r="D7511" t="inlineStr">
        <is>
          <t>GÄVLEBORGS LÄN</t>
        </is>
      </c>
      <c r="E7511" t="inlineStr">
        <is>
          <t>OVANÅKER</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29494-2023</t>
        </is>
      </c>
      <c r="B7512" s="1" t="n">
        <v>45106</v>
      </c>
      <c r="C7512" s="1" t="n">
        <v>45677</v>
      </c>
      <c r="D7512" t="inlineStr">
        <is>
          <t>GÄVLEBORGS LÄN</t>
        </is>
      </c>
      <c r="E7512" t="inlineStr">
        <is>
          <t>LJUSDAL</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29511-2023</t>
        </is>
      </c>
      <c r="B7513" s="1" t="n">
        <v>45106</v>
      </c>
      <c r="C7513" s="1" t="n">
        <v>45677</v>
      </c>
      <c r="D7513" t="inlineStr">
        <is>
          <t>GÄVLEBORGS LÄN</t>
        </is>
      </c>
      <c r="E7513" t="inlineStr">
        <is>
          <t>OCKELBO</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29439-2023</t>
        </is>
      </c>
      <c r="B7514" s="1" t="n">
        <v>45106</v>
      </c>
      <c r="C7514" s="1" t="n">
        <v>45677</v>
      </c>
      <c r="D7514" t="inlineStr">
        <is>
          <t>GÄVLEBORGS LÄN</t>
        </is>
      </c>
      <c r="E7514" t="inlineStr">
        <is>
          <t>LJUSDAL</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29488-2023</t>
        </is>
      </c>
      <c r="B7515" s="1" t="n">
        <v>45106</v>
      </c>
      <c r="C7515" s="1" t="n">
        <v>45677</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29505-2023</t>
        </is>
      </c>
      <c r="B7516" s="1" t="n">
        <v>45106</v>
      </c>
      <c r="C7516" s="1" t="n">
        <v>45677</v>
      </c>
      <c r="D7516" t="inlineStr">
        <is>
          <t>GÄVLEBORGS LÄN</t>
        </is>
      </c>
      <c r="E7516" t="inlineStr">
        <is>
          <t>LJUSDAL</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29534-2023</t>
        </is>
      </c>
      <c r="B7517" s="1" t="n">
        <v>45106</v>
      </c>
      <c r="C7517" s="1" t="n">
        <v>45677</v>
      </c>
      <c r="D7517" t="inlineStr">
        <is>
          <t>GÄVLEBORGS LÄN</t>
        </is>
      </c>
      <c r="E7517" t="inlineStr">
        <is>
          <t>OCKELBO</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29562-2023</t>
        </is>
      </c>
      <c r="B7518" s="1" t="n">
        <v>45106</v>
      </c>
      <c r="C7518" s="1" t="n">
        <v>45677</v>
      </c>
      <c r="D7518" t="inlineStr">
        <is>
          <t>GÄVLEBORGS LÄN</t>
        </is>
      </c>
      <c r="E7518" t="inlineStr">
        <is>
          <t>NORDANSTIG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29592-2023</t>
        </is>
      </c>
      <c r="B7519" s="1" t="n">
        <v>45106</v>
      </c>
      <c r="C7519" s="1" t="n">
        <v>45677</v>
      </c>
      <c r="D7519" t="inlineStr">
        <is>
          <t>GÄVLEBORGS LÄN</t>
        </is>
      </c>
      <c r="E7519" t="inlineStr">
        <is>
          <t>HUDIKSVALL</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29565-2023</t>
        </is>
      </c>
      <c r="B7520" s="1" t="n">
        <v>45106</v>
      </c>
      <c r="C7520" s="1" t="n">
        <v>45677</v>
      </c>
      <c r="D7520" t="inlineStr">
        <is>
          <t>GÄVLEBORGS LÄN</t>
        </is>
      </c>
      <c r="E7520" t="inlineStr">
        <is>
          <t>NORDANSTIG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29569-2023</t>
        </is>
      </c>
      <c r="B7521" s="1" t="n">
        <v>45106</v>
      </c>
      <c r="C7521" s="1" t="n">
        <v>45677</v>
      </c>
      <c r="D7521" t="inlineStr">
        <is>
          <t>GÄVLEBORGS LÄN</t>
        </is>
      </c>
      <c r="E7521" t="inlineStr">
        <is>
          <t>NORDANSTIG</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29478-2023</t>
        </is>
      </c>
      <c r="B7522" s="1" t="n">
        <v>45106</v>
      </c>
      <c r="C7522" s="1" t="n">
        <v>45677</v>
      </c>
      <c r="D7522" t="inlineStr">
        <is>
          <t>GÄVLEBORGS LÄN</t>
        </is>
      </c>
      <c r="E7522" t="inlineStr">
        <is>
          <t>HUDIKSVALL</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31866-2023</t>
        </is>
      </c>
      <c r="B7523" s="1" t="n">
        <v>45106</v>
      </c>
      <c r="C7523" s="1" t="n">
        <v>45677</v>
      </c>
      <c r="D7523" t="inlineStr">
        <is>
          <t>GÄVLEBORGS LÄN</t>
        </is>
      </c>
      <c r="E7523" t="inlineStr">
        <is>
          <t>GÄVLE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29672-2023</t>
        </is>
      </c>
      <c r="B7524" s="1" t="n">
        <v>45107</v>
      </c>
      <c r="C7524" s="1" t="n">
        <v>45677</v>
      </c>
      <c r="D7524" t="inlineStr">
        <is>
          <t>GÄVLEBORGS LÄN</t>
        </is>
      </c>
      <c r="E7524" t="inlineStr">
        <is>
          <t>BOLLNÄS</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29662-2023</t>
        </is>
      </c>
      <c r="B7525" s="1" t="n">
        <v>45107</v>
      </c>
      <c r="C7525" s="1" t="n">
        <v>45677</v>
      </c>
      <c r="D7525" t="inlineStr">
        <is>
          <t>GÄVLEBORGS LÄN</t>
        </is>
      </c>
      <c r="E7525" t="inlineStr">
        <is>
          <t>OCKELBO</t>
        </is>
      </c>
      <c r="F7525" t="inlineStr">
        <is>
          <t>Bergvik skog väst AB</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29713-2023</t>
        </is>
      </c>
      <c r="B7526" s="1" t="n">
        <v>45107</v>
      </c>
      <c r="C7526" s="1" t="n">
        <v>45677</v>
      </c>
      <c r="D7526" t="inlineStr">
        <is>
          <t>GÄVLEBORGS LÄN</t>
        </is>
      </c>
      <c r="E7526" t="inlineStr">
        <is>
          <t>OCKELBO</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29708-2023</t>
        </is>
      </c>
      <c r="B7527" s="1" t="n">
        <v>45107</v>
      </c>
      <c r="C7527" s="1" t="n">
        <v>45677</v>
      </c>
      <c r="D7527" t="inlineStr">
        <is>
          <t>GÄVLEBORGS LÄN</t>
        </is>
      </c>
      <c r="E7527" t="inlineStr">
        <is>
          <t>BOLLNÄS</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29725-2023</t>
        </is>
      </c>
      <c r="B7528" s="1" t="n">
        <v>45107</v>
      </c>
      <c r="C7528" s="1" t="n">
        <v>45677</v>
      </c>
      <c r="D7528" t="inlineStr">
        <is>
          <t>GÄVLEBORGS LÄN</t>
        </is>
      </c>
      <c r="E7528" t="inlineStr">
        <is>
          <t>LJUSDAL</t>
        </is>
      </c>
      <c r="F7528" t="inlineStr">
        <is>
          <t>Holmen skog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29769-2023</t>
        </is>
      </c>
      <c r="B7529" s="1" t="n">
        <v>45107</v>
      </c>
      <c r="C7529" s="1" t="n">
        <v>45677</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29773-2023</t>
        </is>
      </c>
      <c r="B7530" s="1" t="n">
        <v>45107</v>
      </c>
      <c r="C7530" s="1" t="n">
        <v>45677</v>
      </c>
      <c r="D7530" t="inlineStr">
        <is>
          <t>GÄVLEBORGS LÄN</t>
        </is>
      </c>
      <c r="E7530" t="inlineStr">
        <is>
          <t>BOLLNÄS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29813-2023</t>
        </is>
      </c>
      <c r="B7531" s="1" t="n">
        <v>45107</v>
      </c>
      <c r="C7531" s="1" t="n">
        <v>45677</v>
      </c>
      <c r="D7531" t="inlineStr">
        <is>
          <t>GÄVLEBORGS LÄN</t>
        </is>
      </c>
      <c r="E7531" t="inlineStr">
        <is>
          <t>SÖDERHAMN</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29678-2023</t>
        </is>
      </c>
      <c r="B7532" s="1" t="n">
        <v>45107</v>
      </c>
      <c r="C7532" s="1" t="n">
        <v>45677</v>
      </c>
      <c r="D7532" t="inlineStr">
        <is>
          <t>GÄVLEBORGS LÄN</t>
        </is>
      </c>
      <c r="E7532" t="inlineStr">
        <is>
          <t>OCKELBO</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29687-2023</t>
        </is>
      </c>
      <c r="B7533" s="1" t="n">
        <v>45107</v>
      </c>
      <c r="C7533" s="1" t="n">
        <v>45677</v>
      </c>
      <c r="D7533" t="inlineStr">
        <is>
          <t>GÄVLEBORGS LÄN</t>
        </is>
      </c>
      <c r="E7533" t="inlineStr">
        <is>
          <t>OCKELBO</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29699-2023</t>
        </is>
      </c>
      <c r="B7534" s="1" t="n">
        <v>45107</v>
      </c>
      <c r="C7534" s="1" t="n">
        <v>45677</v>
      </c>
      <c r="D7534" t="inlineStr">
        <is>
          <t>GÄVLEBORGS LÄN</t>
        </is>
      </c>
      <c r="E7534" t="inlineStr">
        <is>
          <t>GÄVLE</t>
        </is>
      </c>
      <c r="F7534" t="inlineStr">
        <is>
          <t>Kyrkan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29711-2023</t>
        </is>
      </c>
      <c r="B7535" s="1" t="n">
        <v>45107</v>
      </c>
      <c r="C7535" s="1" t="n">
        <v>45677</v>
      </c>
      <c r="D7535" t="inlineStr">
        <is>
          <t>GÄVLEBORGS LÄN</t>
        </is>
      </c>
      <c r="E7535" t="inlineStr">
        <is>
          <t>HUDIKSVALL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29715-2023</t>
        </is>
      </c>
      <c r="B7536" s="1" t="n">
        <v>45107</v>
      </c>
      <c r="C7536" s="1" t="n">
        <v>45677</v>
      </c>
      <c r="D7536" t="inlineStr">
        <is>
          <t>GÄVLEBORGS LÄN</t>
        </is>
      </c>
      <c r="E7536" t="inlineStr">
        <is>
          <t>OCKELBO</t>
        </is>
      </c>
      <c r="F7536" t="inlineStr">
        <is>
          <t>Bergvik skog väst AB</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29723-2023</t>
        </is>
      </c>
      <c r="B7537" s="1" t="n">
        <v>45107</v>
      </c>
      <c r="C7537" s="1" t="n">
        <v>45677</v>
      </c>
      <c r="D7537" t="inlineStr">
        <is>
          <t>GÄVLEBORGS LÄN</t>
        </is>
      </c>
      <c r="E7537" t="inlineStr">
        <is>
          <t>HUDIKSVALL</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29790-2023</t>
        </is>
      </c>
      <c r="B7538" s="1" t="n">
        <v>45107</v>
      </c>
      <c r="C7538" s="1" t="n">
        <v>45677</v>
      </c>
      <c r="D7538" t="inlineStr">
        <is>
          <t>GÄVLEBORGS LÄN</t>
        </is>
      </c>
      <c r="E7538" t="inlineStr">
        <is>
          <t>LJUSDAL</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29802-2023</t>
        </is>
      </c>
      <c r="B7539" s="1" t="n">
        <v>45107</v>
      </c>
      <c r="C7539" s="1" t="n">
        <v>45677</v>
      </c>
      <c r="D7539" t="inlineStr">
        <is>
          <t>GÄVLEBORGS LÄN</t>
        </is>
      </c>
      <c r="E7539" t="inlineStr">
        <is>
          <t>SÖDERHAMN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29811-2023</t>
        </is>
      </c>
      <c r="B7540" s="1" t="n">
        <v>45107</v>
      </c>
      <c r="C7540" s="1" t="n">
        <v>45677</v>
      </c>
      <c r="D7540" t="inlineStr">
        <is>
          <t>GÄVLEBORGS LÄN</t>
        </is>
      </c>
      <c r="E7540" t="inlineStr">
        <is>
          <t>BOLLNÄS</t>
        </is>
      </c>
      <c r="G7540" t="n">
        <v>9.1</v>
      </c>
      <c r="H7540" t="n">
        <v>0</v>
      </c>
      <c r="I7540" t="n">
        <v>0</v>
      </c>
      <c r="J7540" t="n">
        <v>0</v>
      </c>
      <c r="K7540" t="n">
        <v>0</v>
      </c>
      <c r="L7540" t="n">
        <v>0</v>
      </c>
      <c r="M7540" t="n">
        <v>0</v>
      </c>
      <c r="N7540" t="n">
        <v>0</v>
      </c>
      <c r="O7540" t="n">
        <v>0</v>
      </c>
      <c r="P7540" t="n">
        <v>0</v>
      </c>
      <c r="Q7540" t="n">
        <v>0</v>
      </c>
      <c r="R7540" s="2" t="inlineStr"/>
    </row>
    <row r="7541" ht="15" customHeight="1">
      <c r="A7541" t="inlineStr">
        <is>
          <t>A 29840-2023</t>
        </is>
      </c>
      <c r="B7541" s="1" t="n">
        <v>45107</v>
      </c>
      <c r="C7541" s="1" t="n">
        <v>45677</v>
      </c>
      <c r="D7541" t="inlineStr">
        <is>
          <t>GÄVLEBORGS LÄN</t>
        </is>
      </c>
      <c r="E7541" t="inlineStr">
        <is>
          <t>GÄVLE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29885-2023</t>
        </is>
      </c>
      <c r="B7542" s="1" t="n">
        <v>45107</v>
      </c>
      <c r="C7542" s="1" t="n">
        <v>45677</v>
      </c>
      <c r="D7542" t="inlineStr">
        <is>
          <t>GÄVLEBORGS LÄN</t>
        </is>
      </c>
      <c r="E7542" t="inlineStr">
        <is>
          <t>OCKELBO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29910-2023</t>
        </is>
      </c>
      <c r="B7543" s="1" t="n">
        <v>45107</v>
      </c>
      <c r="C7543" s="1" t="n">
        <v>45677</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29660-2023</t>
        </is>
      </c>
      <c r="B7544" s="1" t="n">
        <v>45107</v>
      </c>
      <c r="C7544" s="1" t="n">
        <v>45677</v>
      </c>
      <c r="D7544" t="inlineStr">
        <is>
          <t>GÄVLEBORGS LÄN</t>
        </is>
      </c>
      <c r="E7544" t="inlineStr">
        <is>
          <t>OCKELBO</t>
        </is>
      </c>
      <c r="F7544" t="inlineStr">
        <is>
          <t>Bergvik skog väst AB</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29669-2023</t>
        </is>
      </c>
      <c r="B7545" s="1" t="n">
        <v>45107</v>
      </c>
      <c r="C7545" s="1" t="n">
        <v>45677</v>
      </c>
      <c r="D7545" t="inlineStr">
        <is>
          <t>GÄVLEBORGS LÄN</t>
        </is>
      </c>
      <c r="E7545" t="inlineStr">
        <is>
          <t>BOLLNÄS</t>
        </is>
      </c>
      <c r="F7545" t="inlineStr">
        <is>
          <t>Bergvik skog väst AB</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29686-2023</t>
        </is>
      </c>
      <c r="B7546" s="1" t="n">
        <v>45107</v>
      </c>
      <c r="C7546" s="1" t="n">
        <v>45677</v>
      </c>
      <c r="D7546" t="inlineStr">
        <is>
          <t>GÄVLEBORGS LÄN</t>
        </is>
      </c>
      <c r="E7546" t="inlineStr">
        <is>
          <t>LJUSDAL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29690-2023</t>
        </is>
      </c>
      <c r="B7547" s="1" t="n">
        <v>45107</v>
      </c>
      <c r="C7547" s="1" t="n">
        <v>45677</v>
      </c>
      <c r="D7547" t="inlineStr">
        <is>
          <t>GÄVLEBORGS LÄN</t>
        </is>
      </c>
      <c r="E7547" t="inlineStr">
        <is>
          <t>BOLLNÄS</t>
        </is>
      </c>
      <c r="F7547" t="inlineStr">
        <is>
          <t>Sveaskog</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29702-2023</t>
        </is>
      </c>
      <c r="B7548" s="1" t="n">
        <v>45107</v>
      </c>
      <c r="C7548" s="1" t="n">
        <v>45677</v>
      </c>
      <c r="D7548" t="inlineStr">
        <is>
          <t>GÄVLEBORGS LÄN</t>
        </is>
      </c>
      <c r="E7548" t="inlineStr">
        <is>
          <t>HUDIKSVALL</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29748-2023</t>
        </is>
      </c>
      <c r="B7549" s="1" t="n">
        <v>45107</v>
      </c>
      <c r="C7549" s="1" t="n">
        <v>45677</v>
      </c>
      <c r="D7549" t="inlineStr">
        <is>
          <t>GÄVLEBORGS LÄN</t>
        </is>
      </c>
      <c r="E7549" t="inlineStr">
        <is>
          <t>BOLLNÄS</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29761-2023</t>
        </is>
      </c>
      <c r="B7550" s="1" t="n">
        <v>45107</v>
      </c>
      <c r="C7550" s="1" t="n">
        <v>45677</v>
      </c>
      <c r="D7550" t="inlineStr">
        <is>
          <t>GÄVLEBORGS LÄN</t>
        </is>
      </c>
      <c r="E7550" t="inlineStr">
        <is>
          <t>BOLLNÄS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29765-2023</t>
        </is>
      </c>
      <c r="B7551" s="1" t="n">
        <v>45107</v>
      </c>
      <c r="C7551" s="1" t="n">
        <v>45677</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29797-2023</t>
        </is>
      </c>
      <c r="B7552" s="1" t="n">
        <v>45107</v>
      </c>
      <c r="C7552" s="1" t="n">
        <v>45677</v>
      </c>
      <c r="D7552" t="inlineStr">
        <is>
          <t>GÄVLEBORGS LÄN</t>
        </is>
      </c>
      <c r="E7552" t="inlineStr">
        <is>
          <t>BOLLNÄS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29801-2023</t>
        </is>
      </c>
      <c r="B7553" s="1" t="n">
        <v>45107</v>
      </c>
      <c r="C7553" s="1" t="n">
        <v>45677</v>
      </c>
      <c r="D7553" t="inlineStr">
        <is>
          <t>GÄVLEBORGS LÄN</t>
        </is>
      </c>
      <c r="E7553" t="inlineStr">
        <is>
          <t>LJUSDAL</t>
        </is>
      </c>
      <c r="F7553" t="inlineStr">
        <is>
          <t>Holmen skog AB</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29818-2023</t>
        </is>
      </c>
      <c r="B7554" s="1" t="n">
        <v>45107</v>
      </c>
      <c r="C7554" s="1" t="n">
        <v>45677</v>
      </c>
      <c r="D7554" t="inlineStr">
        <is>
          <t>GÄVLEBORGS LÄN</t>
        </is>
      </c>
      <c r="E7554" t="inlineStr">
        <is>
          <t>SÖDERHAMN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29712-2023</t>
        </is>
      </c>
      <c r="B7555" s="1" t="n">
        <v>45107</v>
      </c>
      <c r="C7555" s="1" t="n">
        <v>45677</v>
      </c>
      <c r="D7555" t="inlineStr">
        <is>
          <t>GÄVLEBORGS LÄN</t>
        </is>
      </c>
      <c r="E7555" t="inlineStr">
        <is>
          <t>BOLLNÄS</t>
        </is>
      </c>
      <c r="F7555" t="inlineStr">
        <is>
          <t>Sveaskog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29716-2023</t>
        </is>
      </c>
      <c r="B7556" s="1" t="n">
        <v>45107</v>
      </c>
      <c r="C7556" s="1" t="n">
        <v>45677</v>
      </c>
      <c r="D7556" t="inlineStr">
        <is>
          <t>GÄVLEBORGS LÄN</t>
        </is>
      </c>
      <c r="E7556" t="inlineStr">
        <is>
          <t>BOLLNÄS</t>
        </is>
      </c>
      <c r="F7556" t="inlineStr">
        <is>
          <t>Sveaskog</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29720-2023</t>
        </is>
      </c>
      <c r="B7557" s="1" t="n">
        <v>45107</v>
      </c>
      <c r="C7557" s="1" t="n">
        <v>45677</v>
      </c>
      <c r="D7557" t="inlineStr">
        <is>
          <t>GÄVLEBORGS LÄN</t>
        </is>
      </c>
      <c r="E7557" t="inlineStr">
        <is>
          <t>BOLLNÄS</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29768-2023</t>
        </is>
      </c>
      <c r="B7558" s="1" t="n">
        <v>45107</v>
      </c>
      <c r="C7558" s="1" t="n">
        <v>45677</v>
      </c>
      <c r="D7558" t="inlineStr">
        <is>
          <t>GÄVLEBORGS LÄN</t>
        </is>
      </c>
      <c r="E7558" t="inlineStr">
        <is>
          <t>OCKELBO</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29812-2023</t>
        </is>
      </c>
      <c r="B7559" s="1" t="n">
        <v>45107</v>
      </c>
      <c r="C7559" s="1" t="n">
        <v>45677</v>
      </c>
      <c r="D7559" t="inlineStr">
        <is>
          <t>GÄVLEBORGS LÄN</t>
        </is>
      </c>
      <c r="E7559" t="inlineStr">
        <is>
          <t>SÖDERHAMN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29816-2023</t>
        </is>
      </c>
      <c r="B7560" s="1" t="n">
        <v>45107</v>
      </c>
      <c r="C7560" s="1" t="n">
        <v>45677</v>
      </c>
      <c r="D7560" t="inlineStr">
        <is>
          <t>GÄVLEBORGS LÄN</t>
        </is>
      </c>
      <c r="E7560" t="inlineStr">
        <is>
          <t>OCKELBO</t>
        </is>
      </c>
      <c r="F7560" t="inlineStr">
        <is>
          <t>Bergvik skog väst AB</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29837-2023</t>
        </is>
      </c>
      <c r="B7561" s="1" t="n">
        <v>45107</v>
      </c>
      <c r="C7561" s="1" t="n">
        <v>45677</v>
      </c>
      <c r="D7561" t="inlineStr">
        <is>
          <t>GÄVLEBORGS LÄN</t>
        </is>
      </c>
      <c r="E7561" t="inlineStr">
        <is>
          <t>LJUSDAL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29862-2023</t>
        </is>
      </c>
      <c r="B7562" s="1" t="n">
        <v>45107</v>
      </c>
      <c r="C7562" s="1" t="n">
        <v>45677</v>
      </c>
      <c r="D7562" t="inlineStr">
        <is>
          <t>GÄVLEBORGS LÄN</t>
        </is>
      </c>
      <c r="E7562" t="inlineStr">
        <is>
          <t>GÄVLE</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29928-2023</t>
        </is>
      </c>
      <c r="B7563" s="1" t="n">
        <v>45107</v>
      </c>
      <c r="C7563" s="1" t="n">
        <v>45677</v>
      </c>
      <c r="D7563" t="inlineStr">
        <is>
          <t>GÄVLEBORGS LÄN</t>
        </is>
      </c>
      <c r="E7563" t="inlineStr">
        <is>
          <t>LJUSDAL</t>
        </is>
      </c>
      <c r="F7563" t="inlineStr">
        <is>
          <t>Sveaskog</t>
        </is>
      </c>
      <c r="G7563" t="n">
        <v>24.2</v>
      </c>
      <c r="H7563" t="n">
        <v>0</v>
      </c>
      <c r="I7563" t="n">
        <v>0</v>
      </c>
      <c r="J7563" t="n">
        <v>0</v>
      </c>
      <c r="K7563" t="n">
        <v>0</v>
      </c>
      <c r="L7563" t="n">
        <v>0</v>
      </c>
      <c r="M7563" t="n">
        <v>0</v>
      </c>
      <c r="N7563" t="n">
        <v>0</v>
      </c>
      <c r="O7563" t="n">
        <v>0</v>
      </c>
      <c r="P7563" t="n">
        <v>0</v>
      </c>
      <c r="Q7563" t="n">
        <v>0</v>
      </c>
      <c r="R7563" s="2" t="inlineStr"/>
    </row>
    <row r="7564" ht="15" customHeight="1">
      <c r="A7564" t="inlineStr">
        <is>
          <t>A 29931-2023</t>
        </is>
      </c>
      <c r="B7564" s="1" t="n">
        <v>45107</v>
      </c>
      <c r="C7564" s="1" t="n">
        <v>45677</v>
      </c>
      <c r="D7564" t="inlineStr">
        <is>
          <t>GÄVLEBORGS LÄN</t>
        </is>
      </c>
      <c r="E7564" t="inlineStr">
        <is>
          <t>LJUSDAL</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32287-2023</t>
        </is>
      </c>
      <c r="B7565" s="1" t="n">
        <v>45107</v>
      </c>
      <c r="C7565" s="1" t="n">
        <v>45677</v>
      </c>
      <c r="D7565" t="inlineStr">
        <is>
          <t>GÄVLEBORGS LÄN</t>
        </is>
      </c>
      <c r="E7565" t="inlineStr">
        <is>
          <t>LJUSDAL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32293-2023</t>
        </is>
      </c>
      <c r="B7566" s="1" t="n">
        <v>45107</v>
      </c>
      <c r="C7566" s="1" t="n">
        <v>45677</v>
      </c>
      <c r="D7566" t="inlineStr">
        <is>
          <t>GÄVLEBORGS LÄN</t>
        </is>
      </c>
      <c r="E7566" t="inlineStr">
        <is>
          <t>LJUSDAL</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32289-2023</t>
        </is>
      </c>
      <c r="B7567" s="1" t="n">
        <v>45107</v>
      </c>
      <c r="C7567" s="1" t="n">
        <v>45677</v>
      </c>
      <c r="D7567" t="inlineStr">
        <is>
          <t>GÄVLEBORGS LÄN</t>
        </is>
      </c>
      <c r="E7567" t="inlineStr">
        <is>
          <t>LJUSDAL</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32294-2023</t>
        </is>
      </c>
      <c r="B7568" s="1" t="n">
        <v>45107</v>
      </c>
      <c r="C7568" s="1" t="n">
        <v>45677</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29980-2023</t>
        </is>
      </c>
      <c r="B7569" s="1" t="n">
        <v>45108</v>
      </c>
      <c r="C7569" s="1" t="n">
        <v>45677</v>
      </c>
      <c r="D7569" t="inlineStr">
        <is>
          <t>GÄVLEBORGS LÄN</t>
        </is>
      </c>
      <c r="E7569" t="inlineStr">
        <is>
          <t>SÖDERHAMN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29982-2023</t>
        </is>
      </c>
      <c r="B7570" s="1" t="n">
        <v>45109</v>
      </c>
      <c r="C7570" s="1" t="n">
        <v>45677</v>
      </c>
      <c r="D7570" t="inlineStr">
        <is>
          <t>GÄVLEBORGS LÄN</t>
        </is>
      </c>
      <c r="E7570" t="inlineStr">
        <is>
          <t>SÖDERHAMN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29981-2023</t>
        </is>
      </c>
      <c r="B7571" s="1" t="n">
        <v>45109</v>
      </c>
      <c r="C7571" s="1" t="n">
        <v>45677</v>
      </c>
      <c r="D7571" t="inlineStr">
        <is>
          <t>GÄVLEBORGS LÄN</t>
        </is>
      </c>
      <c r="E7571" t="inlineStr">
        <is>
          <t>SÖDERHAMN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29979-2023</t>
        </is>
      </c>
      <c r="B7572" s="1" t="n">
        <v>45108</v>
      </c>
      <c r="C7572" s="1" t="n">
        <v>45677</v>
      </c>
      <c r="D7572" t="inlineStr">
        <is>
          <t>GÄVLEBORGS LÄN</t>
        </is>
      </c>
      <c r="E7572" t="inlineStr">
        <is>
          <t>SÖDERHAMN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29983-2023</t>
        </is>
      </c>
      <c r="B7573" s="1" t="n">
        <v>45109</v>
      </c>
      <c r="C7573" s="1" t="n">
        <v>45677</v>
      </c>
      <c r="D7573" t="inlineStr">
        <is>
          <t>GÄVLEBORGS LÄN</t>
        </is>
      </c>
      <c r="E7573" t="inlineStr">
        <is>
          <t>SÖDERHAMN</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30009-2023</t>
        </is>
      </c>
      <c r="B7574" s="1" t="n">
        <v>45109</v>
      </c>
      <c r="C7574" s="1" t="n">
        <v>45677</v>
      </c>
      <c r="D7574" t="inlineStr">
        <is>
          <t>GÄVLEBORGS LÄN</t>
        </is>
      </c>
      <c r="E7574" t="inlineStr">
        <is>
          <t>OCKELBO</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30011-2023</t>
        </is>
      </c>
      <c r="B7575" s="1" t="n">
        <v>45109</v>
      </c>
      <c r="C7575" s="1" t="n">
        <v>45677</v>
      </c>
      <c r="D7575" t="inlineStr">
        <is>
          <t>GÄVLEBORGS LÄN</t>
        </is>
      </c>
      <c r="E7575" t="inlineStr">
        <is>
          <t>OCKELBO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30067-2023</t>
        </is>
      </c>
      <c r="B7576" s="1" t="n">
        <v>45110</v>
      </c>
      <c r="C7576" s="1" t="n">
        <v>45677</v>
      </c>
      <c r="D7576" t="inlineStr">
        <is>
          <t>GÄVLEBORGS LÄN</t>
        </is>
      </c>
      <c r="E7576" t="inlineStr">
        <is>
          <t>BOLLNÄS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30061-2023</t>
        </is>
      </c>
      <c r="B7577" s="1" t="n">
        <v>45110</v>
      </c>
      <c r="C7577" s="1" t="n">
        <v>45677</v>
      </c>
      <c r="D7577" t="inlineStr">
        <is>
          <t>GÄVLEBORGS LÄN</t>
        </is>
      </c>
      <c r="E7577" t="inlineStr">
        <is>
          <t>LJUSDAL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30117-2023</t>
        </is>
      </c>
      <c r="B7578" s="1" t="n">
        <v>45110</v>
      </c>
      <c r="C7578" s="1" t="n">
        <v>45677</v>
      </c>
      <c r="D7578" t="inlineStr">
        <is>
          <t>GÄVLEBORGS LÄN</t>
        </is>
      </c>
      <c r="E7578" t="inlineStr">
        <is>
          <t>HUDIKSVALL</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30224-2023</t>
        </is>
      </c>
      <c r="B7579" s="1" t="n">
        <v>45110</v>
      </c>
      <c r="C7579" s="1" t="n">
        <v>45677</v>
      </c>
      <c r="D7579" t="inlineStr">
        <is>
          <t>GÄVLEBORGS LÄN</t>
        </is>
      </c>
      <c r="E7579" t="inlineStr">
        <is>
          <t>BOLLNÄS</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30228-2023</t>
        </is>
      </c>
      <c r="B7580" s="1" t="n">
        <v>45110</v>
      </c>
      <c r="C7580" s="1" t="n">
        <v>45677</v>
      </c>
      <c r="D7580" t="inlineStr">
        <is>
          <t>GÄVLEBORGS LÄN</t>
        </is>
      </c>
      <c r="E7580" t="inlineStr">
        <is>
          <t>SANDVIKEN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30034-2023</t>
        </is>
      </c>
      <c r="B7581" s="1" t="n">
        <v>45110</v>
      </c>
      <c r="C7581" s="1" t="n">
        <v>45677</v>
      </c>
      <c r="D7581" t="inlineStr">
        <is>
          <t>GÄVLEBORGS LÄN</t>
        </is>
      </c>
      <c r="E7581" t="inlineStr">
        <is>
          <t>HUDIKSVALL</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30122-2023</t>
        </is>
      </c>
      <c r="B7582" s="1" t="n">
        <v>45110</v>
      </c>
      <c r="C7582" s="1" t="n">
        <v>45677</v>
      </c>
      <c r="D7582" t="inlineStr">
        <is>
          <t>GÄVLEBORGS LÄN</t>
        </is>
      </c>
      <c r="E7582" t="inlineStr">
        <is>
          <t>HUDIKSVALL</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30200-2023</t>
        </is>
      </c>
      <c r="B7583" s="1" t="n">
        <v>45110</v>
      </c>
      <c r="C7583" s="1" t="n">
        <v>45677</v>
      </c>
      <c r="D7583" t="inlineStr">
        <is>
          <t>GÄVLEBORGS LÄN</t>
        </is>
      </c>
      <c r="E7583" t="inlineStr">
        <is>
          <t>BOLLNÄS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30168-2023</t>
        </is>
      </c>
      <c r="B7584" s="1" t="n">
        <v>45110</v>
      </c>
      <c r="C7584" s="1" t="n">
        <v>45677</v>
      </c>
      <c r="D7584" t="inlineStr">
        <is>
          <t>GÄVLEBORGS LÄN</t>
        </is>
      </c>
      <c r="E7584" t="inlineStr">
        <is>
          <t>HUDIKSVALL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30240-2023</t>
        </is>
      </c>
      <c r="B7585" s="1" t="n">
        <v>45110</v>
      </c>
      <c r="C7585" s="1" t="n">
        <v>45677</v>
      </c>
      <c r="D7585" t="inlineStr">
        <is>
          <t>GÄVLEBORGS LÄN</t>
        </is>
      </c>
      <c r="E7585" t="inlineStr">
        <is>
          <t>LJUSDAL</t>
        </is>
      </c>
      <c r="F7585" t="inlineStr">
        <is>
          <t>Sveaskog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30476-2023</t>
        </is>
      </c>
      <c r="B7586" s="1" t="n">
        <v>45111</v>
      </c>
      <c r="C7586" s="1" t="n">
        <v>45677</v>
      </c>
      <c r="D7586" t="inlineStr">
        <is>
          <t>GÄVLEBORGS LÄN</t>
        </is>
      </c>
      <c r="E7586" t="inlineStr">
        <is>
          <t>LJUSDAL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30454-2023</t>
        </is>
      </c>
      <c r="B7587" s="1" t="n">
        <v>45111</v>
      </c>
      <c r="C7587" s="1" t="n">
        <v>45677</v>
      </c>
      <c r="D7587" t="inlineStr">
        <is>
          <t>GÄVLEBORGS LÄN</t>
        </is>
      </c>
      <c r="E7587" t="inlineStr">
        <is>
          <t>LJUSDAL</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30502-2023</t>
        </is>
      </c>
      <c r="B7588" s="1" t="n">
        <v>45111</v>
      </c>
      <c r="C7588" s="1" t="n">
        <v>45677</v>
      </c>
      <c r="D7588" t="inlineStr">
        <is>
          <t>GÄVLEBORGS LÄN</t>
        </is>
      </c>
      <c r="E7588" t="inlineStr">
        <is>
          <t>OVANÅKER</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30507-2023</t>
        </is>
      </c>
      <c r="B7589" s="1" t="n">
        <v>45111</v>
      </c>
      <c r="C7589" s="1" t="n">
        <v>45677</v>
      </c>
      <c r="D7589" t="inlineStr">
        <is>
          <t>GÄVLEBORGS LÄN</t>
        </is>
      </c>
      <c r="E7589" t="inlineStr">
        <is>
          <t>OVANÅKER</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30520-2023</t>
        </is>
      </c>
      <c r="B7590" s="1" t="n">
        <v>45111</v>
      </c>
      <c r="C7590" s="1" t="n">
        <v>45677</v>
      </c>
      <c r="D7590" t="inlineStr">
        <is>
          <t>GÄVLEBORGS LÄN</t>
        </is>
      </c>
      <c r="E7590" t="inlineStr">
        <is>
          <t>OVANÅKER</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30539-2023</t>
        </is>
      </c>
      <c r="B7591" s="1" t="n">
        <v>45111</v>
      </c>
      <c r="C7591" s="1" t="n">
        <v>45677</v>
      </c>
      <c r="D7591" t="inlineStr">
        <is>
          <t>GÄVLEBORGS LÄN</t>
        </is>
      </c>
      <c r="E7591" t="inlineStr">
        <is>
          <t>SÖDERHAMN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30331-2023</t>
        </is>
      </c>
      <c r="B7592" s="1" t="n">
        <v>45111</v>
      </c>
      <c r="C7592" s="1" t="n">
        <v>45677</v>
      </c>
      <c r="D7592" t="inlineStr">
        <is>
          <t>GÄVLEBORGS LÄN</t>
        </is>
      </c>
      <c r="E7592" t="inlineStr">
        <is>
          <t>OVANÅKER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30335-2023</t>
        </is>
      </c>
      <c r="B7593" s="1" t="n">
        <v>45111</v>
      </c>
      <c r="C7593" s="1" t="n">
        <v>45677</v>
      </c>
      <c r="D7593" t="inlineStr">
        <is>
          <t>GÄVLEBORGS LÄN</t>
        </is>
      </c>
      <c r="E7593" t="inlineStr">
        <is>
          <t>OVANÅKER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30463-2023</t>
        </is>
      </c>
      <c r="B7594" s="1" t="n">
        <v>45111</v>
      </c>
      <c r="C7594" s="1" t="n">
        <v>45677</v>
      </c>
      <c r="D7594" t="inlineStr">
        <is>
          <t>GÄVLEBORGS LÄN</t>
        </is>
      </c>
      <c r="E7594" t="inlineStr">
        <is>
          <t>OVANÅKER</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30375-2023</t>
        </is>
      </c>
      <c r="B7595" s="1" t="n">
        <v>45111</v>
      </c>
      <c r="C7595" s="1" t="n">
        <v>45677</v>
      </c>
      <c r="D7595" t="inlineStr">
        <is>
          <t>GÄVLEBORGS LÄN</t>
        </is>
      </c>
      <c r="E7595" t="inlineStr">
        <is>
          <t>HUDIKSVALL</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30396-2023</t>
        </is>
      </c>
      <c r="B7596" s="1" t="n">
        <v>45111</v>
      </c>
      <c r="C7596" s="1" t="n">
        <v>45677</v>
      </c>
      <c r="D7596" t="inlineStr">
        <is>
          <t>GÄVLEBORGS LÄN</t>
        </is>
      </c>
      <c r="E7596" t="inlineStr">
        <is>
          <t>HUDIKSVALL</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30418-2023</t>
        </is>
      </c>
      <c r="B7597" s="1" t="n">
        <v>45111</v>
      </c>
      <c r="C7597" s="1" t="n">
        <v>45677</v>
      </c>
      <c r="D7597" t="inlineStr">
        <is>
          <t>GÄVLEBORGS LÄN</t>
        </is>
      </c>
      <c r="E7597" t="inlineStr">
        <is>
          <t>OCKELBO</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30422-2023</t>
        </is>
      </c>
      <c r="B7598" s="1" t="n">
        <v>45111</v>
      </c>
      <c r="C7598" s="1" t="n">
        <v>45677</v>
      </c>
      <c r="D7598" t="inlineStr">
        <is>
          <t>GÄVLEBORGS LÄN</t>
        </is>
      </c>
      <c r="E7598" t="inlineStr">
        <is>
          <t>OCKELBO</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30398-2023</t>
        </is>
      </c>
      <c r="B7599" s="1" t="n">
        <v>45111</v>
      </c>
      <c r="C7599" s="1" t="n">
        <v>45677</v>
      </c>
      <c r="D7599" t="inlineStr">
        <is>
          <t>GÄVLEBORGS LÄN</t>
        </is>
      </c>
      <c r="E7599" t="inlineStr">
        <is>
          <t>HUDIKSVALL</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30407-2023</t>
        </is>
      </c>
      <c r="B7600" s="1" t="n">
        <v>45111</v>
      </c>
      <c r="C7600" s="1" t="n">
        <v>45677</v>
      </c>
      <c r="D7600" t="inlineStr">
        <is>
          <t>GÄVLEBORGS LÄN</t>
        </is>
      </c>
      <c r="E7600" t="inlineStr">
        <is>
          <t>SÖDERHAMN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30416-2023</t>
        </is>
      </c>
      <c r="B7601" s="1" t="n">
        <v>45111</v>
      </c>
      <c r="C7601" s="1" t="n">
        <v>45677</v>
      </c>
      <c r="D7601" t="inlineStr">
        <is>
          <t>GÄVLEBORGS LÄN</t>
        </is>
      </c>
      <c r="E7601" t="inlineStr">
        <is>
          <t>LJUSDAL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30349-2023</t>
        </is>
      </c>
      <c r="B7602" s="1" t="n">
        <v>45111</v>
      </c>
      <c r="C7602" s="1" t="n">
        <v>45677</v>
      </c>
      <c r="D7602" t="inlineStr">
        <is>
          <t>GÄVLEBORGS LÄN</t>
        </is>
      </c>
      <c r="E7602" t="inlineStr">
        <is>
          <t>OCKELBO</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30371-2023</t>
        </is>
      </c>
      <c r="B7603" s="1" t="n">
        <v>45111</v>
      </c>
      <c r="C7603" s="1" t="n">
        <v>45677</v>
      </c>
      <c r="D7603" t="inlineStr">
        <is>
          <t>GÄVLEBORGS LÄN</t>
        </is>
      </c>
      <c r="E7603" t="inlineStr">
        <is>
          <t>SÖDERHAMN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30562-2023</t>
        </is>
      </c>
      <c r="B7604" s="1" t="n">
        <v>45111</v>
      </c>
      <c r="C7604" s="1" t="n">
        <v>45677</v>
      </c>
      <c r="D7604" t="inlineStr">
        <is>
          <t>GÄVLEBORGS LÄN</t>
        </is>
      </c>
      <c r="E7604" t="inlineStr">
        <is>
          <t>HUDIKSVALL</t>
        </is>
      </c>
      <c r="G7604" t="n">
        <v>11.5</v>
      </c>
      <c r="H7604" t="n">
        <v>0</v>
      </c>
      <c r="I7604" t="n">
        <v>0</v>
      </c>
      <c r="J7604" t="n">
        <v>0</v>
      </c>
      <c r="K7604" t="n">
        <v>0</v>
      </c>
      <c r="L7604" t="n">
        <v>0</v>
      </c>
      <c r="M7604" t="n">
        <v>0</v>
      </c>
      <c r="N7604" t="n">
        <v>0</v>
      </c>
      <c r="O7604" t="n">
        <v>0</v>
      </c>
      <c r="P7604" t="n">
        <v>0</v>
      </c>
      <c r="Q7604" t="n">
        <v>0</v>
      </c>
      <c r="R7604" s="2" t="inlineStr"/>
    </row>
    <row r="7605" ht="15" customHeight="1">
      <c r="A7605" t="inlineStr">
        <is>
          <t>A 30564-2023</t>
        </is>
      </c>
      <c r="B7605" s="1" t="n">
        <v>45112</v>
      </c>
      <c r="C7605" s="1" t="n">
        <v>45677</v>
      </c>
      <c r="D7605" t="inlineStr">
        <is>
          <t>GÄVLEBORGS LÄN</t>
        </is>
      </c>
      <c r="E7605" t="inlineStr">
        <is>
          <t>HUDIKSVALL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30619-2023</t>
        </is>
      </c>
      <c r="B7606" s="1" t="n">
        <v>45112</v>
      </c>
      <c r="C7606" s="1" t="n">
        <v>45677</v>
      </c>
      <c r="D7606" t="inlineStr">
        <is>
          <t>GÄVLEBORGS LÄN</t>
        </is>
      </c>
      <c r="E7606" t="inlineStr">
        <is>
          <t>LJUSDAL</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30735-2023</t>
        </is>
      </c>
      <c r="B7607" s="1" t="n">
        <v>45112</v>
      </c>
      <c r="C7607" s="1" t="n">
        <v>45677</v>
      </c>
      <c r="D7607" t="inlineStr">
        <is>
          <t>GÄVLEBORGS LÄN</t>
        </is>
      </c>
      <c r="E7607" t="inlineStr">
        <is>
          <t>BOLLNÄS</t>
        </is>
      </c>
      <c r="F7607" t="inlineStr">
        <is>
          <t>Holmen skog AB</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30609-2023</t>
        </is>
      </c>
      <c r="B7608" s="1" t="n">
        <v>45112</v>
      </c>
      <c r="C7608" s="1" t="n">
        <v>45677</v>
      </c>
      <c r="D7608" t="inlineStr">
        <is>
          <t>GÄVLEBORGS LÄN</t>
        </is>
      </c>
      <c r="E7608" t="inlineStr">
        <is>
          <t>LJUSDAL</t>
        </is>
      </c>
      <c r="F7608" t="inlineStr">
        <is>
          <t>Sveaskog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30608-2023</t>
        </is>
      </c>
      <c r="B7609" s="1" t="n">
        <v>45112</v>
      </c>
      <c r="C7609" s="1" t="n">
        <v>45677</v>
      </c>
      <c r="D7609" t="inlineStr">
        <is>
          <t>GÄVLEBORGS LÄN</t>
        </is>
      </c>
      <c r="E7609" t="inlineStr">
        <is>
          <t>LJUSDAL</t>
        </is>
      </c>
      <c r="F7609" t="inlineStr">
        <is>
          <t>Sveaskog</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30672-2023</t>
        </is>
      </c>
      <c r="B7610" s="1" t="n">
        <v>45112</v>
      </c>
      <c r="C7610" s="1" t="n">
        <v>45677</v>
      </c>
      <c r="D7610" t="inlineStr">
        <is>
          <t>GÄVLEBORGS LÄN</t>
        </is>
      </c>
      <c r="E7610" t="inlineStr">
        <is>
          <t>HUDIKSVALL</t>
        </is>
      </c>
      <c r="F7610" t="inlineStr">
        <is>
          <t>Sveaskog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30721-2023</t>
        </is>
      </c>
      <c r="B7611" s="1" t="n">
        <v>45112</v>
      </c>
      <c r="C7611" s="1" t="n">
        <v>45677</v>
      </c>
      <c r="D7611" t="inlineStr">
        <is>
          <t>GÄVLEBORGS LÄN</t>
        </is>
      </c>
      <c r="E7611" t="inlineStr">
        <is>
          <t>SANDVIKEN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30737-2023</t>
        </is>
      </c>
      <c r="B7612" s="1" t="n">
        <v>45112</v>
      </c>
      <c r="C7612" s="1" t="n">
        <v>45677</v>
      </c>
      <c r="D7612" t="inlineStr">
        <is>
          <t>GÄVLEBORGS LÄN</t>
        </is>
      </c>
      <c r="E7612" t="inlineStr">
        <is>
          <t>OVANÅKER</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30759-2023</t>
        </is>
      </c>
      <c r="B7613" s="1" t="n">
        <v>45112</v>
      </c>
      <c r="C7613" s="1" t="n">
        <v>45677</v>
      </c>
      <c r="D7613" t="inlineStr">
        <is>
          <t>GÄVLEBORGS LÄN</t>
        </is>
      </c>
      <c r="E7613" t="inlineStr">
        <is>
          <t>BOLLNÄS</t>
        </is>
      </c>
      <c r="F7613" t="inlineStr">
        <is>
          <t>Holmen skog AB</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30728-2023</t>
        </is>
      </c>
      <c r="B7614" s="1" t="n">
        <v>45112</v>
      </c>
      <c r="C7614" s="1" t="n">
        <v>45677</v>
      </c>
      <c r="D7614" t="inlineStr">
        <is>
          <t>GÄVLEBORGS LÄN</t>
        </is>
      </c>
      <c r="E7614" t="inlineStr">
        <is>
          <t>BOLLNÄS</t>
        </is>
      </c>
      <c r="F7614" t="inlineStr">
        <is>
          <t>Holmen skog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30732-2023</t>
        </is>
      </c>
      <c r="B7615" s="1" t="n">
        <v>45112</v>
      </c>
      <c r="C7615" s="1" t="n">
        <v>45677</v>
      </c>
      <c r="D7615" t="inlineStr">
        <is>
          <t>GÄVLEBORGS LÄN</t>
        </is>
      </c>
      <c r="E7615" t="inlineStr">
        <is>
          <t>OVANÅKER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30750-2023</t>
        </is>
      </c>
      <c r="B7616" s="1" t="n">
        <v>45112</v>
      </c>
      <c r="C7616" s="1" t="n">
        <v>45677</v>
      </c>
      <c r="D7616" t="inlineStr">
        <is>
          <t>GÄVLEBORGS LÄN</t>
        </is>
      </c>
      <c r="E7616" t="inlineStr">
        <is>
          <t>BOLLNÄS</t>
        </is>
      </c>
      <c r="F7616" t="inlineStr">
        <is>
          <t>Holmen skog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30622-2023</t>
        </is>
      </c>
      <c r="B7617" s="1" t="n">
        <v>45112</v>
      </c>
      <c r="C7617" s="1" t="n">
        <v>45677</v>
      </c>
      <c r="D7617" t="inlineStr">
        <is>
          <t>GÄVLEBORGS LÄN</t>
        </is>
      </c>
      <c r="E7617" t="inlineStr">
        <is>
          <t>LJUSDAL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30669-2023</t>
        </is>
      </c>
      <c r="B7618" s="1" t="n">
        <v>45112</v>
      </c>
      <c r="C7618" s="1" t="n">
        <v>45677</v>
      </c>
      <c r="D7618" t="inlineStr">
        <is>
          <t>GÄVLEBORGS LÄN</t>
        </is>
      </c>
      <c r="E7618" t="inlineStr">
        <is>
          <t>LJUSDAL</t>
        </is>
      </c>
      <c r="F7618" t="inlineStr">
        <is>
          <t>Allmännings- och besparingsskogar</t>
        </is>
      </c>
      <c r="G7618" t="n">
        <v>35.5</v>
      </c>
      <c r="H7618" t="n">
        <v>0</v>
      </c>
      <c r="I7618" t="n">
        <v>0</v>
      </c>
      <c r="J7618" t="n">
        <v>0</v>
      </c>
      <c r="K7618" t="n">
        <v>0</v>
      </c>
      <c r="L7618" t="n">
        <v>0</v>
      </c>
      <c r="M7618" t="n">
        <v>0</v>
      </c>
      <c r="N7618" t="n">
        <v>0</v>
      </c>
      <c r="O7618" t="n">
        <v>0</v>
      </c>
      <c r="P7618" t="n">
        <v>0</v>
      </c>
      <c r="Q7618" t="n">
        <v>0</v>
      </c>
      <c r="R7618" s="2" t="inlineStr"/>
    </row>
    <row r="7619" ht="15" customHeight="1">
      <c r="A7619" t="inlineStr">
        <is>
          <t>A 30714-2023</t>
        </is>
      </c>
      <c r="B7619" s="1" t="n">
        <v>45112</v>
      </c>
      <c r="C7619" s="1" t="n">
        <v>45677</v>
      </c>
      <c r="D7619" t="inlineStr">
        <is>
          <t>GÄVLEBORGS LÄN</t>
        </is>
      </c>
      <c r="E7619" t="inlineStr">
        <is>
          <t>SANDVIKEN</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30718-2023</t>
        </is>
      </c>
      <c r="B7620" s="1" t="n">
        <v>45112</v>
      </c>
      <c r="C7620" s="1" t="n">
        <v>45677</v>
      </c>
      <c r="D7620" t="inlineStr">
        <is>
          <t>GÄVLEBORGS LÄN</t>
        </is>
      </c>
      <c r="E7620" t="inlineStr">
        <is>
          <t>SANDVIKEN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30928-2023</t>
        </is>
      </c>
      <c r="B7621" s="1" t="n">
        <v>45113</v>
      </c>
      <c r="C7621" s="1" t="n">
        <v>45677</v>
      </c>
      <c r="D7621" t="inlineStr">
        <is>
          <t>GÄVLEBORGS LÄN</t>
        </is>
      </c>
      <c r="E7621" t="inlineStr">
        <is>
          <t>SÖDERHAMN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30959-2023</t>
        </is>
      </c>
      <c r="B7622" s="1" t="n">
        <v>45113</v>
      </c>
      <c r="C7622" s="1" t="n">
        <v>45677</v>
      </c>
      <c r="D7622" t="inlineStr">
        <is>
          <t>GÄVLEBORGS LÄN</t>
        </is>
      </c>
      <c r="E7622" t="inlineStr">
        <is>
          <t>BOLLNÄS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30968-2023</t>
        </is>
      </c>
      <c r="B7623" s="1" t="n">
        <v>45113</v>
      </c>
      <c r="C7623" s="1" t="n">
        <v>45677</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30997-2023</t>
        </is>
      </c>
      <c r="B7624" s="1" t="n">
        <v>45113</v>
      </c>
      <c r="C7624" s="1" t="n">
        <v>45677</v>
      </c>
      <c r="D7624" t="inlineStr">
        <is>
          <t>GÄVLEBORGS LÄN</t>
        </is>
      </c>
      <c r="E7624" t="inlineStr">
        <is>
          <t>LJUSDAL</t>
        </is>
      </c>
      <c r="F7624" t="inlineStr">
        <is>
          <t>Holmen skog AB</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31011-2023</t>
        </is>
      </c>
      <c r="B7625" s="1" t="n">
        <v>45113</v>
      </c>
      <c r="C7625" s="1" t="n">
        <v>45677</v>
      </c>
      <c r="D7625" t="inlineStr">
        <is>
          <t>GÄVLEBORGS LÄN</t>
        </is>
      </c>
      <c r="E7625" t="inlineStr">
        <is>
          <t>GÄVLE</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30866-2023</t>
        </is>
      </c>
      <c r="B7626" s="1" t="n">
        <v>45113</v>
      </c>
      <c r="C7626" s="1" t="n">
        <v>45677</v>
      </c>
      <c r="D7626" t="inlineStr">
        <is>
          <t>GÄVLEBORGS LÄN</t>
        </is>
      </c>
      <c r="E7626" t="inlineStr">
        <is>
          <t>BOLLNÄS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30973-2023</t>
        </is>
      </c>
      <c r="B7627" s="1" t="n">
        <v>45113</v>
      </c>
      <c r="C7627" s="1" t="n">
        <v>45677</v>
      </c>
      <c r="D7627" t="inlineStr">
        <is>
          <t>GÄVLEBORGS LÄN</t>
        </is>
      </c>
      <c r="E7627" t="inlineStr">
        <is>
          <t>LJUSDAL</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31014-2023</t>
        </is>
      </c>
      <c r="B7628" s="1" t="n">
        <v>45113</v>
      </c>
      <c r="C7628" s="1" t="n">
        <v>45677</v>
      </c>
      <c r="D7628" t="inlineStr">
        <is>
          <t>GÄVLEBORGS LÄN</t>
        </is>
      </c>
      <c r="E7628" t="inlineStr">
        <is>
          <t>BOLLNÄS</t>
        </is>
      </c>
      <c r="F7628" t="inlineStr">
        <is>
          <t>Bergvik skog väst AB</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31023-2023</t>
        </is>
      </c>
      <c r="B7629" s="1" t="n">
        <v>45113</v>
      </c>
      <c r="C7629" s="1" t="n">
        <v>45677</v>
      </c>
      <c r="D7629" t="inlineStr">
        <is>
          <t>GÄVLEBORGS LÄN</t>
        </is>
      </c>
      <c r="E7629" t="inlineStr">
        <is>
          <t>OVANÅKER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31129-2023</t>
        </is>
      </c>
      <c r="B7630" s="1" t="n">
        <v>45113</v>
      </c>
      <c r="C7630" s="1" t="n">
        <v>45677</v>
      </c>
      <c r="D7630" t="inlineStr">
        <is>
          <t>GÄVLEBORGS LÄN</t>
        </is>
      </c>
      <c r="E7630" t="inlineStr">
        <is>
          <t>LJUSDAL</t>
        </is>
      </c>
      <c r="F7630" t="inlineStr">
        <is>
          <t>Sveaskog</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30877-2023</t>
        </is>
      </c>
      <c r="B7631" s="1" t="n">
        <v>45113</v>
      </c>
      <c r="C7631" s="1" t="n">
        <v>45677</v>
      </c>
      <c r="D7631" t="inlineStr">
        <is>
          <t>GÄVLEBORGS LÄN</t>
        </is>
      </c>
      <c r="E7631" t="inlineStr">
        <is>
          <t>BOLLNÄS</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30881-2023</t>
        </is>
      </c>
      <c r="B7632" s="1" t="n">
        <v>45113</v>
      </c>
      <c r="C7632" s="1" t="n">
        <v>45677</v>
      </c>
      <c r="D7632" t="inlineStr">
        <is>
          <t>GÄVLEBORGS LÄN</t>
        </is>
      </c>
      <c r="E7632" t="inlineStr">
        <is>
          <t>BOLLNÄS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30893-2023</t>
        </is>
      </c>
      <c r="B7633" s="1" t="n">
        <v>45113</v>
      </c>
      <c r="C7633" s="1" t="n">
        <v>45677</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30913-2023</t>
        </is>
      </c>
      <c r="B7634" s="1" t="n">
        <v>45113</v>
      </c>
      <c r="C7634" s="1" t="n">
        <v>45677</v>
      </c>
      <c r="D7634" t="inlineStr">
        <is>
          <t>GÄVLEBORGS LÄN</t>
        </is>
      </c>
      <c r="E7634" t="inlineStr">
        <is>
          <t>LJUSDAL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30962-2023</t>
        </is>
      </c>
      <c r="B7635" s="1" t="n">
        <v>45113</v>
      </c>
      <c r="C7635" s="1" t="n">
        <v>45677</v>
      </c>
      <c r="D7635" t="inlineStr">
        <is>
          <t>GÄVLEBORGS LÄN</t>
        </is>
      </c>
      <c r="E7635" t="inlineStr">
        <is>
          <t>LJUSDAL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30977-2023</t>
        </is>
      </c>
      <c r="B7636" s="1" t="n">
        <v>45113</v>
      </c>
      <c r="C7636" s="1" t="n">
        <v>45677</v>
      </c>
      <c r="D7636" t="inlineStr">
        <is>
          <t>GÄVLEBORGS LÄN</t>
        </is>
      </c>
      <c r="E7636" t="inlineStr">
        <is>
          <t>OVANÅKER</t>
        </is>
      </c>
      <c r="G7636" t="n">
        <v>14.8</v>
      </c>
      <c r="H7636" t="n">
        <v>0</v>
      </c>
      <c r="I7636" t="n">
        <v>0</v>
      </c>
      <c r="J7636" t="n">
        <v>0</v>
      </c>
      <c r="K7636" t="n">
        <v>0</v>
      </c>
      <c r="L7636" t="n">
        <v>0</v>
      </c>
      <c r="M7636" t="n">
        <v>0</v>
      </c>
      <c r="N7636" t="n">
        <v>0</v>
      </c>
      <c r="O7636" t="n">
        <v>0</v>
      </c>
      <c r="P7636" t="n">
        <v>0</v>
      </c>
      <c r="Q7636" t="n">
        <v>0</v>
      </c>
      <c r="R7636" s="2" t="inlineStr"/>
    </row>
    <row r="7637" ht="15" customHeight="1">
      <c r="A7637" t="inlineStr">
        <is>
          <t>A 31058-2023</t>
        </is>
      </c>
      <c r="B7637" s="1" t="n">
        <v>45113</v>
      </c>
      <c r="C7637" s="1" t="n">
        <v>45677</v>
      </c>
      <c r="D7637" t="inlineStr">
        <is>
          <t>GÄVLEBORGS LÄN</t>
        </is>
      </c>
      <c r="E7637" t="inlineStr">
        <is>
          <t>BOLLNÄS</t>
        </is>
      </c>
      <c r="F7637" t="inlineStr">
        <is>
          <t>Bergvik skog väst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31062-2023</t>
        </is>
      </c>
      <c r="B7638" s="1" t="n">
        <v>45113</v>
      </c>
      <c r="C7638" s="1" t="n">
        <v>45677</v>
      </c>
      <c r="D7638" t="inlineStr">
        <is>
          <t>GÄVLEBORGS LÄN</t>
        </is>
      </c>
      <c r="E7638" t="inlineStr">
        <is>
          <t>GÄVLE</t>
        </is>
      </c>
      <c r="F7638" t="inlineStr">
        <is>
          <t>Kommuner</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31005-2023</t>
        </is>
      </c>
      <c r="B7639" s="1" t="n">
        <v>45113</v>
      </c>
      <c r="C7639" s="1" t="n">
        <v>45677</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31176-2023</t>
        </is>
      </c>
      <c r="B7640" s="1" t="n">
        <v>45113</v>
      </c>
      <c r="C7640" s="1" t="n">
        <v>45677</v>
      </c>
      <c r="D7640" t="inlineStr">
        <is>
          <t>GÄVLEBORGS LÄN</t>
        </is>
      </c>
      <c r="E7640" t="inlineStr">
        <is>
          <t>SÖDERHAMN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31303-2023</t>
        </is>
      </c>
      <c r="B7641" s="1" t="n">
        <v>45114</v>
      </c>
      <c r="C7641" s="1" t="n">
        <v>45677</v>
      </c>
      <c r="D7641" t="inlineStr">
        <is>
          <t>GÄVLEBORGS LÄN</t>
        </is>
      </c>
      <c r="E7641" t="inlineStr">
        <is>
          <t>OCKELBO</t>
        </is>
      </c>
      <c r="F7641" t="inlineStr">
        <is>
          <t>Bergvik skog väst AB</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31323-2023</t>
        </is>
      </c>
      <c r="B7642" s="1" t="n">
        <v>45114</v>
      </c>
      <c r="C7642" s="1" t="n">
        <v>45677</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31416-2023</t>
        </is>
      </c>
      <c r="B7643" s="1" t="n">
        <v>45114</v>
      </c>
      <c r="C7643" s="1" t="n">
        <v>45677</v>
      </c>
      <c r="D7643" t="inlineStr">
        <is>
          <t>GÄVLEBORGS LÄN</t>
        </is>
      </c>
      <c r="E7643" t="inlineStr">
        <is>
          <t>OCKELBO</t>
        </is>
      </c>
      <c r="F7643" t="inlineStr">
        <is>
          <t>Bergvik skog väst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31443-2023</t>
        </is>
      </c>
      <c r="B7644" s="1" t="n">
        <v>45114</v>
      </c>
      <c r="C7644" s="1" t="n">
        <v>45677</v>
      </c>
      <c r="D7644" t="inlineStr">
        <is>
          <t>GÄVLEBORGS LÄN</t>
        </is>
      </c>
      <c r="E7644" t="inlineStr">
        <is>
          <t>BOLLNÄS</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31406-2023</t>
        </is>
      </c>
      <c r="B7645" s="1" t="n">
        <v>45114</v>
      </c>
      <c r="C7645" s="1" t="n">
        <v>45677</v>
      </c>
      <c r="D7645" t="inlineStr">
        <is>
          <t>GÄVLEBORGS LÄN</t>
        </is>
      </c>
      <c r="E7645" t="inlineStr">
        <is>
          <t>OVANÅKER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31376-2023</t>
        </is>
      </c>
      <c r="B7646" s="1" t="n">
        <v>45114</v>
      </c>
      <c r="C7646" s="1" t="n">
        <v>45677</v>
      </c>
      <c r="D7646" t="inlineStr">
        <is>
          <t>GÄVLEBORGS LÄN</t>
        </is>
      </c>
      <c r="E7646" t="inlineStr">
        <is>
          <t>OVANÅKER</t>
        </is>
      </c>
      <c r="F7646" t="inlineStr">
        <is>
          <t>Bergvik skog öst AB</t>
        </is>
      </c>
      <c r="G7646" t="n">
        <v>20.4</v>
      </c>
      <c r="H7646" t="n">
        <v>0</v>
      </c>
      <c r="I7646" t="n">
        <v>0</v>
      </c>
      <c r="J7646" t="n">
        <v>0</v>
      </c>
      <c r="K7646" t="n">
        <v>0</v>
      </c>
      <c r="L7646" t="n">
        <v>0</v>
      </c>
      <c r="M7646" t="n">
        <v>0</v>
      </c>
      <c r="N7646" t="n">
        <v>0</v>
      </c>
      <c r="O7646" t="n">
        <v>0</v>
      </c>
      <c r="P7646" t="n">
        <v>0</v>
      </c>
      <c r="Q7646" t="n">
        <v>0</v>
      </c>
      <c r="R7646" s="2" t="inlineStr"/>
    </row>
    <row r="7647" ht="15" customHeight="1">
      <c r="A7647" t="inlineStr">
        <is>
          <t>A 31396-2023</t>
        </is>
      </c>
      <c r="B7647" s="1" t="n">
        <v>45114</v>
      </c>
      <c r="C7647" s="1" t="n">
        <v>45677</v>
      </c>
      <c r="D7647" t="inlineStr">
        <is>
          <t>GÄVLEBORGS LÄN</t>
        </is>
      </c>
      <c r="E7647" t="inlineStr">
        <is>
          <t>OVANÅKER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31400-2023</t>
        </is>
      </c>
      <c r="B7648" s="1" t="n">
        <v>45114</v>
      </c>
      <c r="C7648" s="1" t="n">
        <v>45677</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31248-2023</t>
        </is>
      </c>
      <c r="B7649" s="1" t="n">
        <v>45114</v>
      </c>
      <c r="C7649" s="1" t="n">
        <v>45677</v>
      </c>
      <c r="D7649" t="inlineStr">
        <is>
          <t>GÄVLEBORGS LÄN</t>
        </is>
      </c>
      <c r="E7649" t="inlineStr">
        <is>
          <t>LJUSDAL</t>
        </is>
      </c>
      <c r="F7649" t="inlineStr">
        <is>
          <t>Sveaskog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31293-2023</t>
        </is>
      </c>
      <c r="B7650" s="1" t="n">
        <v>45114</v>
      </c>
      <c r="C7650" s="1" t="n">
        <v>45677</v>
      </c>
      <c r="D7650" t="inlineStr">
        <is>
          <t>GÄVLEBORGS LÄN</t>
        </is>
      </c>
      <c r="E7650" t="inlineStr">
        <is>
          <t>SANDVIKEN</t>
        </is>
      </c>
      <c r="F7650" t="inlineStr">
        <is>
          <t>Bergvik skog öst AB</t>
        </is>
      </c>
      <c r="G7650" t="n">
        <v>18.1</v>
      </c>
      <c r="H7650" t="n">
        <v>0</v>
      </c>
      <c r="I7650" t="n">
        <v>0</v>
      </c>
      <c r="J7650" t="n">
        <v>0</v>
      </c>
      <c r="K7650" t="n">
        <v>0</v>
      </c>
      <c r="L7650" t="n">
        <v>0</v>
      </c>
      <c r="M7650" t="n">
        <v>0</v>
      </c>
      <c r="N7650" t="n">
        <v>0</v>
      </c>
      <c r="O7650" t="n">
        <v>0</v>
      </c>
      <c r="P7650" t="n">
        <v>0</v>
      </c>
      <c r="Q7650" t="n">
        <v>0</v>
      </c>
      <c r="R7650" s="2" t="inlineStr"/>
    </row>
    <row r="7651" ht="15" customHeight="1">
      <c r="A7651" t="inlineStr">
        <is>
          <t>A 31385-2023</t>
        </is>
      </c>
      <c r="B7651" s="1" t="n">
        <v>45114</v>
      </c>
      <c r="C7651" s="1" t="n">
        <v>45677</v>
      </c>
      <c r="D7651" t="inlineStr">
        <is>
          <t>GÄVLEBORGS LÄN</t>
        </is>
      </c>
      <c r="E7651" t="inlineStr">
        <is>
          <t>BOLLNÄS</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31404-2023</t>
        </is>
      </c>
      <c r="B7652" s="1" t="n">
        <v>45114</v>
      </c>
      <c r="C7652" s="1" t="n">
        <v>45677</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31440-2023</t>
        </is>
      </c>
      <c r="B7653" s="1" t="n">
        <v>45114</v>
      </c>
      <c r="C7653" s="1" t="n">
        <v>45677</v>
      </c>
      <c r="D7653" t="inlineStr">
        <is>
          <t>GÄVLEBORGS LÄN</t>
        </is>
      </c>
      <c r="E7653" t="inlineStr">
        <is>
          <t>BOLLNÄS</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31607-2023</t>
        </is>
      </c>
      <c r="B7654" s="1" t="n">
        <v>45117</v>
      </c>
      <c r="C7654" s="1" t="n">
        <v>45677</v>
      </c>
      <c r="D7654" t="inlineStr">
        <is>
          <t>GÄVLEBORGS LÄN</t>
        </is>
      </c>
      <c r="E7654" t="inlineStr">
        <is>
          <t>HOFORS</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31611-2023</t>
        </is>
      </c>
      <c r="B7655" s="1" t="n">
        <v>45117</v>
      </c>
      <c r="C7655" s="1" t="n">
        <v>45677</v>
      </c>
      <c r="D7655" t="inlineStr">
        <is>
          <t>GÄVLEBORGS LÄN</t>
        </is>
      </c>
      <c r="E7655" t="inlineStr">
        <is>
          <t>HOFORS</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31544-2023</t>
        </is>
      </c>
      <c r="B7656" s="1" t="n">
        <v>45117</v>
      </c>
      <c r="C7656" s="1" t="n">
        <v>45677</v>
      </c>
      <c r="D7656" t="inlineStr">
        <is>
          <t>GÄVLEBORGS LÄN</t>
        </is>
      </c>
      <c r="E7656" t="inlineStr">
        <is>
          <t>GÄVLE</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31723-2023</t>
        </is>
      </c>
      <c r="B7657" s="1" t="n">
        <v>45117</v>
      </c>
      <c r="C7657" s="1" t="n">
        <v>45677</v>
      </c>
      <c r="D7657" t="inlineStr">
        <is>
          <t>GÄVLEBORGS LÄN</t>
        </is>
      </c>
      <c r="E7657" t="inlineStr">
        <is>
          <t>OVANÅKER</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31613-2023</t>
        </is>
      </c>
      <c r="B7658" s="1" t="n">
        <v>45117</v>
      </c>
      <c r="C7658" s="1" t="n">
        <v>45677</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31725-2023</t>
        </is>
      </c>
      <c r="B7659" s="1" t="n">
        <v>45118</v>
      </c>
      <c r="C7659" s="1" t="n">
        <v>45677</v>
      </c>
      <c r="D7659" t="inlineStr">
        <is>
          <t>GÄVLEBORGS LÄN</t>
        </is>
      </c>
      <c r="E7659" t="inlineStr">
        <is>
          <t>OVANÅKER</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31638-2023</t>
        </is>
      </c>
      <c r="B7660" s="1" t="n">
        <v>45117</v>
      </c>
      <c r="C7660" s="1" t="n">
        <v>45677</v>
      </c>
      <c r="D7660" t="inlineStr">
        <is>
          <t>GÄVLEBORGS LÄN</t>
        </is>
      </c>
      <c r="E7660" t="inlineStr">
        <is>
          <t>BOLLNÄS</t>
        </is>
      </c>
      <c r="G7660" t="n">
        <v>18.1</v>
      </c>
      <c r="H7660" t="n">
        <v>0</v>
      </c>
      <c r="I7660" t="n">
        <v>0</v>
      </c>
      <c r="J7660" t="n">
        <v>0</v>
      </c>
      <c r="K7660" t="n">
        <v>0</v>
      </c>
      <c r="L7660" t="n">
        <v>0</v>
      </c>
      <c r="M7660" t="n">
        <v>0</v>
      </c>
      <c r="N7660" t="n">
        <v>0</v>
      </c>
      <c r="O7660" t="n">
        <v>0</v>
      </c>
      <c r="P7660" t="n">
        <v>0</v>
      </c>
      <c r="Q7660" t="n">
        <v>0</v>
      </c>
      <c r="R7660" s="2" t="inlineStr"/>
    </row>
    <row r="7661" ht="15" customHeight="1">
      <c r="A7661" t="inlineStr">
        <is>
          <t>A 33410-2023</t>
        </is>
      </c>
      <c r="B7661" s="1" t="n">
        <v>45117</v>
      </c>
      <c r="C7661" s="1" t="n">
        <v>45677</v>
      </c>
      <c r="D7661" t="inlineStr">
        <is>
          <t>GÄVLEBORGS LÄN</t>
        </is>
      </c>
      <c r="E7661" t="inlineStr">
        <is>
          <t>OVANÅKER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33411-2023</t>
        </is>
      </c>
      <c r="B7662" s="1" t="n">
        <v>45117</v>
      </c>
      <c r="C7662" s="1" t="n">
        <v>45677</v>
      </c>
      <c r="D7662" t="inlineStr">
        <is>
          <t>GÄVLEBORGS LÄN</t>
        </is>
      </c>
      <c r="E7662" t="inlineStr">
        <is>
          <t>OVANÅKER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31823-2023</t>
        </is>
      </c>
      <c r="B7663" s="1" t="n">
        <v>45118</v>
      </c>
      <c r="C7663" s="1" t="n">
        <v>45677</v>
      </c>
      <c r="D7663" t="inlineStr">
        <is>
          <t>GÄVLEBORGS LÄN</t>
        </is>
      </c>
      <c r="E7663" t="inlineStr">
        <is>
          <t>HOFORS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31876-2023</t>
        </is>
      </c>
      <c r="B7664" s="1" t="n">
        <v>45118</v>
      </c>
      <c r="C7664" s="1" t="n">
        <v>45677</v>
      </c>
      <c r="D7664" t="inlineStr">
        <is>
          <t>GÄVLEBORGS LÄN</t>
        </is>
      </c>
      <c r="E7664" t="inlineStr">
        <is>
          <t>HUDIKSVALL</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31892-2023</t>
        </is>
      </c>
      <c r="B7665" s="1" t="n">
        <v>45118</v>
      </c>
      <c r="C7665" s="1" t="n">
        <v>45677</v>
      </c>
      <c r="D7665" t="inlineStr">
        <is>
          <t>GÄVLEBORGS LÄN</t>
        </is>
      </c>
      <c r="E7665" t="inlineStr">
        <is>
          <t>LJUSDAL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31830-2023</t>
        </is>
      </c>
      <c r="B7666" s="1" t="n">
        <v>45118</v>
      </c>
      <c r="C7666" s="1" t="n">
        <v>45677</v>
      </c>
      <c r="D7666" t="inlineStr">
        <is>
          <t>GÄVLEBORGS LÄN</t>
        </is>
      </c>
      <c r="E7666" t="inlineStr">
        <is>
          <t>HUDIKSVALL</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31871-2023</t>
        </is>
      </c>
      <c r="B7667" s="1" t="n">
        <v>45118</v>
      </c>
      <c r="C7667" s="1" t="n">
        <v>45677</v>
      </c>
      <c r="D7667" t="inlineStr">
        <is>
          <t>GÄVLEBORGS LÄN</t>
        </is>
      </c>
      <c r="E7667" t="inlineStr">
        <is>
          <t>HOFORS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31875-2023</t>
        </is>
      </c>
      <c r="B7668" s="1" t="n">
        <v>45118</v>
      </c>
      <c r="C7668" s="1" t="n">
        <v>45677</v>
      </c>
      <c r="D7668" t="inlineStr">
        <is>
          <t>GÄVLEBORGS LÄN</t>
        </is>
      </c>
      <c r="E7668" t="inlineStr">
        <is>
          <t>OVANÅKER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31890-2023</t>
        </is>
      </c>
      <c r="B7669" s="1" t="n">
        <v>45118</v>
      </c>
      <c r="C7669" s="1" t="n">
        <v>45677</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33485-2023</t>
        </is>
      </c>
      <c r="B7670" s="1" t="n">
        <v>45118</v>
      </c>
      <c r="C7670" s="1" t="n">
        <v>45677</v>
      </c>
      <c r="D7670" t="inlineStr">
        <is>
          <t>GÄVLEBORGS LÄN</t>
        </is>
      </c>
      <c r="E7670" t="inlineStr">
        <is>
          <t>HOFORS</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33483-2023</t>
        </is>
      </c>
      <c r="B7671" s="1" t="n">
        <v>45118</v>
      </c>
      <c r="C7671" s="1" t="n">
        <v>45677</v>
      </c>
      <c r="D7671" t="inlineStr">
        <is>
          <t>GÄVLEBORGS LÄN</t>
        </is>
      </c>
      <c r="E7671" t="inlineStr">
        <is>
          <t>HOFORS</t>
        </is>
      </c>
      <c r="F7671" t="inlineStr">
        <is>
          <t>Bergvik skog väst AB</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33495-2023</t>
        </is>
      </c>
      <c r="B7672" s="1" t="n">
        <v>45118</v>
      </c>
      <c r="C7672" s="1" t="n">
        <v>45677</v>
      </c>
      <c r="D7672" t="inlineStr">
        <is>
          <t>GÄVLEBORGS LÄN</t>
        </is>
      </c>
      <c r="E7672" t="inlineStr">
        <is>
          <t>HOFORS</t>
        </is>
      </c>
      <c r="F7672" t="inlineStr">
        <is>
          <t>Bergvik skog väst AB</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31982-2023</t>
        </is>
      </c>
      <c r="B7673" s="1" t="n">
        <v>45119</v>
      </c>
      <c r="C7673" s="1" t="n">
        <v>45677</v>
      </c>
      <c r="D7673" t="inlineStr">
        <is>
          <t>GÄVLEBORGS LÄN</t>
        </is>
      </c>
      <c r="E7673" t="inlineStr">
        <is>
          <t>HUDIKSVALL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31992-2023</t>
        </is>
      </c>
      <c r="B7674" s="1" t="n">
        <v>45119</v>
      </c>
      <c r="C7674" s="1" t="n">
        <v>45677</v>
      </c>
      <c r="D7674" t="inlineStr">
        <is>
          <t>GÄVLEBORGS LÄN</t>
        </is>
      </c>
      <c r="E7674" t="inlineStr">
        <is>
          <t>LJUSDAL</t>
        </is>
      </c>
      <c r="F7674" t="inlineStr">
        <is>
          <t>Bergvik skog väst AB</t>
        </is>
      </c>
      <c r="G7674" t="n">
        <v>14.2</v>
      </c>
      <c r="H7674" t="n">
        <v>0</v>
      </c>
      <c r="I7674" t="n">
        <v>0</v>
      </c>
      <c r="J7674" t="n">
        <v>0</v>
      </c>
      <c r="K7674" t="n">
        <v>0</v>
      </c>
      <c r="L7674" t="n">
        <v>0</v>
      </c>
      <c r="M7674" t="n">
        <v>0</v>
      </c>
      <c r="N7674" t="n">
        <v>0</v>
      </c>
      <c r="O7674" t="n">
        <v>0</v>
      </c>
      <c r="P7674" t="n">
        <v>0</v>
      </c>
      <c r="Q7674" t="n">
        <v>0</v>
      </c>
      <c r="R7674" s="2" t="inlineStr"/>
    </row>
    <row r="7675" ht="15" customHeight="1">
      <c r="A7675" t="inlineStr">
        <is>
          <t>A 31976-2023</t>
        </is>
      </c>
      <c r="B7675" s="1" t="n">
        <v>45119</v>
      </c>
      <c r="C7675" s="1" t="n">
        <v>45677</v>
      </c>
      <c r="D7675" t="inlineStr">
        <is>
          <t>GÄVLEBORGS LÄN</t>
        </is>
      </c>
      <c r="E7675" t="inlineStr">
        <is>
          <t>LJUSDAL</t>
        </is>
      </c>
      <c r="F7675" t="inlineStr">
        <is>
          <t>Bergvik skog väst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31990-2023</t>
        </is>
      </c>
      <c r="B7676" s="1" t="n">
        <v>45119</v>
      </c>
      <c r="C7676" s="1" t="n">
        <v>45677</v>
      </c>
      <c r="D7676" t="inlineStr">
        <is>
          <t>GÄVLEBORGS LÄN</t>
        </is>
      </c>
      <c r="E7676" t="inlineStr">
        <is>
          <t>HUDIKSVALL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32098-2023</t>
        </is>
      </c>
      <c r="B7677" s="1" t="n">
        <v>45119</v>
      </c>
      <c r="C7677" s="1" t="n">
        <v>45677</v>
      </c>
      <c r="D7677" t="inlineStr">
        <is>
          <t>GÄVLEBORGS LÄN</t>
        </is>
      </c>
      <c r="E7677" t="inlineStr">
        <is>
          <t>LJUSDAL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32062-2023</t>
        </is>
      </c>
      <c r="B7678" s="1" t="n">
        <v>45119</v>
      </c>
      <c r="C7678" s="1" t="n">
        <v>45677</v>
      </c>
      <c r="D7678" t="inlineStr">
        <is>
          <t>GÄVLEBORGS LÄN</t>
        </is>
      </c>
      <c r="E7678" t="inlineStr">
        <is>
          <t>BOLLNÄS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32148-2023</t>
        </is>
      </c>
      <c r="B7679" s="1" t="n">
        <v>45119</v>
      </c>
      <c r="C7679" s="1" t="n">
        <v>45677</v>
      </c>
      <c r="D7679" t="inlineStr">
        <is>
          <t>GÄVLEBORGS LÄN</t>
        </is>
      </c>
      <c r="E7679" t="inlineStr">
        <is>
          <t>LJUSDAL</t>
        </is>
      </c>
      <c r="F7679" t="inlineStr">
        <is>
          <t>Bergvik skog väst AB</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31999-2023</t>
        </is>
      </c>
      <c r="B7680" s="1" t="n">
        <v>45119</v>
      </c>
      <c r="C7680" s="1" t="n">
        <v>45677</v>
      </c>
      <c r="D7680" t="inlineStr">
        <is>
          <t>GÄVLEBORGS LÄN</t>
        </is>
      </c>
      <c r="E7680" t="inlineStr">
        <is>
          <t>HUDIKSVALL</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32005-2023</t>
        </is>
      </c>
      <c r="B7681" s="1" t="n">
        <v>45119</v>
      </c>
      <c r="C7681" s="1" t="n">
        <v>45677</v>
      </c>
      <c r="D7681" t="inlineStr">
        <is>
          <t>GÄVLEBORGS LÄN</t>
        </is>
      </c>
      <c r="E7681" t="inlineStr">
        <is>
          <t>LJUSDAL</t>
        </is>
      </c>
      <c r="F7681" t="inlineStr">
        <is>
          <t>Bergvik skog väst AB</t>
        </is>
      </c>
      <c r="G7681" t="n">
        <v>17.7</v>
      </c>
      <c r="H7681" t="n">
        <v>0</v>
      </c>
      <c r="I7681" t="n">
        <v>0</v>
      </c>
      <c r="J7681" t="n">
        <v>0</v>
      </c>
      <c r="K7681" t="n">
        <v>0</v>
      </c>
      <c r="L7681" t="n">
        <v>0</v>
      </c>
      <c r="M7681" t="n">
        <v>0</v>
      </c>
      <c r="N7681" t="n">
        <v>0</v>
      </c>
      <c r="O7681" t="n">
        <v>0</v>
      </c>
      <c r="P7681" t="n">
        <v>0</v>
      </c>
      <c r="Q7681" t="n">
        <v>0</v>
      </c>
      <c r="R7681" s="2" t="inlineStr"/>
    </row>
    <row r="7682" ht="15" customHeight="1">
      <c r="A7682" t="inlineStr">
        <is>
          <t>A 32028-2023</t>
        </is>
      </c>
      <c r="B7682" s="1" t="n">
        <v>45119</v>
      </c>
      <c r="C7682" s="1" t="n">
        <v>45677</v>
      </c>
      <c r="D7682" t="inlineStr">
        <is>
          <t>GÄVLEBORGS LÄN</t>
        </is>
      </c>
      <c r="E7682" t="inlineStr">
        <is>
          <t>SANDVIKEN</t>
        </is>
      </c>
      <c r="F7682" t="inlineStr">
        <is>
          <t>Bergvik skog öst AB</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32056-2023</t>
        </is>
      </c>
      <c r="B7683" s="1" t="n">
        <v>45119</v>
      </c>
      <c r="C7683" s="1" t="n">
        <v>45677</v>
      </c>
      <c r="D7683" t="inlineStr">
        <is>
          <t>GÄVLEBORGS LÄN</t>
        </is>
      </c>
      <c r="E7683" t="inlineStr">
        <is>
          <t>BOLLNÄS</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32151-2023</t>
        </is>
      </c>
      <c r="B7684" s="1" t="n">
        <v>45119</v>
      </c>
      <c r="C7684" s="1" t="n">
        <v>45677</v>
      </c>
      <c r="D7684" t="inlineStr">
        <is>
          <t>GÄVLEBORGS LÄN</t>
        </is>
      </c>
      <c r="E7684" t="inlineStr">
        <is>
          <t>LJUSDAL</t>
        </is>
      </c>
      <c r="F7684" t="inlineStr">
        <is>
          <t>Bergvik skog väst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32017-2023</t>
        </is>
      </c>
      <c r="B7685" s="1" t="n">
        <v>45119</v>
      </c>
      <c r="C7685" s="1" t="n">
        <v>45677</v>
      </c>
      <c r="D7685" t="inlineStr">
        <is>
          <t>GÄVLEBORGS LÄN</t>
        </is>
      </c>
      <c r="E7685" t="inlineStr">
        <is>
          <t>LJUSDAL</t>
        </is>
      </c>
      <c r="F7685" t="inlineStr">
        <is>
          <t>Bergvik skog väst AB</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32130-2023</t>
        </is>
      </c>
      <c r="B7686" s="1" t="n">
        <v>45119</v>
      </c>
      <c r="C7686" s="1" t="n">
        <v>45677</v>
      </c>
      <c r="D7686" t="inlineStr">
        <is>
          <t>GÄVLEBORGS LÄN</t>
        </is>
      </c>
      <c r="E7686" t="inlineStr">
        <is>
          <t>LJUSDAL</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32150-2023</t>
        </is>
      </c>
      <c r="B7687" s="1" t="n">
        <v>45119</v>
      </c>
      <c r="C7687" s="1" t="n">
        <v>45677</v>
      </c>
      <c r="D7687" t="inlineStr">
        <is>
          <t>GÄVLEBORGS LÄN</t>
        </is>
      </c>
      <c r="E7687" t="inlineStr">
        <is>
          <t>BOLLNÄS</t>
        </is>
      </c>
      <c r="F7687" t="inlineStr">
        <is>
          <t>Bergvik skog väst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32309-2023</t>
        </is>
      </c>
      <c r="B7688" s="1" t="n">
        <v>45120</v>
      </c>
      <c r="C7688" s="1" t="n">
        <v>45677</v>
      </c>
      <c r="D7688" t="inlineStr">
        <is>
          <t>GÄVLEBORGS LÄN</t>
        </is>
      </c>
      <c r="E7688" t="inlineStr">
        <is>
          <t>BOLLNÄS</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32318-2023</t>
        </is>
      </c>
      <c r="B7689" s="1" t="n">
        <v>45120</v>
      </c>
      <c r="C7689" s="1" t="n">
        <v>45677</v>
      </c>
      <c r="D7689" t="inlineStr">
        <is>
          <t>GÄVLEBORGS LÄN</t>
        </is>
      </c>
      <c r="E7689" t="inlineStr">
        <is>
          <t>OVANÅKER</t>
        </is>
      </c>
      <c r="F7689" t="inlineStr">
        <is>
          <t>Bergvik skog öst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32330-2023</t>
        </is>
      </c>
      <c r="B7690" s="1" t="n">
        <v>45120</v>
      </c>
      <c r="C7690" s="1" t="n">
        <v>45677</v>
      </c>
      <c r="D7690" t="inlineStr">
        <is>
          <t>GÄVLEBORGS LÄN</t>
        </is>
      </c>
      <c r="E7690" t="inlineStr">
        <is>
          <t>OVANÅKER</t>
        </is>
      </c>
      <c r="F7690" t="inlineStr">
        <is>
          <t>Bergvik skog öst AB</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32258-2023</t>
        </is>
      </c>
      <c r="B7691" s="1" t="n">
        <v>45120</v>
      </c>
      <c r="C7691" s="1" t="n">
        <v>45677</v>
      </c>
      <c r="D7691" t="inlineStr">
        <is>
          <t>GÄVLEBORGS LÄN</t>
        </is>
      </c>
      <c r="E7691" t="inlineStr">
        <is>
          <t>SANDVIKEN</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32313-2023</t>
        </is>
      </c>
      <c r="B7692" s="1" t="n">
        <v>45120</v>
      </c>
      <c r="C7692" s="1" t="n">
        <v>45677</v>
      </c>
      <c r="D7692" t="inlineStr">
        <is>
          <t>GÄVLEBORGS LÄN</t>
        </is>
      </c>
      <c r="E7692" t="inlineStr">
        <is>
          <t>NORDANSTIG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32324-2023</t>
        </is>
      </c>
      <c r="B7693" s="1" t="n">
        <v>45120</v>
      </c>
      <c r="C7693" s="1" t="n">
        <v>45677</v>
      </c>
      <c r="D7693" t="inlineStr">
        <is>
          <t>GÄVLEBORGS LÄN</t>
        </is>
      </c>
      <c r="E7693" t="inlineStr">
        <is>
          <t>OCKELBO</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32365-2023</t>
        </is>
      </c>
      <c r="B7694" s="1" t="n">
        <v>45120</v>
      </c>
      <c r="C7694" s="1" t="n">
        <v>45677</v>
      </c>
      <c r="D7694" t="inlineStr">
        <is>
          <t>GÄVLEBORGS LÄN</t>
        </is>
      </c>
      <c r="E7694" t="inlineStr">
        <is>
          <t>LJUSDAL</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32255-2023</t>
        </is>
      </c>
      <c r="B7695" s="1" t="n">
        <v>45120</v>
      </c>
      <c r="C7695" s="1" t="n">
        <v>45677</v>
      </c>
      <c r="D7695" t="inlineStr">
        <is>
          <t>GÄVLEBORGS LÄN</t>
        </is>
      </c>
      <c r="E7695" t="inlineStr">
        <is>
          <t>GÄVLE</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32260-2023</t>
        </is>
      </c>
      <c r="B7696" s="1" t="n">
        <v>45120</v>
      </c>
      <c r="C7696" s="1" t="n">
        <v>45677</v>
      </c>
      <c r="D7696" t="inlineStr">
        <is>
          <t>GÄVLEBORGS LÄN</t>
        </is>
      </c>
      <c r="E7696" t="inlineStr">
        <is>
          <t>SANDVIKEN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32265-2023</t>
        </is>
      </c>
      <c r="B7697" s="1" t="n">
        <v>45120</v>
      </c>
      <c r="C7697" s="1" t="n">
        <v>45677</v>
      </c>
      <c r="D7697" t="inlineStr">
        <is>
          <t>GÄVLEBORGS LÄN</t>
        </is>
      </c>
      <c r="E7697" t="inlineStr">
        <is>
          <t>OVANÅKER</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32333-2023</t>
        </is>
      </c>
      <c r="B7698" s="1" t="n">
        <v>45120</v>
      </c>
      <c r="C7698" s="1" t="n">
        <v>45677</v>
      </c>
      <c r="D7698" t="inlineStr">
        <is>
          <t>GÄVLEBORGS LÄN</t>
        </is>
      </c>
      <c r="E7698" t="inlineStr">
        <is>
          <t>OVANÅKER</t>
        </is>
      </c>
      <c r="F7698" t="inlineStr">
        <is>
          <t>Bergvik skog öst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32306-2023</t>
        </is>
      </c>
      <c r="B7699" s="1" t="n">
        <v>45120</v>
      </c>
      <c r="C7699" s="1" t="n">
        <v>45677</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32310-2023</t>
        </is>
      </c>
      <c r="B7700" s="1" t="n">
        <v>45120</v>
      </c>
      <c r="C7700" s="1" t="n">
        <v>45677</v>
      </c>
      <c r="D7700" t="inlineStr">
        <is>
          <t>GÄVLEBORGS LÄN</t>
        </is>
      </c>
      <c r="E7700" t="inlineStr">
        <is>
          <t>OVANÅKER</t>
        </is>
      </c>
      <c r="F7700" t="inlineStr">
        <is>
          <t>Bergvik skog öst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32315-2023</t>
        </is>
      </c>
      <c r="B7701" s="1" t="n">
        <v>45120</v>
      </c>
      <c r="C7701" s="1" t="n">
        <v>45677</v>
      </c>
      <c r="D7701" t="inlineStr">
        <is>
          <t>GÄVLEBORGS LÄN</t>
        </is>
      </c>
      <c r="E7701" t="inlineStr">
        <is>
          <t>NORDANSTIG</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32353-2023</t>
        </is>
      </c>
      <c r="B7702" s="1" t="n">
        <v>45120</v>
      </c>
      <c r="C7702" s="1" t="n">
        <v>45677</v>
      </c>
      <c r="D7702" t="inlineStr">
        <is>
          <t>GÄVLEBORGS LÄN</t>
        </is>
      </c>
      <c r="E7702" t="inlineStr">
        <is>
          <t>GÄVLE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32335-2023</t>
        </is>
      </c>
      <c r="B7703" s="1" t="n">
        <v>45120</v>
      </c>
      <c r="C7703" s="1" t="n">
        <v>45677</v>
      </c>
      <c r="D7703" t="inlineStr">
        <is>
          <t>GÄVLEBORGS LÄN</t>
        </is>
      </c>
      <c r="E7703" t="inlineStr">
        <is>
          <t>LJUSDAL</t>
        </is>
      </c>
      <c r="F7703" t="inlineStr">
        <is>
          <t>Holmen skog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32339-2023</t>
        </is>
      </c>
      <c r="B7704" s="1" t="n">
        <v>45120</v>
      </c>
      <c r="C7704" s="1" t="n">
        <v>45677</v>
      </c>
      <c r="D7704" t="inlineStr">
        <is>
          <t>GÄVLEBORGS LÄN</t>
        </is>
      </c>
      <c r="E7704" t="inlineStr">
        <is>
          <t>SANDVIKEN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32470-2023</t>
        </is>
      </c>
      <c r="B7705" s="1" t="n">
        <v>45121</v>
      </c>
      <c r="C7705" s="1" t="n">
        <v>45677</v>
      </c>
      <c r="D7705" t="inlineStr">
        <is>
          <t>GÄVLEBORGS LÄN</t>
        </is>
      </c>
      <c r="E7705" t="inlineStr">
        <is>
          <t>NORDANSTIG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32471-2023</t>
        </is>
      </c>
      <c r="B7706" s="1" t="n">
        <v>45121</v>
      </c>
      <c r="C7706" s="1" t="n">
        <v>45677</v>
      </c>
      <c r="D7706" t="inlineStr">
        <is>
          <t>GÄVLEBORGS LÄN</t>
        </is>
      </c>
      <c r="E7706" t="inlineStr">
        <is>
          <t>NORDANSTIG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32581-2023</t>
        </is>
      </c>
      <c r="B7707" s="1" t="n">
        <v>45121</v>
      </c>
      <c r="C7707" s="1" t="n">
        <v>45677</v>
      </c>
      <c r="D7707" t="inlineStr">
        <is>
          <t>GÄVLEBORGS LÄN</t>
        </is>
      </c>
      <c r="E7707" t="inlineStr">
        <is>
          <t>LJUSDAL</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32659-2023</t>
        </is>
      </c>
      <c r="B7708" s="1" t="n">
        <v>45121</v>
      </c>
      <c r="C7708" s="1" t="n">
        <v>45677</v>
      </c>
      <c r="D7708" t="inlineStr">
        <is>
          <t>GÄVLEBORGS LÄN</t>
        </is>
      </c>
      <c r="E7708" t="inlineStr">
        <is>
          <t>HUDIKSVALL</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32520-2023</t>
        </is>
      </c>
      <c r="B7709" s="1" t="n">
        <v>45121</v>
      </c>
      <c r="C7709" s="1" t="n">
        <v>45677</v>
      </c>
      <c r="D7709" t="inlineStr">
        <is>
          <t>GÄVLEBORGS LÄN</t>
        </is>
      </c>
      <c r="E7709" t="inlineStr">
        <is>
          <t>SANDVIKEN</t>
        </is>
      </c>
      <c r="F7709" t="inlineStr">
        <is>
          <t>Bergvik skog öst AB</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32667-2023</t>
        </is>
      </c>
      <c r="B7710" s="1" t="n">
        <v>45121</v>
      </c>
      <c r="C7710" s="1" t="n">
        <v>45677</v>
      </c>
      <c r="D7710" t="inlineStr">
        <is>
          <t>GÄVLEBORGS LÄN</t>
        </is>
      </c>
      <c r="E7710" t="inlineStr">
        <is>
          <t>OCKELBO</t>
        </is>
      </c>
      <c r="F7710" t="inlineStr">
        <is>
          <t>Bergvik skog väst AB</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32652-2023</t>
        </is>
      </c>
      <c r="B7711" s="1" t="n">
        <v>45121</v>
      </c>
      <c r="C7711" s="1" t="n">
        <v>45677</v>
      </c>
      <c r="D7711" t="inlineStr">
        <is>
          <t>GÄVLEBORGS LÄN</t>
        </is>
      </c>
      <c r="E7711" t="inlineStr">
        <is>
          <t>NORDANSTIG</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32722-2023</t>
        </is>
      </c>
      <c r="B7712" s="1" t="n">
        <v>45122</v>
      </c>
      <c r="C7712" s="1" t="n">
        <v>45677</v>
      </c>
      <c r="D7712" t="inlineStr">
        <is>
          <t>GÄVLEBORGS LÄN</t>
        </is>
      </c>
      <c r="E7712" t="inlineStr">
        <is>
          <t>NORDANSTIG</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32548-2023</t>
        </is>
      </c>
      <c r="B7713" s="1" t="n">
        <v>45121</v>
      </c>
      <c r="C7713" s="1" t="n">
        <v>45677</v>
      </c>
      <c r="D7713" t="inlineStr">
        <is>
          <t>GÄVLEBORGS LÄN</t>
        </is>
      </c>
      <c r="E7713" t="inlineStr">
        <is>
          <t>BOLLNÄS</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32597-2023</t>
        </is>
      </c>
      <c r="B7714" s="1" t="n">
        <v>45121</v>
      </c>
      <c r="C7714" s="1" t="n">
        <v>45677</v>
      </c>
      <c r="D7714" t="inlineStr">
        <is>
          <t>GÄVLEBORGS LÄN</t>
        </is>
      </c>
      <c r="E7714" t="inlineStr">
        <is>
          <t>LJUSDAL</t>
        </is>
      </c>
      <c r="F7714" t="inlineStr">
        <is>
          <t>Allmännings- och besparingsskogar</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32609-2023</t>
        </is>
      </c>
      <c r="B7715" s="1" t="n">
        <v>45121</v>
      </c>
      <c r="C7715" s="1" t="n">
        <v>45677</v>
      </c>
      <c r="D7715" t="inlineStr">
        <is>
          <t>GÄVLEBORGS LÄN</t>
        </is>
      </c>
      <c r="E7715" t="inlineStr">
        <is>
          <t>SANDVIKEN</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32748-2023</t>
        </is>
      </c>
      <c r="B7716" s="1" t="n">
        <v>45122</v>
      </c>
      <c r="C7716" s="1" t="n">
        <v>45677</v>
      </c>
      <c r="D7716" t="inlineStr">
        <is>
          <t>GÄVLEBORGS LÄN</t>
        </is>
      </c>
      <c r="E7716" t="inlineStr">
        <is>
          <t>HUDIKSVALL</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32754-2023</t>
        </is>
      </c>
      <c r="B7717" s="1" t="n">
        <v>45123</v>
      </c>
      <c r="C7717" s="1" t="n">
        <v>45677</v>
      </c>
      <c r="D7717" t="inlineStr">
        <is>
          <t>GÄVLEBORGS LÄN</t>
        </is>
      </c>
      <c r="E7717" t="inlineStr">
        <is>
          <t>BOLLNÄS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34040-2023</t>
        </is>
      </c>
      <c r="B7718" s="1" t="n">
        <v>45124</v>
      </c>
      <c r="C7718" s="1" t="n">
        <v>45677</v>
      </c>
      <c r="D7718" t="inlineStr">
        <is>
          <t>GÄVLEBORGS LÄN</t>
        </is>
      </c>
      <c r="E7718" t="inlineStr">
        <is>
          <t>LJUSDAL</t>
        </is>
      </c>
      <c r="F7718" t="inlineStr">
        <is>
          <t>SCA</t>
        </is>
      </c>
      <c r="G7718" t="n">
        <v>18.4</v>
      </c>
      <c r="H7718" t="n">
        <v>0</v>
      </c>
      <c r="I7718" t="n">
        <v>0</v>
      </c>
      <c r="J7718" t="n">
        <v>0</v>
      </c>
      <c r="K7718" t="n">
        <v>0</v>
      </c>
      <c r="L7718" t="n">
        <v>0</v>
      </c>
      <c r="M7718" t="n">
        <v>0</v>
      </c>
      <c r="N7718" t="n">
        <v>0</v>
      </c>
      <c r="O7718" t="n">
        <v>0</v>
      </c>
      <c r="P7718" t="n">
        <v>0</v>
      </c>
      <c r="Q7718" t="n">
        <v>0</v>
      </c>
      <c r="R7718" s="2" t="inlineStr"/>
    </row>
    <row r="7719" ht="15" customHeight="1">
      <c r="A7719" t="inlineStr">
        <is>
          <t>A 32827-2023</t>
        </is>
      </c>
      <c r="B7719" s="1" t="n">
        <v>45124</v>
      </c>
      <c r="C7719" s="1" t="n">
        <v>45677</v>
      </c>
      <c r="D7719" t="inlineStr">
        <is>
          <t>GÄVLEBORGS LÄN</t>
        </is>
      </c>
      <c r="E7719" t="inlineStr">
        <is>
          <t>NORDANSTIG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33959-2023</t>
        </is>
      </c>
      <c r="B7720" s="1" t="n">
        <v>45124</v>
      </c>
      <c r="C7720" s="1" t="n">
        <v>45677</v>
      </c>
      <c r="D7720" t="inlineStr">
        <is>
          <t>GÄVLEBORGS LÄN</t>
        </is>
      </c>
      <c r="E7720" t="inlineStr">
        <is>
          <t>HUDIKSVALL</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32923-2023</t>
        </is>
      </c>
      <c r="B7721" s="1" t="n">
        <v>45125</v>
      </c>
      <c r="C7721" s="1" t="n">
        <v>45677</v>
      </c>
      <c r="D7721" t="inlineStr">
        <is>
          <t>GÄVLEBORGS LÄN</t>
        </is>
      </c>
      <c r="E7721" t="inlineStr">
        <is>
          <t>NORDANSTIG</t>
        </is>
      </c>
      <c r="F7721" t="inlineStr">
        <is>
          <t>Holmen skog AB</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32943-2023</t>
        </is>
      </c>
      <c r="B7722" s="1" t="n">
        <v>45125</v>
      </c>
      <c r="C7722" s="1" t="n">
        <v>45677</v>
      </c>
      <c r="D7722" t="inlineStr">
        <is>
          <t>GÄVLEBORGS LÄN</t>
        </is>
      </c>
      <c r="E7722" t="inlineStr">
        <is>
          <t>LJUSDAL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32920-2023</t>
        </is>
      </c>
      <c r="B7723" s="1" t="n">
        <v>45125</v>
      </c>
      <c r="C7723" s="1" t="n">
        <v>45677</v>
      </c>
      <c r="D7723" t="inlineStr">
        <is>
          <t>GÄVLEBORGS LÄN</t>
        </is>
      </c>
      <c r="E7723" t="inlineStr">
        <is>
          <t>LJUSDAL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32924-2023</t>
        </is>
      </c>
      <c r="B7724" s="1" t="n">
        <v>45125</v>
      </c>
      <c r="C7724" s="1" t="n">
        <v>45677</v>
      </c>
      <c r="D7724" t="inlineStr">
        <is>
          <t>GÄVLEBORGS LÄN</t>
        </is>
      </c>
      <c r="E7724" t="inlineStr">
        <is>
          <t>LJUSDAL</t>
        </is>
      </c>
      <c r="F7724" t="inlineStr">
        <is>
          <t>Holmen skog AB</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32980-2023</t>
        </is>
      </c>
      <c r="B7725" s="1" t="n">
        <v>45125</v>
      </c>
      <c r="C7725" s="1" t="n">
        <v>45677</v>
      </c>
      <c r="D7725" t="inlineStr">
        <is>
          <t>GÄVLEBORGS LÄN</t>
        </is>
      </c>
      <c r="E7725" t="inlineStr">
        <is>
          <t>HOFORS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32986-2023</t>
        </is>
      </c>
      <c r="B7726" s="1" t="n">
        <v>45125</v>
      </c>
      <c r="C7726" s="1" t="n">
        <v>45677</v>
      </c>
      <c r="D7726" t="inlineStr">
        <is>
          <t>GÄVLEBORGS LÄN</t>
        </is>
      </c>
      <c r="E7726" t="inlineStr">
        <is>
          <t>LJUSDAL</t>
        </is>
      </c>
      <c r="F7726" t="inlineStr">
        <is>
          <t>Allmännings- och besparingsskogar</t>
        </is>
      </c>
      <c r="G7726" t="n">
        <v>15.1</v>
      </c>
      <c r="H7726" t="n">
        <v>0</v>
      </c>
      <c r="I7726" t="n">
        <v>0</v>
      </c>
      <c r="J7726" t="n">
        <v>0</v>
      </c>
      <c r="K7726" t="n">
        <v>0</v>
      </c>
      <c r="L7726" t="n">
        <v>0</v>
      </c>
      <c r="M7726" t="n">
        <v>0</v>
      </c>
      <c r="N7726" t="n">
        <v>0</v>
      </c>
      <c r="O7726" t="n">
        <v>0</v>
      </c>
      <c r="P7726" t="n">
        <v>0</v>
      </c>
      <c r="Q7726" t="n">
        <v>0</v>
      </c>
      <c r="R7726" s="2" t="inlineStr"/>
    </row>
    <row r="7727" ht="15" customHeight="1">
      <c r="A7727" t="inlineStr">
        <is>
          <t>A 33015-2023</t>
        </is>
      </c>
      <c r="B7727" s="1" t="n">
        <v>45125</v>
      </c>
      <c r="C7727" s="1" t="n">
        <v>45677</v>
      </c>
      <c r="D7727" t="inlineStr">
        <is>
          <t>GÄVLEBORGS LÄN</t>
        </is>
      </c>
      <c r="E7727" t="inlineStr">
        <is>
          <t>GÄVLE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32925-2023</t>
        </is>
      </c>
      <c r="B7728" s="1" t="n">
        <v>45125</v>
      </c>
      <c r="C7728" s="1" t="n">
        <v>45677</v>
      </c>
      <c r="D7728" t="inlineStr">
        <is>
          <t>GÄVLEBORGS LÄN</t>
        </is>
      </c>
      <c r="E7728" t="inlineStr">
        <is>
          <t>NORDANSTIG</t>
        </is>
      </c>
      <c r="F7728" t="inlineStr">
        <is>
          <t>Holmen skog AB</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32941-2023</t>
        </is>
      </c>
      <c r="B7729" s="1" t="n">
        <v>45125</v>
      </c>
      <c r="C7729" s="1" t="n">
        <v>45677</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32918-2023</t>
        </is>
      </c>
      <c r="B7730" s="1" t="n">
        <v>45125</v>
      </c>
      <c r="C7730" s="1" t="n">
        <v>45677</v>
      </c>
      <c r="D7730" t="inlineStr">
        <is>
          <t>GÄVLEBORGS LÄN</t>
        </is>
      </c>
      <c r="E7730" t="inlineStr">
        <is>
          <t>LJUSDAL</t>
        </is>
      </c>
      <c r="F7730" t="inlineStr">
        <is>
          <t>Holmen skog AB</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32922-2023</t>
        </is>
      </c>
      <c r="B7731" s="1" t="n">
        <v>45125</v>
      </c>
      <c r="C7731" s="1" t="n">
        <v>45677</v>
      </c>
      <c r="D7731" t="inlineStr">
        <is>
          <t>GÄVLEBORGS LÄN</t>
        </is>
      </c>
      <c r="E7731" t="inlineStr">
        <is>
          <t>LJUSDAL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32947-2023</t>
        </is>
      </c>
      <c r="B7732" s="1" t="n">
        <v>45125</v>
      </c>
      <c r="C7732" s="1" t="n">
        <v>45677</v>
      </c>
      <c r="D7732" t="inlineStr">
        <is>
          <t>GÄVLEBORGS LÄN</t>
        </is>
      </c>
      <c r="E7732" t="inlineStr">
        <is>
          <t>LJUSDAL</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33137-2023</t>
        </is>
      </c>
      <c r="B7733" s="1" t="n">
        <v>45126</v>
      </c>
      <c r="C7733" s="1" t="n">
        <v>45677</v>
      </c>
      <c r="D7733" t="inlineStr">
        <is>
          <t>GÄVLEBORGS LÄN</t>
        </is>
      </c>
      <c r="E7733" t="inlineStr">
        <is>
          <t>SANDVIKEN</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33133-2023</t>
        </is>
      </c>
      <c r="B7734" s="1" t="n">
        <v>45126</v>
      </c>
      <c r="C7734" s="1" t="n">
        <v>45677</v>
      </c>
      <c r="D7734" t="inlineStr">
        <is>
          <t>GÄVLEBORGS LÄN</t>
        </is>
      </c>
      <c r="E7734" t="inlineStr">
        <is>
          <t>SANDVIKEN</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33136-2023</t>
        </is>
      </c>
      <c r="B7735" s="1" t="n">
        <v>45126</v>
      </c>
      <c r="C7735" s="1" t="n">
        <v>45677</v>
      </c>
      <c r="D7735" t="inlineStr">
        <is>
          <t>GÄVLEBORGS LÄN</t>
        </is>
      </c>
      <c r="E7735" t="inlineStr">
        <is>
          <t>SANDVIKEN</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33200-2023</t>
        </is>
      </c>
      <c r="B7736" s="1" t="n">
        <v>45127</v>
      </c>
      <c r="C7736" s="1" t="n">
        <v>45677</v>
      </c>
      <c r="D7736" t="inlineStr">
        <is>
          <t>GÄVLEBORGS LÄN</t>
        </is>
      </c>
      <c r="E7736" t="inlineStr">
        <is>
          <t>LJUSDAL</t>
        </is>
      </c>
      <c r="F7736" t="inlineStr">
        <is>
          <t>Bergvik skog väst AB</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33225-2023</t>
        </is>
      </c>
      <c r="B7737" s="1" t="n">
        <v>45127</v>
      </c>
      <c r="C7737" s="1" t="n">
        <v>45677</v>
      </c>
      <c r="D7737" t="inlineStr">
        <is>
          <t>GÄVLEBORGS LÄN</t>
        </is>
      </c>
      <c r="E7737" t="inlineStr">
        <is>
          <t>OVANÅKER</t>
        </is>
      </c>
      <c r="F7737" t="inlineStr">
        <is>
          <t>Bergvik skog öst AB</t>
        </is>
      </c>
      <c r="G7737" t="n">
        <v>19.8</v>
      </c>
      <c r="H7737" t="n">
        <v>0</v>
      </c>
      <c r="I7737" t="n">
        <v>0</v>
      </c>
      <c r="J7737" t="n">
        <v>0</v>
      </c>
      <c r="K7737" t="n">
        <v>0</v>
      </c>
      <c r="L7737" t="n">
        <v>0</v>
      </c>
      <c r="M7737" t="n">
        <v>0</v>
      </c>
      <c r="N7737" t="n">
        <v>0</v>
      </c>
      <c r="O7737" t="n">
        <v>0</v>
      </c>
      <c r="P7737" t="n">
        <v>0</v>
      </c>
      <c r="Q7737" t="n">
        <v>0</v>
      </c>
      <c r="R7737" s="2" t="inlineStr"/>
    </row>
    <row r="7738" ht="15" customHeight="1">
      <c r="A7738" t="inlineStr">
        <is>
          <t>A 33198-2023</t>
        </is>
      </c>
      <c r="B7738" s="1" t="n">
        <v>45127</v>
      </c>
      <c r="C7738" s="1" t="n">
        <v>45677</v>
      </c>
      <c r="D7738" t="inlineStr">
        <is>
          <t>GÄVLEBORGS LÄN</t>
        </is>
      </c>
      <c r="E7738" t="inlineStr">
        <is>
          <t>LJUSDAL</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33199-2023</t>
        </is>
      </c>
      <c r="B7739" s="1" t="n">
        <v>45127</v>
      </c>
      <c r="C7739" s="1" t="n">
        <v>45677</v>
      </c>
      <c r="D7739" t="inlineStr">
        <is>
          <t>GÄVLEBORGS LÄN</t>
        </is>
      </c>
      <c r="E7739" t="inlineStr">
        <is>
          <t>LJUSDAL</t>
        </is>
      </c>
      <c r="F7739" t="inlineStr">
        <is>
          <t>Bergvik skog väst AB</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33193-2023</t>
        </is>
      </c>
      <c r="B7740" s="1" t="n">
        <v>45127</v>
      </c>
      <c r="C7740" s="1" t="n">
        <v>45677</v>
      </c>
      <c r="D7740" t="inlineStr">
        <is>
          <t>GÄVLEBORGS LÄN</t>
        </is>
      </c>
      <c r="E7740" t="inlineStr">
        <is>
          <t>LJUSDAL</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33231-2023</t>
        </is>
      </c>
      <c r="B7741" s="1" t="n">
        <v>45127</v>
      </c>
      <c r="C7741" s="1" t="n">
        <v>45677</v>
      </c>
      <c r="D7741" t="inlineStr">
        <is>
          <t>GÄVLEBORGS LÄN</t>
        </is>
      </c>
      <c r="E7741" t="inlineStr">
        <is>
          <t>OVANÅKER</t>
        </is>
      </c>
      <c r="F7741" t="inlineStr">
        <is>
          <t>Bergvik skog öst AB</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33296-2023</t>
        </is>
      </c>
      <c r="B7742" s="1" t="n">
        <v>45127</v>
      </c>
      <c r="C7742" s="1" t="n">
        <v>45677</v>
      </c>
      <c r="D7742" t="inlineStr">
        <is>
          <t>GÄVLEBORGS LÄN</t>
        </is>
      </c>
      <c r="E7742" t="inlineStr">
        <is>
          <t>HOFORS</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34228-2023</t>
        </is>
      </c>
      <c r="B7743" s="1" t="n">
        <v>45127</v>
      </c>
      <c r="C7743" s="1" t="n">
        <v>45677</v>
      </c>
      <c r="D7743" t="inlineStr">
        <is>
          <t>GÄVLEBORGS LÄN</t>
        </is>
      </c>
      <c r="E7743" t="inlineStr">
        <is>
          <t>LJUSDAL</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34232-2023</t>
        </is>
      </c>
      <c r="B7744" s="1" t="n">
        <v>45127</v>
      </c>
      <c r="C7744" s="1" t="n">
        <v>45677</v>
      </c>
      <c r="D7744" t="inlineStr">
        <is>
          <t>GÄVLEBORGS LÄN</t>
        </is>
      </c>
      <c r="E7744" t="inlineStr">
        <is>
          <t>HOFORS</t>
        </is>
      </c>
      <c r="F7744" t="inlineStr">
        <is>
          <t>Bergvik skog väst AB</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33381-2023</t>
        </is>
      </c>
      <c r="B7745" s="1" t="n">
        <v>45128</v>
      </c>
      <c r="C7745" s="1" t="n">
        <v>45677</v>
      </c>
      <c r="D7745" t="inlineStr">
        <is>
          <t>GÄVLEBORGS LÄN</t>
        </is>
      </c>
      <c r="E7745" t="inlineStr">
        <is>
          <t>OCKELBO</t>
        </is>
      </c>
      <c r="F7745" t="inlineStr">
        <is>
          <t>Bergvik skog väst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33493-2023</t>
        </is>
      </c>
      <c r="B7746" s="1" t="n">
        <v>45131</v>
      </c>
      <c r="C7746" s="1" t="n">
        <v>45677</v>
      </c>
      <c r="D7746" t="inlineStr">
        <is>
          <t>GÄVLEBORGS LÄN</t>
        </is>
      </c>
      <c r="E7746" t="inlineStr">
        <is>
          <t>LJUSDAL</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33478-2023</t>
        </is>
      </c>
      <c r="B7747" s="1" t="n">
        <v>45131</v>
      </c>
      <c r="C7747" s="1" t="n">
        <v>45677</v>
      </c>
      <c r="D7747" t="inlineStr">
        <is>
          <t>GÄVLEBORGS LÄN</t>
        </is>
      </c>
      <c r="E7747" t="inlineStr">
        <is>
          <t>NORDANSTIG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33583-2023</t>
        </is>
      </c>
      <c r="B7748" s="1" t="n">
        <v>45132</v>
      </c>
      <c r="C7748" s="1" t="n">
        <v>45677</v>
      </c>
      <c r="D7748" t="inlineStr">
        <is>
          <t>GÄVLEBORGS LÄN</t>
        </is>
      </c>
      <c r="E7748" t="inlineStr">
        <is>
          <t>SÖDERHAMN</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33593-2023</t>
        </is>
      </c>
      <c r="B7749" s="1" t="n">
        <v>45132</v>
      </c>
      <c r="C7749" s="1" t="n">
        <v>45677</v>
      </c>
      <c r="D7749" t="inlineStr">
        <is>
          <t>GÄVLEBORGS LÄN</t>
        </is>
      </c>
      <c r="E7749" t="inlineStr">
        <is>
          <t>BOLLNÄS</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33614-2023</t>
        </is>
      </c>
      <c r="B7750" s="1" t="n">
        <v>45132</v>
      </c>
      <c r="C7750" s="1" t="n">
        <v>45677</v>
      </c>
      <c r="D7750" t="inlineStr">
        <is>
          <t>GÄVLEBORGS LÄN</t>
        </is>
      </c>
      <c r="E7750" t="inlineStr">
        <is>
          <t>NORDANSTIG</t>
        </is>
      </c>
      <c r="F7750" t="inlineStr">
        <is>
          <t>Holmen skog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33617-2023</t>
        </is>
      </c>
      <c r="B7751" s="1" t="n">
        <v>45132</v>
      </c>
      <c r="C7751" s="1" t="n">
        <v>45677</v>
      </c>
      <c r="D7751" t="inlineStr">
        <is>
          <t>GÄVLEBORGS LÄN</t>
        </is>
      </c>
      <c r="E7751" t="inlineStr">
        <is>
          <t>OCKELBO</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33688-2023</t>
        </is>
      </c>
      <c r="B7752" s="1" t="n">
        <v>45132</v>
      </c>
      <c r="C7752" s="1" t="n">
        <v>45677</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33704-2023</t>
        </is>
      </c>
      <c r="B7753" s="1" t="n">
        <v>45132</v>
      </c>
      <c r="C7753" s="1" t="n">
        <v>45677</v>
      </c>
      <c r="D7753" t="inlineStr">
        <is>
          <t>GÄVLEBORGS LÄN</t>
        </is>
      </c>
      <c r="E7753" t="inlineStr">
        <is>
          <t>HUDIKSVALL</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33748-2023</t>
        </is>
      </c>
      <c r="B7754" s="1" t="n">
        <v>45133</v>
      </c>
      <c r="C7754" s="1" t="n">
        <v>45677</v>
      </c>
      <c r="D7754" t="inlineStr">
        <is>
          <t>GÄVLEBORGS LÄN</t>
        </is>
      </c>
      <c r="E7754" t="inlineStr">
        <is>
          <t>OVANÅKER</t>
        </is>
      </c>
      <c r="F7754" t="inlineStr">
        <is>
          <t>Bergvik skog väst AB</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33786-2023</t>
        </is>
      </c>
      <c r="B7755" s="1" t="n">
        <v>45133</v>
      </c>
      <c r="C7755" s="1" t="n">
        <v>45677</v>
      </c>
      <c r="D7755" t="inlineStr">
        <is>
          <t>GÄVLEBORGS LÄN</t>
        </is>
      </c>
      <c r="E7755" t="inlineStr">
        <is>
          <t>GÄVLE</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33802-2023</t>
        </is>
      </c>
      <c r="B7756" s="1" t="n">
        <v>45133</v>
      </c>
      <c r="C7756" s="1" t="n">
        <v>45677</v>
      </c>
      <c r="D7756" t="inlineStr">
        <is>
          <t>GÄVLEBORGS LÄN</t>
        </is>
      </c>
      <c r="E7756" t="inlineStr">
        <is>
          <t>LJUSDAL</t>
        </is>
      </c>
      <c r="F7756" t="inlineStr">
        <is>
          <t>Bergvik skog väst AB</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33784-2023</t>
        </is>
      </c>
      <c r="B7757" s="1" t="n">
        <v>45133</v>
      </c>
      <c r="C7757" s="1" t="n">
        <v>45677</v>
      </c>
      <c r="D7757" t="inlineStr">
        <is>
          <t>GÄVLEBORGS LÄN</t>
        </is>
      </c>
      <c r="E7757" t="inlineStr">
        <is>
          <t>GÄVLE</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33790-2023</t>
        </is>
      </c>
      <c r="B7758" s="1" t="n">
        <v>45133</v>
      </c>
      <c r="C7758" s="1" t="n">
        <v>45677</v>
      </c>
      <c r="D7758" t="inlineStr">
        <is>
          <t>GÄVLEBORGS LÄN</t>
        </is>
      </c>
      <c r="E7758" t="inlineStr">
        <is>
          <t>GÄVLE</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33749-2023</t>
        </is>
      </c>
      <c r="B7759" s="1" t="n">
        <v>45133</v>
      </c>
      <c r="C7759" s="1" t="n">
        <v>45677</v>
      </c>
      <c r="D7759" t="inlineStr">
        <is>
          <t>GÄVLEBORGS LÄN</t>
        </is>
      </c>
      <c r="E7759" t="inlineStr">
        <is>
          <t>OVANÅKER</t>
        </is>
      </c>
      <c r="F7759" t="inlineStr">
        <is>
          <t>Bergvik skog väst AB</t>
        </is>
      </c>
      <c r="G7759" t="n">
        <v>12.3</v>
      </c>
      <c r="H7759" t="n">
        <v>0</v>
      </c>
      <c r="I7759" t="n">
        <v>0</v>
      </c>
      <c r="J7759" t="n">
        <v>0</v>
      </c>
      <c r="K7759" t="n">
        <v>0</v>
      </c>
      <c r="L7759" t="n">
        <v>0</v>
      </c>
      <c r="M7759" t="n">
        <v>0</v>
      </c>
      <c r="N7759" t="n">
        <v>0</v>
      </c>
      <c r="O7759" t="n">
        <v>0</v>
      </c>
      <c r="P7759" t="n">
        <v>0</v>
      </c>
      <c r="Q7759" t="n">
        <v>0</v>
      </c>
      <c r="R7759" s="2" t="inlineStr"/>
    </row>
    <row r="7760" ht="15" customHeight="1">
      <c r="A7760" t="inlineStr">
        <is>
          <t>A 33766-2023</t>
        </is>
      </c>
      <c r="B7760" s="1" t="n">
        <v>45133</v>
      </c>
      <c r="C7760" s="1" t="n">
        <v>45677</v>
      </c>
      <c r="D7760" t="inlineStr">
        <is>
          <t>GÄVLEBORGS LÄN</t>
        </is>
      </c>
      <c r="E7760" t="inlineStr">
        <is>
          <t>LJUSDAL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33819-2023</t>
        </is>
      </c>
      <c r="B7761" s="1" t="n">
        <v>45133</v>
      </c>
      <c r="C7761" s="1" t="n">
        <v>45677</v>
      </c>
      <c r="D7761" t="inlineStr">
        <is>
          <t>GÄVLEBORGS LÄN</t>
        </is>
      </c>
      <c r="E7761" t="inlineStr">
        <is>
          <t>LJUSDAL</t>
        </is>
      </c>
      <c r="F7761" t="inlineStr">
        <is>
          <t>Holmen skog AB</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33853-2023</t>
        </is>
      </c>
      <c r="B7762" s="1" t="n">
        <v>45133</v>
      </c>
      <c r="C7762" s="1" t="n">
        <v>45677</v>
      </c>
      <c r="D7762" t="inlineStr">
        <is>
          <t>GÄVLEBORGS LÄN</t>
        </is>
      </c>
      <c r="E7762" t="inlineStr">
        <is>
          <t>SANDVIKEN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33850-2023</t>
        </is>
      </c>
      <c r="B7763" s="1" t="n">
        <v>45133</v>
      </c>
      <c r="C7763" s="1" t="n">
        <v>45677</v>
      </c>
      <c r="D7763" t="inlineStr">
        <is>
          <t>GÄVLEBORGS LÄN</t>
        </is>
      </c>
      <c r="E7763" t="inlineStr">
        <is>
          <t>LJUSDAL</t>
        </is>
      </c>
      <c r="F7763" t="inlineStr">
        <is>
          <t>Holmen skog AB</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33795-2023</t>
        </is>
      </c>
      <c r="B7764" s="1" t="n">
        <v>45133</v>
      </c>
      <c r="C7764" s="1" t="n">
        <v>45677</v>
      </c>
      <c r="D7764" t="inlineStr">
        <is>
          <t>GÄVLEBORGS LÄN</t>
        </is>
      </c>
      <c r="E7764" t="inlineStr">
        <is>
          <t>LJUSDAL</t>
        </is>
      </c>
      <c r="F7764" t="inlineStr">
        <is>
          <t>Bergvik skog väst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33881-2023</t>
        </is>
      </c>
      <c r="B7765" s="1" t="n">
        <v>45134</v>
      </c>
      <c r="C7765" s="1" t="n">
        <v>45677</v>
      </c>
      <c r="D7765" t="inlineStr">
        <is>
          <t>GÄVLEBORGS LÄN</t>
        </is>
      </c>
      <c r="E7765" t="inlineStr">
        <is>
          <t>OCKELBO</t>
        </is>
      </c>
      <c r="F7765" t="inlineStr">
        <is>
          <t>Bergvik skog väst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33880-2023</t>
        </is>
      </c>
      <c r="B7766" s="1" t="n">
        <v>45134</v>
      </c>
      <c r="C7766" s="1" t="n">
        <v>45677</v>
      </c>
      <c r="D7766" t="inlineStr">
        <is>
          <t>GÄVLEBORGS LÄN</t>
        </is>
      </c>
      <c r="E7766" t="inlineStr">
        <is>
          <t>OCKELBO</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33882-2023</t>
        </is>
      </c>
      <c r="B7767" s="1" t="n">
        <v>45134</v>
      </c>
      <c r="C7767" s="1" t="n">
        <v>45677</v>
      </c>
      <c r="D7767" t="inlineStr">
        <is>
          <t>GÄVLEBORGS LÄN</t>
        </is>
      </c>
      <c r="E7767" t="inlineStr">
        <is>
          <t>OCKELBO</t>
        </is>
      </c>
      <c r="F7767" t="inlineStr">
        <is>
          <t>Bergvik skog väst AB</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33895-2023</t>
        </is>
      </c>
      <c r="B7768" s="1" t="n">
        <v>45134</v>
      </c>
      <c r="C7768" s="1" t="n">
        <v>45677</v>
      </c>
      <c r="D7768" t="inlineStr">
        <is>
          <t>GÄVLEBORGS LÄN</t>
        </is>
      </c>
      <c r="E7768" t="inlineStr">
        <is>
          <t>OCKELBO</t>
        </is>
      </c>
      <c r="G7768" t="n">
        <v>12.6</v>
      </c>
      <c r="H7768" t="n">
        <v>0</v>
      </c>
      <c r="I7768" t="n">
        <v>0</v>
      </c>
      <c r="J7768" t="n">
        <v>0</v>
      </c>
      <c r="K7768" t="n">
        <v>0</v>
      </c>
      <c r="L7768" t="n">
        <v>0</v>
      </c>
      <c r="M7768" t="n">
        <v>0</v>
      </c>
      <c r="N7768" t="n">
        <v>0</v>
      </c>
      <c r="O7768" t="n">
        <v>0</v>
      </c>
      <c r="P7768" t="n">
        <v>0</v>
      </c>
      <c r="Q7768" t="n">
        <v>0</v>
      </c>
      <c r="R7768" s="2" t="inlineStr"/>
    </row>
    <row r="7769" ht="15" customHeight="1">
      <c r="A7769" t="inlineStr">
        <is>
          <t>A 33879-2023</t>
        </is>
      </c>
      <c r="B7769" s="1" t="n">
        <v>45134</v>
      </c>
      <c r="C7769" s="1" t="n">
        <v>45677</v>
      </c>
      <c r="D7769" t="inlineStr">
        <is>
          <t>GÄVLEBORGS LÄN</t>
        </is>
      </c>
      <c r="E7769" t="inlineStr">
        <is>
          <t>OCKELBO</t>
        </is>
      </c>
      <c r="F7769" t="inlineStr">
        <is>
          <t>Bergvik skog väst AB</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33928-2023</t>
        </is>
      </c>
      <c r="B7770" s="1" t="n">
        <v>45134</v>
      </c>
      <c r="C7770" s="1" t="n">
        <v>45677</v>
      </c>
      <c r="D7770" t="inlineStr">
        <is>
          <t>GÄVLEBORGS LÄN</t>
        </is>
      </c>
      <c r="E7770" t="inlineStr">
        <is>
          <t>SÖDERHAMN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33985-2023</t>
        </is>
      </c>
      <c r="B7771" s="1" t="n">
        <v>45134</v>
      </c>
      <c r="C7771" s="1" t="n">
        <v>45677</v>
      </c>
      <c r="D7771" t="inlineStr">
        <is>
          <t>GÄVLEBORGS LÄN</t>
        </is>
      </c>
      <c r="E7771" t="inlineStr">
        <is>
          <t>OCKELBO</t>
        </is>
      </c>
      <c r="F7771" t="inlineStr">
        <is>
          <t>Bergvik skog väst AB</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33986-2023</t>
        </is>
      </c>
      <c r="B7772" s="1" t="n">
        <v>45134</v>
      </c>
      <c r="C7772" s="1" t="n">
        <v>45677</v>
      </c>
      <c r="D7772" t="inlineStr">
        <is>
          <t>GÄVLEBORGS LÄN</t>
        </is>
      </c>
      <c r="E7772" t="inlineStr">
        <is>
          <t>OCKELBO</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33987-2023</t>
        </is>
      </c>
      <c r="B7773" s="1" t="n">
        <v>45134</v>
      </c>
      <c r="C7773" s="1" t="n">
        <v>45677</v>
      </c>
      <c r="D7773" t="inlineStr">
        <is>
          <t>GÄVLEBORGS LÄN</t>
        </is>
      </c>
      <c r="E7773" t="inlineStr">
        <is>
          <t>OCKELBO</t>
        </is>
      </c>
      <c r="F7773" t="inlineStr">
        <is>
          <t>Bergvik skog väst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34088-2023</t>
        </is>
      </c>
      <c r="B7774" s="1" t="n">
        <v>45135</v>
      </c>
      <c r="C7774" s="1" t="n">
        <v>45677</v>
      </c>
      <c r="D7774" t="inlineStr">
        <is>
          <t>GÄVLEBORGS LÄN</t>
        </is>
      </c>
      <c r="E7774" t="inlineStr">
        <is>
          <t>LJUSDAL</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34094-2023</t>
        </is>
      </c>
      <c r="B7775" s="1" t="n">
        <v>45135</v>
      </c>
      <c r="C7775" s="1" t="n">
        <v>45677</v>
      </c>
      <c r="D7775" t="inlineStr">
        <is>
          <t>GÄVLEBORGS LÄN</t>
        </is>
      </c>
      <c r="E7775" t="inlineStr">
        <is>
          <t>LJUSDAL</t>
        </is>
      </c>
      <c r="F7775" t="inlineStr">
        <is>
          <t>Holmen skog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34103-2023</t>
        </is>
      </c>
      <c r="B7776" s="1" t="n">
        <v>45135</v>
      </c>
      <c r="C7776" s="1" t="n">
        <v>45677</v>
      </c>
      <c r="D7776" t="inlineStr">
        <is>
          <t>GÄVLEBORGS LÄN</t>
        </is>
      </c>
      <c r="E7776" t="inlineStr">
        <is>
          <t>LJUSDAL</t>
        </is>
      </c>
      <c r="F7776" t="inlineStr">
        <is>
          <t>Holmen skog AB</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34110-2023</t>
        </is>
      </c>
      <c r="B7777" s="1" t="n">
        <v>45135</v>
      </c>
      <c r="C7777" s="1" t="n">
        <v>45677</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34113-2023</t>
        </is>
      </c>
      <c r="B7778" s="1" t="n">
        <v>45135</v>
      </c>
      <c r="C7778" s="1" t="n">
        <v>45677</v>
      </c>
      <c r="D7778" t="inlineStr">
        <is>
          <t>GÄVLEBORGS LÄN</t>
        </is>
      </c>
      <c r="E7778" t="inlineStr">
        <is>
          <t>LJUSDAL</t>
        </is>
      </c>
      <c r="F7778" t="inlineStr">
        <is>
          <t>Holmen skog AB</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34235-2023</t>
        </is>
      </c>
      <c r="B7779" s="1" t="n">
        <v>45138</v>
      </c>
      <c r="C7779" s="1" t="n">
        <v>45677</v>
      </c>
      <c r="D7779" t="inlineStr">
        <is>
          <t>GÄVLEBORGS LÄN</t>
        </is>
      </c>
      <c r="E7779" t="inlineStr">
        <is>
          <t>GÄVLE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34217-2023</t>
        </is>
      </c>
      <c r="B7780" s="1" t="n">
        <v>45138</v>
      </c>
      <c r="C7780" s="1" t="n">
        <v>45677</v>
      </c>
      <c r="D7780" t="inlineStr">
        <is>
          <t>GÄVLEBORGS LÄN</t>
        </is>
      </c>
      <c r="E7780" t="inlineStr">
        <is>
          <t>HOFORS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34242-2023</t>
        </is>
      </c>
      <c r="B7781" s="1" t="n">
        <v>45138</v>
      </c>
      <c r="C7781" s="1" t="n">
        <v>45677</v>
      </c>
      <c r="D7781" t="inlineStr">
        <is>
          <t>GÄVLEBORGS LÄN</t>
        </is>
      </c>
      <c r="E7781" t="inlineStr">
        <is>
          <t>HOFORS</t>
        </is>
      </c>
      <c r="F7781" t="inlineStr">
        <is>
          <t>Sveaskog</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34246-2023</t>
        </is>
      </c>
      <c r="B7782" s="1" t="n">
        <v>45138</v>
      </c>
      <c r="C7782" s="1" t="n">
        <v>45677</v>
      </c>
      <c r="D7782" t="inlineStr">
        <is>
          <t>GÄVLEBORGS LÄN</t>
        </is>
      </c>
      <c r="E7782" t="inlineStr">
        <is>
          <t>HOFORS</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34168-2023</t>
        </is>
      </c>
      <c r="B7783" s="1" t="n">
        <v>45138</v>
      </c>
      <c r="C7783" s="1" t="n">
        <v>45677</v>
      </c>
      <c r="D7783" t="inlineStr">
        <is>
          <t>GÄVLEBORGS LÄN</t>
        </is>
      </c>
      <c r="E7783" t="inlineStr">
        <is>
          <t>LJUSDAL</t>
        </is>
      </c>
      <c r="F7783" t="inlineStr">
        <is>
          <t>Allmännings- och besparingsskogar</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34245-2023</t>
        </is>
      </c>
      <c r="B7784" s="1" t="n">
        <v>45138</v>
      </c>
      <c r="C7784" s="1" t="n">
        <v>45677</v>
      </c>
      <c r="D7784" t="inlineStr">
        <is>
          <t>GÄVLEBORGS LÄN</t>
        </is>
      </c>
      <c r="E7784" t="inlineStr">
        <is>
          <t>HOFORS</t>
        </is>
      </c>
      <c r="F7784" t="inlineStr">
        <is>
          <t>Sveaskog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34233-2023</t>
        </is>
      </c>
      <c r="B7785" s="1" t="n">
        <v>45138</v>
      </c>
      <c r="C7785" s="1" t="n">
        <v>45677</v>
      </c>
      <c r="D7785" t="inlineStr">
        <is>
          <t>GÄVLEBORGS LÄN</t>
        </is>
      </c>
      <c r="E7785" t="inlineStr">
        <is>
          <t>GÄVLE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34247-2023</t>
        </is>
      </c>
      <c r="B7786" s="1" t="n">
        <v>45138</v>
      </c>
      <c r="C7786" s="1" t="n">
        <v>45677</v>
      </c>
      <c r="D7786" t="inlineStr">
        <is>
          <t>GÄVLEBORGS LÄN</t>
        </is>
      </c>
      <c r="E7786" t="inlineStr">
        <is>
          <t>HOFORS</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34302-2023</t>
        </is>
      </c>
      <c r="B7787" s="1" t="n">
        <v>45138</v>
      </c>
      <c r="C7787" s="1" t="n">
        <v>45677</v>
      </c>
      <c r="D7787" t="inlineStr">
        <is>
          <t>GÄVLEBORGS LÄN</t>
        </is>
      </c>
      <c r="E7787" t="inlineStr">
        <is>
          <t>BOLLNÄS</t>
        </is>
      </c>
      <c r="G7787" t="n">
        <v>22.3</v>
      </c>
      <c r="H7787" t="n">
        <v>0</v>
      </c>
      <c r="I7787" t="n">
        <v>0</v>
      </c>
      <c r="J7787" t="n">
        <v>0</v>
      </c>
      <c r="K7787" t="n">
        <v>0</v>
      </c>
      <c r="L7787" t="n">
        <v>0</v>
      </c>
      <c r="M7787" t="n">
        <v>0</v>
      </c>
      <c r="N7787" t="n">
        <v>0</v>
      </c>
      <c r="O7787" t="n">
        <v>0</v>
      </c>
      <c r="P7787" t="n">
        <v>0</v>
      </c>
      <c r="Q7787" t="n">
        <v>0</v>
      </c>
      <c r="R7787" s="2" t="inlineStr"/>
    </row>
    <row r="7788" ht="15" customHeight="1">
      <c r="A7788" t="inlineStr">
        <is>
          <t>A 34303-2023</t>
        </is>
      </c>
      <c r="B7788" s="1" t="n">
        <v>45138</v>
      </c>
      <c r="C7788" s="1" t="n">
        <v>45677</v>
      </c>
      <c r="D7788" t="inlineStr">
        <is>
          <t>GÄVLEBORGS LÄN</t>
        </is>
      </c>
      <c r="E7788" t="inlineStr">
        <is>
          <t>BOLLNÄS</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34339-2023</t>
        </is>
      </c>
      <c r="B7789" s="1" t="n">
        <v>45139</v>
      </c>
      <c r="C7789" s="1" t="n">
        <v>45677</v>
      </c>
      <c r="D7789" t="inlineStr">
        <is>
          <t>GÄVLEBORGS LÄN</t>
        </is>
      </c>
      <c r="E7789" t="inlineStr">
        <is>
          <t>NORDANSTIG</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34363-2023</t>
        </is>
      </c>
      <c r="B7790" s="1" t="n">
        <v>45139</v>
      </c>
      <c r="C7790" s="1" t="n">
        <v>45677</v>
      </c>
      <c r="D7790" t="inlineStr">
        <is>
          <t>GÄVLEBORGS LÄN</t>
        </is>
      </c>
      <c r="E7790" t="inlineStr">
        <is>
          <t>LJUSDAL</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34338-2023</t>
        </is>
      </c>
      <c r="B7791" s="1" t="n">
        <v>45139</v>
      </c>
      <c r="C7791" s="1" t="n">
        <v>45677</v>
      </c>
      <c r="D7791" t="inlineStr">
        <is>
          <t>GÄVLEBORGS LÄN</t>
        </is>
      </c>
      <c r="E7791" t="inlineStr">
        <is>
          <t>OVANÅKER</t>
        </is>
      </c>
      <c r="F7791" t="inlineStr">
        <is>
          <t>Bergvik skog väst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34440-2023</t>
        </is>
      </c>
      <c r="B7792" s="1" t="n">
        <v>45139</v>
      </c>
      <c r="C7792" s="1" t="n">
        <v>45677</v>
      </c>
      <c r="D7792" t="inlineStr">
        <is>
          <t>GÄVLEBORGS LÄN</t>
        </is>
      </c>
      <c r="E7792" t="inlineStr">
        <is>
          <t>OCKELBO</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34444-2023</t>
        </is>
      </c>
      <c r="B7793" s="1" t="n">
        <v>45139</v>
      </c>
      <c r="C7793" s="1" t="n">
        <v>45677</v>
      </c>
      <c r="D7793" t="inlineStr">
        <is>
          <t>GÄVLEBORGS LÄN</t>
        </is>
      </c>
      <c r="E7793" t="inlineStr">
        <is>
          <t>OCKELBO</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34449-2023</t>
        </is>
      </c>
      <c r="B7794" s="1" t="n">
        <v>45139</v>
      </c>
      <c r="C7794" s="1" t="n">
        <v>45677</v>
      </c>
      <c r="D7794" t="inlineStr">
        <is>
          <t>GÄVLEBORGS LÄN</t>
        </is>
      </c>
      <c r="E7794" t="inlineStr">
        <is>
          <t>OCKELBO</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34499-2023</t>
        </is>
      </c>
      <c r="B7795" s="1" t="n">
        <v>45140</v>
      </c>
      <c r="C7795" s="1" t="n">
        <v>45677</v>
      </c>
      <c r="D7795" t="inlineStr">
        <is>
          <t>GÄVLEBORGS LÄN</t>
        </is>
      </c>
      <c r="E7795" t="inlineStr">
        <is>
          <t>NORDANSTIG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34560-2023</t>
        </is>
      </c>
      <c r="B7796" s="1" t="n">
        <v>45140</v>
      </c>
      <c r="C7796" s="1" t="n">
        <v>45677</v>
      </c>
      <c r="D7796" t="inlineStr">
        <is>
          <t>GÄVLEBORGS LÄN</t>
        </is>
      </c>
      <c r="E7796" t="inlineStr">
        <is>
          <t>NORDANSTIG</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34523-2023</t>
        </is>
      </c>
      <c r="B7797" s="1" t="n">
        <v>45140</v>
      </c>
      <c r="C7797" s="1" t="n">
        <v>45677</v>
      </c>
      <c r="D7797" t="inlineStr">
        <is>
          <t>GÄVLEBORGS LÄN</t>
        </is>
      </c>
      <c r="E7797" t="inlineStr">
        <is>
          <t>BOLLNÄS</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34557-2023</t>
        </is>
      </c>
      <c r="B7798" s="1" t="n">
        <v>45140</v>
      </c>
      <c r="C7798" s="1" t="n">
        <v>45677</v>
      </c>
      <c r="D7798" t="inlineStr">
        <is>
          <t>GÄVLEBORGS LÄN</t>
        </is>
      </c>
      <c r="E7798" t="inlineStr">
        <is>
          <t>NORDANSTIG</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34757-2023</t>
        </is>
      </c>
      <c r="B7799" s="1" t="n">
        <v>45141</v>
      </c>
      <c r="C7799" s="1" t="n">
        <v>45677</v>
      </c>
      <c r="D7799" t="inlineStr">
        <is>
          <t>GÄVLEBORGS LÄN</t>
        </is>
      </c>
      <c r="E7799" t="inlineStr">
        <is>
          <t>HUDIKSVALL</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34790-2023</t>
        </is>
      </c>
      <c r="B7800" s="1" t="n">
        <v>45141</v>
      </c>
      <c r="C7800" s="1" t="n">
        <v>45677</v>
      </c>
      <c r="D7800" t="inlineStr">
        <is>
          <t>GÄVLEBORGS LÄN</t>
        </is>
      </c>
      <c r="E7800" t="inlineStr">
        <is>
          <t>GÄVLE</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34786-2023</t>
        </is>
      </c>
      <c r="B7801" s="1" t="n">
        <v>45141</v>
      </c>
      <c r="C7801" s="1" t="n">
        <v>45677</v>
      </c>
      <c r="D7801" t="inlineStr">
        <is>
          <t>GÄVLEBORGS LÄN</t>
        </is>
      </c>
      <c r="E7801" t="inlineStr">
        <is>
          <t>GÄVLE</t>
        </is>
      </c>
      <c r="G7801" t="n">
        <v>1.1</v>
      </c>
      <c r="H7801" t="n">
        <v>0</v>
      </c>
      <c r="I7801" t="n">
        <v>0</v>
      </c>
      <c r="J7801" t="n">
        <v>0</v>
      </c>
      <c r="K7801" t="n">
        <v>0</v>
      </c>
      <c r="L7801" t="n">
        <v>0</v>
      </c>
      <c r="M7801" t="n">
        <v>0</v>
      </c>
      <c r="N7801" t="n">
        <v>0</v>
      </c>
      <c r="O7801" t="n">
        <v>0</v>
      </c>
      <c r="P7801" t="n">
        <v>0</v>
      </c>
      <c r="Q7801" t="n">
        <v>0</v>
      </c>
      <c r="R7801" s="2" t="inlineStr"/>
      <c r="U7801">
        <f>HYPERLINK("https://klasma.github.io/Logging_2180/knärot/A 34786-2023 karta knärot.png", "A 34786-2023")</f>
        <v/>
      </c>
      <c r="V7801">
        <f>HYPERLINK("https://klasma.github.io/Logging_2180/klagomål/A 34786-2023 FSC-klagomål.docx", "A 34786-2023")</f>
        <v/>
      </c>
      <c r="W7801">
        <f>HYPERLINK("https://klasma.github.io/Logging_2180/klagomålsmail/A 34786-2023 FSC-klagomål mail.docx", "A 34786-2023")</f>
        <v/>
      </c>
      <c r="X7801">
        <f>HYPERLINK("https://klasma.github.io/Logging_2180/tillsyn/A 34786-2023 tillsynsbegäran.docx", "A 34786-2023")</f>
        <v/>
      </c>
      <c r="Y7801">
        <f>HYPERLINK("https://klasma.github.io/Logging_2180/tillsynsmail/A 34786-2023 tillsynsbegäran mail.docx", "A 34786-2023")</f>
        <v/>
      </c>
    </row>
    <row r="7802" ht="15" customHeight="1">
      <c r="A7802" t="inlineStr">
        <is>
          <t>A 34814-2023</t>
        </is>
      </c>
      <c r="B7802" s="1" t="n">
        <v>45141</v>
      </c>
      <c r="C7802" s="1" t="n">
        <v>45677</v>
      </c>
      <c r="D7802" t="inlineStr">
        <is>
          <t>GÄVLEBORGS LÄN</t>
        </is>
      </c>
      <c r="E7802" t="inlineStr">
        <is>
          <t>LJUSDAL</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34842-2023</t>
        </is>
      </c>
      <c r="B7803" s="1" t="n">
        <v>45142</v>
      </c>
      <c r="C7803" s="1" t="n">
        <v>45677</v>
      </c>
      <c r="D7803" t="inlineStr">
        <is>
          <t>GÄVLEBORGS LÄN</t>
        </is>
      </c>
      <c r="E7803" t="inlineStr">
        <is>
          <t>NORDANSTIG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34913-2023</t>
        </is>
      </c>
      <c r="B7804" s="1" t="n">
        <v>45142</v>
      </c>
      <c r="C7804" s="1" t="n">
        <v>45677</v>
      </c>
      <c r="D7804" t="inlineStr">
        <is>
          <t>GÄVLEBORGS LÄN</t>
        </is>
      </c>
      <c r="E7804" t="inlineStr">
        <is>
          <t>NORDANSTIG</t>
        </is>
      </c>
      <c r="F7804" t="inlineStr">
        <is>
          <t>Holmen skog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34918-2023</t>
        </is>
      </c>
      <c r="B7805" s="1" t="n">
        <v>45142</v>
      </c>
      <c r="C7805" s="1" t="n">
        <v>45677</v>
      </c>
      <c r="D7805" t="inlineStr">
        <is>
          <t>GÄVLEBORGS LÄN</t>
        </is>
      </c>
      <c r="E7805" t="inlineStr">
        <is>
          <t>NORDANSTIG</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34896-2023</t>
        </is>
      </c>
      <c r="B7806" s="1" t="n">
        <v>45142</v>
      </c>
      <c r="C7806" s="1" t="n">
        <v>45677</v>
      </c>
      <c r="D7806" t="inlineStr">
        <is>
          <t>GÄVLEBORGS LÄN</t>
        </is>
      </c>
      <c r="E7806" t="inlineStr">
        <is>
          <t>NORDANSTIG</t>
        </is>
      </c>
      <c r="F7806" t="inlineStr">
        <is>
          <t>Holmen skog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35001-2023</t>
        </is>
      </c>
      <c r="B7807" s="1" t="n">
        <v>45143</v>
      </c>
      <c r="C7807" s="1" t="n">
        <v>45677</v>
      </c>
      <c r="D7807" t="inlineStr">
        <is>
          <t>GÄVLEBORGS LÄN</t>
        </is>
      </c>
      <c r="E7807" t="inlineStr">
        <is>
          <t>HUDIKSVALL</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34974-2023</t>
        </is>
      </c>
      <c r="B7808" s="1" t="n">
        <v>45142</v>
      </c>
      <c r="C7808" s="1" t="n">
        <v>45677</v>
      </c>
      <c r="D7808" t="inlineStr">
        <is>
          <t>GÄVLEBORGS LÄN</t>
        </is>
      </c>
      <c r="E7808" t="inlineStr">
        <is>
          <t>LJUSDAL</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35002-2023</t>
        </is>
      </c>
      <c r="B7809" s="1" t="n">
        <v>45142</v>
      </c>
      <c r="C7809" s="1" t="n">
        <v>45677</v>
      </c>
      <c r="D7809" t="inlineStr">
        <is>
          <t>GÄVLEBORGS LÄN</t>
        </is>
      </c>
      <c r="E7809" t="inlineStr">
        <is>
          <t>HUDIKSVALL</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34973-2023</t>
        </is>
      </c>
      <c r="B7810" s="1" t="n">
        <v>45142</v>
      </c>
      <c r="C7810" s="1" t="n">
        <v>45677</v>
      </c>
      <c r="D7810" t="inlineStr">
        <is>
          <t>GÄVLEBORGS LÄN</t>
        </is>
      </c>
      <c r="E7810" t="inlineStr">
        <is>
          <t>NORDANSTIG</t>
        </is>
      </c>
      <c r="F7810" t="inlineStr">
        <is>
          <t>Holmen skog AB</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34978-2023</t>
        </is>
      </c>
      <c r="B7811" s="1" t="n">
        <v>45142</v>
      </c>
      <c r="C7811" s="1" t="n">
        <v>45677</v>
      </c>
      <c r="D7811" t="inlineStr">
        <is>
          <t>GÄVLEBORGS LÄN</t>
        </is>
      </c>
      <c r="E7811" t="inlineStr">
        <is>
          <t>NORDANSTIG</t>
        </is>
      </c>
      <c r="F7811" t="inlineStr">
        <is>
          <t>Holmen skog AB</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34982-2023</t>
        </is>
      </c>
      <c r="B7812" s="1" t="n">
        <v>45142</v>
      </c>
      <c r="C7812" s="1" t="n">
        <v>45677</v>
      </c>
      <c r="D7812" t="inlineStr">
        <is>
          <t>GÄVLEBORGS LÄN</t>
        </is>
      </c>
      <c r="E7812" t="inlineStr">
        <is>
          <t>NORDANSTIG</t>
        </is>
      </c>
      <c r="F7812" t="inlineStr">
        <is>
          <t>Holmen skog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35154-2023</t>
        </is>
      </c>
      <c r="B7813" s="1" t="n">
        <v>45145</v>
      </c>
      <c r="C7813" s="1" t="n">
        <v>45677</v>
      </c>
      <c r="D7813" t="inlineStr">
        <is>
          <t>GÄVLEBORGS LÄN</t>
        </is>
      </c>
      <c r="E7813" t="inlineStr">
        <is>
          <t>LJUSDAL</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35073-2023</t>
        </is>
      </c>
      <c r="B7814" s="1" t="n">
        <v>45145</v>
      </c>
      <c r="C7814" s="1" t="n">
        <v>45677</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35114-2023</t>
        </is>
      </c>
      <c r="B7815" s="1" t="n">
        <v>45145</v>
      </c>
      <c r="C7815" s="1" t="n">
        <v>45677</v>
      </c>
      <c r="D7815" t="inlineStr">
        <is>
          <t>GÄVLEBORGS LÄN</t>
        </is>
      </c>
      <c r="E7815" t="inlineStr">
        <is>
          <t>HOFORS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35118-2023</t>
        </is>
      </c>
      <c r="B7816" s="1" t="n">
        <v>45145</v>
      </c>
      <c r="C7816" s="1" t="n">
        <v>45677</v>
      </c>
      <c r="D7816" t="inlineStr">
        <is>
          <t>GÄVLEBORGS LÄN</t>
        </is>
      </c>
      <c r="E7816" t="inlineStr">
        <is>
          <t>HOFORS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35174-2023</t>
        </is>
      </c>
      <c r="B7817" s="1" t="n">
        <v>45145</v>
      </c>
      <c r="C7817" s="1" t="n">
        <v>45677</v>
      </c>
      <c r="D7817" t="inlineStr">
        <is>
          <t>GÄVLEBORGS LÄN</t>
        </is>
      </c>
      <c r="E7817" t="inlineStr">
        <is>
          <t>BOLLNÄS</t>
        </is>
      </c>
      <c r="F7817" t="inlineStr">
        <is>
          <t>Holmen skog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35182-2023</t>
        </is>
      </c>
      <c r="B7818" s="1" t="n">
        <v>45145</v>
      </c>
      <c r="C7818" s="1" t="n">
        <v>45677</v>
      </c>
      <c r="D7818" t="inlineStr">
        <is>
          <t>GÄVLEBORGS LÄN</t>
        </is>
      </c>
      <c r="E7818" t="inlineStr">
        <is>
          <t>BOLLNÄS</t>
        </is>
      </c>
      <c r="F7818" t="inlineStr">
        <is>
          <t>Holmen skog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35216-2023</t>
        </is>
      </c>
      <c r="B7819" s="1" t="n">
        <v>45145</v>
      </c>
      <c r="C7819" s="1" t="n">
        <v>45677</v>
      </c>
      <c r="D7819" t="inlineStr">
        <is>
          <t>GÄVLEBORGS LÄN</t>
        </is>
      </c>
      <c r="E7819" t="inlineStr">
        <is>
          <t>OVANÅKER</t>
        </is>
      </c>
      <c r="F7819" t="inlineStr">
        <is>
          <t>Bergvik skog väst AB</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35037-2023</t>
        </is>
      </c>
      <c r="B7820" s="1" t="n">
        <v>45145</v>
      </c>
      <c r="C7820" s="1" t="n">
        <v>45677</v>
      </c>
      <c r="D7820" t="inlineStr">
        <is>
          <t>GÄVLEBORGS LÄN</t>
        </is>
      </c>
      <c r="E7820" t="inlineStr">
        <is>
          <t>LJUSDAL</t>
        </is>
      </c>
      <c r="F7820" t="inlineStr">
        <is>
          <t>Holmen skog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35067-2023</t>
        </is>
      </c>
      <c r="B7821" s="1" t="n">
        <v>45145</v>
      </c>
      <c r="C7821" s="1" t="n">
        <v>45677</v>
      </c>
      <c r="D7821" t="inlineStr">
        <is>
          <t>GÄVLEBORGS LÄN</t>
        </is>
      </c>
      <c r="E7821" t="inlineStr">
        <is>
          <t>BOLLNÄS</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35107-2023</t>
        </is>
      </c>
      <c r="B7822" s="1" t="n">
        <v>45145</v>
      </c>
      <c r="C7822" s="1" t="n">
        <v>45677</v>
      </c>
      <c r="D7822" t="inlineStr">
        <is>
          <t>GÄVLEBORGS LÄN</t>
        </is>
      </c>
      <c r="E7822" t="inlineStr">
        <is>
          <t>HOFORS</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35164-2023</t>
        </is>
      </c>
      <c r="B7823" s="1" t="n">
        <v>45145</v>
      </c>
      <c r="C7823" s="1" t="n">
        <v>45677</v>
      </c>
      <c r="D7823" t="inlineStr">
        <is>
          <t>GÄVLEBORGS LÄN</t>
        </is>
      </c>
      <c r="E7823" t="inlineStr">
        <is>
          <t>HUDIKSVALL</t>
        </is>
      </c>
      <c r="F7823" t="inlineStr">
        <is>
          <t>Holmen skog AB</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35172-2023</t>
        </is>
      </c>
      <c r="B7824" s="1" t="n">
        <v>45145</v>
      </c>
      <c r="C7824" s="1" t="n">
        <v>45677</v>
      </c>
      <c r="D7824" t="inlineStr">
        <is>
          <t>GÄVLEBORGS LÄN</t>
        </is>
      </c>
      <c r="E7824" t="inlineStr">
        <is>
          <t>HUDIKSVALL</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35071-2023</t>
        </is>
      </c>
      <c r="B7825" s="1" t="n">
        <v>45145</v>
      </c>
      <c r="C7825" s="1" t="n">
        <v>45677</v>
      </c>
      <c r="D7825" t="inlineStr">
        <is>
          <t>GÄVLEBORGS LÄN</t>
        </is>
      </c>
      <c r="E7825" t="inlineStr">
        <is>
          <t>BOLLNÄS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35373-2023</t>
        </is>
      </c>
      <c r="B7826" s="1" t="n">
        <v>45145</v>
      </c>
      <c r="C7826" s="1" t="n">
        <v>45677</v>
      </c>
      <c r="D7826" t="inlineStr">
        <is>
          <t>GÄVLEBORGS LÄN</t>
        </is>
      </c>
      <c r="E7826" t="inlineStr">
        <is>
          <t>LJUSDAL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35136-2023</t>
        </is>
      </c>
      <c r="B7827" s="1" t="n">
        <v>45145</v>
      </c>
      <c r="C7827" s="1" t="n">
        <v>45677</v>
      </c>
      <c r="D7827" t="inlineStr">
        <is>
          <t>GÄVLEBORGS LÄN</t>
        </is>
      </c>
      <c r="E7827" t="inlineStr">
        <is>
          <t>HOFORS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35181-2023</t>
        </is>
      </c>
      <c r="B7828" s="1" t="n">
        <v>45145</v>
      </c>
      <c r="C7828" s="1" t="n">
        <v>45677</v>
      </c>
      <c r="D7828" t="inlineStr">
        <is>
          <t>GÄVLEBORGS LÄN</t>
        </is>
      </c>
      <c r="E7828" t="inlineStr">
        <is>
          <t>BOLLNÄS</t>
        </is>
      </c>
      <c r="F7828" t="inlineStr">
        <is>
          <t>Holmen skog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35222-2023</t>
        </is>
      </c>
      <c r="B7829" s="1" t="n">
        <v>45145</v>
      </c>
      <c r="C7829" s="1" t="n">
        <v>45677</v>
      </c>
      <c r="D7829" t="inlineStr">
        <is>
          <t>GÄVLEBORGS LÄN</t>
        </is>
      </c>
      <c r="E7829" t="inlineStr">
        <is>
          <t>OVANÅKER</t>
        </is>
      </c>
      <c r="F7829" t="inlineStr">
        <is>
          <t>Bergvik skog väst AB</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35303-2023</t>
        </is>
      </c>
      <c r="B7830" s="1" t="n">
        <v>45146</v>
      </c>
      <c r="C7830" s="1" t="n">
        <v>45677</v>
      </c>
      <c r="D7830" t="inlineStr">
        <is>
          <t>GÄVLEBORGS LÄN</t>
        </is>
      </c>
      <c r="E7830" t="inlineStr">
        <is>
          <t>HUDIKSVALL</t>
        </is>
      </c>
      <c r="F7830" t="inlineStr">
        <is>
          <t>Holmen skog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35304-2023</t>
        </is>
      </c>
      <c r="B7831" s="1" t="n">
        <v>45146</v>
      </c>
      <c r="C7831" s="1" t="n">
        <v>45677</v>
      </c>
      <c r="D7831" t="inlineStr">
        <is>
          <t>GÄVLEBORGS LÄN</t>
        </is>
      </c>
      <c r="E7831" t="inlineStr">
        <is>
          <t>HUDIKSVALL</t>
        </is>
      </c>
      <c r="F7831" t="inlineStr">
        <is>
          <t>Holmen skog AB</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35363-2023</t>
        </is>
      </c>
      <c r="B7832" s="1" t="n">
        <v>45146</v>
      </c>
      <c r="C7832" s="1" t="n">
        <v>45677</v>
      </c>
      <c r="D7832" t="inlineStr">
        <is>
          <t>GÄVLEBORGS LÄN</t>
        </is>
      </c>
      <c r="E7832" t="inlineStr">
        <is>
          <t>HOFORS</t>
        </is>
      </c>
      <c r="F7832" t="inlineStr">
        <is>
          <t>Sveaskog</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35335-2023</t>
        </is>
      </c>
      <c r="B7833" s="1" t="n">
        <v>45146</v>
      </c>
      <c r="C7833" s="1" t="n">
        <v>45677</v>
      </c>
      <c r="D7833" t="inlineStr">
        <is>
          <t>GÄVLEBORGS LÄN</t>
        </is>
      </c>
      <c r="E7833" t="inlineStr">
        <is>
          <t>NORDANSTIG</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35387-2023</t>
        </is>
      </c>
      <c r="B7834" s="1" t="n">
        <v>45146</v>
      </c>
      <c r="C7834" s="1" t="n">
        <v>45677</v>
      </c>
      <c r="D7834" t="inlineStr">
        <is>
          <t>GÄVLEBORGS LÄN</t>
        </is>
      </c>
      <c r="E7834" t="inlineStr">
        <is>
          <t>LJUSDAL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35419-2023</t>
        </is>
      </c>
      <c r="B7835" s="1" t="n">
        <v>45146</v>
      </c>
      <c r="C7835" s="1" t="n">
        <v>45677</v>
      </c>
      <c r="D7835" t="inlineStr">
        <is>
          <t>GÄVLEBORGS LÄN</t>
        </is>
      </c>
      <c r="E7835" t="inlineStr">
        <is>
          <t>BOLLNÄS</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35431-2023</t>
        </is>
      </c>
      <c r="B7836" s="1" t="n">
        <v>45146</v>
      </c>
      <c r="C7836" s="1" t="n">
        <v>45677</v>
      </c>
      <c r="D7836" t="inlineStr">
        <is>
          <t>GÄVLEBORGS LÄN</t>
        </is>
      </c>
      <c r="E7836" t="inlineStr">
        <is>
          <t>BOLLNÄS</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35365-2023</t>
        </is>
      </c>
      <c r="B7837" s="1" t="n">
        <v>45146</v>
      </c>
      <c r="C7837" s="1" t="n">
        <v>45677</v>
      </c>
      <c r="D7837" t="inlineStr">
        <is>
          <t>GÄVLEBORGS LÄN</t>
        </is>
      </c>
      <c r="E7837" t="inlineStr">
        <is>
          <t>HUDIKSVALL</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35302-2023</t>
        </is>
      </c>
      <c r="B7838" s="1" t="n">
        <v>45146</v>
      </c>
      <c r="C7838" s="1" t="n">
        <v>45677</v>
      </c>
      <c r="D7838" t="inlineStr">
        <is>
          <t>GÄVLEBORGS LÄN</t>
        </is>
      </c>
      <c r="E7838" t="inlineStr">
        <is>
          <t>HUDIKSVALL</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35442-2023</t>
        </is>
      </c>
      <c r="B7839" s="1" t="n">
        <v>45146</v>
      </c>
      <c r="C7839" s="1" t="n">
        <v>45677</v>
      </c>
      <c r="D7839" t="inlineStr">
        <is>
          <t>GÄVLEBORGS LÄN</t>
        </is>
      </c>
      <c r="E7839" t="inlineStr">
        <is>
          <t>HUDIKSVALL</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35440-2023</t>
        </is>
      </c>
      <c r="B7840" s="1" t="n">
        <v>45146</v>
      </c>
      <c r="C7840" s="1" t="n">
        <v>45677</v>
      </c>
      <c r="D7840" t="inlineStr">
        <is>
          <t>GÄVLEBORGS LÄN</t>
        </is>
      </c>
      <c r="E7840" t="inlineStr">
        <is>
          <t>GÄVLE</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35448-2023</t>
        </is>
      </c>
      <c r="B7841" s="1" t="n">
        <v>45146</v>
      </c>
      <c r="C7841" s="1" t="n">
        <v>45677</v>
      </c>
      <c r="D7841" t="inlineStr">
        <is>
          <t>GÄVLEBORGS LÄN</t>
        </is>
      </c>
      <c r="E7841" t="inlineStr">
        <is>
          <t>LJUSDAL</t>
        </is>
      </c>
      <c r="F7841" t="inlineStr">
        <is>
          <t>Sveaskog</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35445-2023</t>
        </is>
      </c>
      <c r="B7842" s="1" t="n">
        <v>45146</v>
      </c>
      <c r="C7842" s="1" t="n">
        <v>45677</v>
      </c>
      <c r="D7842" t="inlineStr">
        <is>
          <t>GÄVLEBORGS LÄN</t>
        </is>
      </c>
      <c r="E7842" t="inlineStr">
        <is>
          <t>GÄVLE</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35593-2023</t>
        </is>
      </c>
      <c r="B7843" s="1" t="n">
        <v>45147</v>
      </c>
      <c r="C7843" s="1" t="n">
        <v>45677</v>
      </c>
      <c r="D7843" t="inlineStr">
        <is>
          <t>GÄVLEBORGS LÄN</t>
        </is>
      </c>
      <c r="E7843" t="inlineStr">
        <is>
          <t>HUDIKSVALL</t>
        </is>
      </c>
      <c r="F7843" t="inlineStr">
        <is>
          <t>Holmen skog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35527-2023</t>
        </is>
      </c>
      <c r="B7844" s="1" t="n">
        <v>45147</v>
      </c>
      <c r="C7844" s="1" t="n">
        <v>45677</v>
      </c>
      <c r="D7844" t="inlineStr">
        <is>
          <t>GÄVLEBORGS LÄN</t>
        </is>
      </c>
      <c r="E7844" t="inlineStr">
        <is>
          <t>BOLLNÄS</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35714-2023</t>
        </is>
      </c>
      <c r="B7845" s="1" t="n">
        <v>45147</v>
      </c>
      <c r="C7845" s="1" t="n">
        <v>45677</v>
      </c>
      <c r="D7845" t="inlineStr">
        <is>
          <t>GÄVLEBORGS LÄN</t>
        </is>
      </c>
      <c r="E7845" t="inlineStr">
        <is>
          <t>LJUSDAL</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35718-2023</t>
        </is>
      </c>
      <c r="B7846" s="1" t="n">
        <v>45147</v>
      </c>
      <c r="C7846" s="1" t="n">
        <v>45677</v>
      </c>
      <c r="D7846" t="inlineStr">
        <is>
          <t>GÄVLEBORGS LÄN</t>
        </is>
      </c>
      <c r="E7846" t="inlineStr">
        <is>
          <t>LJUSDAL</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35590-2023</t>
        </is>
      </c>
      <c r="B7847" s="1" t="n">
        <v>45147</v>
      </c>
      <c r="C7847" s="1" t="n">
        <v>45677</v>
      </c>
      <c r="D7847" t="inlineStr">
        <is>
          <t>GÄVLEBORGS LÄN</t>
        </is>
      </c>
      <c r="E7847" t="inlineStr">
        <is>
          <t>HUDIKSVALL</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35612-2023</t>
        </is>
      </c>
      <c r="B7848" s="1" t="n">
        <v>45147</v>
      </c>
      <c r="C7848" s="1" t="n">
        <v>45677</v>
      </c>
      <c r="D7848" t="inlineStr">
        <is>
          <t>GÄVLEBORGS LÄN</t>
        </is>
      </c>
      <c r="E7848" t="inlineStr">
        <is>
          <t>HOFORS</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35586-2023</t>
        </is>
      </c>
      <c r="B7849" s="1" t="n">
        <v>45147</v>
      </c>
      <c r="C7849" s="1" t="n">
        <v>45677</v>
      </c>
      <c r="D7849" t="inlineStr">
        <is>
          <t>GÄVLEBORGS LÄN</t>
        </is>
      </c>
      <c r="E7849" t="inlineStr">
        <is>
          <t>OCKELBO</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35599-2023</t>
        </is>
      </c>
      <c r="B7850" s="1" t="n">
        <v>45147</v>
      </c>
      <c r="C7850" s="1" t="n">
        <v>45677</v>
      </c>
      <c r="D7850" t="inlineStr">
        <is>
          <t>GÄVLEBORGS LÄN</t>
        </is>
      </c>
      <c r="E7850" t="inlineStr">
        <is>
          <t>HUDIKSVALL</t>
        </is>
      </c>
      <c r="F7850" t="inlineStr">
        <is>
          <t>Holmen skog AB</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35607-2023</t>
        </is>
      </c>
      <c r="B7851" s="1" t="n">
        <v>45147</v>
      </c>
      <c r="C7851" s="1" t="n">
        <v>45677</v>
      </c>
      <c r="D7851" t="inlineStr">
        <is>
          <t>GÄVLEBORGS LÄN</t>
        </is>
      </c>
      <c r="E7851" t="inlineStr">
        <is>
          <t>HOFORS</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35679-2023</t>
        </is>
      </c>
      <c r="B7852" s="1" t="n">
        <v>45147</v>
      </c>
      <c r="C7852" s="1" t="n">
        <v>45677</v>
      </c>
      <c r="D7852" t="inlineStr">
        <is>
          <t>GÄVLEBORGS LÄN</t>
        </is>
      </c>
      <c r="E7852" t="inlineStr">
        <is>
          <t>HUDIKSVALL</t>
        </is>
      </c>
      <c r="F7852" t="inlineStr">
        <is>
          <t>Holmen skog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35683-2023</t>
        </is>
      </c>
      <c r="B7853" s="1" t="n">
        <v>45147</v>
      </c>
      <c r="C7853" s="1" t="n">
        <v>45677</v>
      </c>
      <c r="D7853" t="inlineStr">
        <is>
          <t>GÄVLEBORGS LÄN</t>
        </is>
      </c>
      <c r="E7853" t="inlineStr">
        <is>
          <t>LJUSDAL</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35618-2023</t>
        </is>
      </c>
      <c r="B7854" s="1" t="n">
        <v>45147</v>
      </c>
      <c r="C7854" s="1" t="n">
        <v>45677</v>
      </c>
      <c r="D7854" t="inlineStr">
        <is>
          <t>GÄVLEBORGS LÄN</t>
        </is>
      </c>
      <c r="E7854" t="inlineStr">
        <is>
          <t>HUDIKSVALL</t>
        </is>
      </c>
      <c r="F7854" t="inlineStr">
        <is>
          <t>Holmen skog AB</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35622-2023</t>
        </is>
      </c>
      <c r="B7855" s="1" t="n">
        <v>45147</v>
      </c>
      <c r="C7855" s="1" t="n">
        <v>45677</v>
      </c>
      <c r="D7855" t="inlineStr">
        <is>
          <t>GÄVLEBORGS LÄN</t>
        </is>
      </c>
      <c r="E7855" t="inlineStr">
        <is>
          <t>HUDIKSVALL</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35739-2023</t>
        </is>
      </c>
      <c r="B7856" s="1" t="n">
        <v>45147</v>
      </c>
      <c r="C7856" s="1" t="n">
        <v>45677</v>
      </c>
      <c r="D7856" t="inlineStr">
        <is>
          <t>GÄVLEBORGS LÄN</t>
        </is>
      </c>
      <c r="E7856" t="inlineStr">
        <is>
          <t>HUDIKSVALL</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35623-2023</t>
        </is>
      </c>
      <c r="B7857" s="1" t="n">
        <v>45147</v>
      </c>
      <c r="C7857" s="1" t="n">
        <v>45677</v>
      </c>
      <c r="D7857" t="inlineStr">
        <is>
          <t>GÄVLEBORGS LÄN</t>
        </is>
      </c>
      <c r="E7857" t="inlineStr">
        <is>
          <t>HUDIKSVALL</t>
        </is>
      </c>
      <c r="F7857" t="inlineStr">
        <is>
          <t>Holmen skog AB</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35737-2023</t>
        </is>
      </c>
      <c r="B7858" s="1" t="n">
        <v>45147</v>
      </c>
      <c r="C7858" s="1" t="n">
        <v>45677</v>
      </c>
      <c r="D7858" t="inlineStr">
        <is>
          <t>GÄVLEBORGS LÄN</t>
        </is>
      </c>
      <c r="E7858" t="inlineStr">
        <is>
          <t>HUDIKSVALL</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35826-2023</t>
        </is>
      </c>
      <c r="B7859" s="1" t="n">
        <v>45148</v>
      </c>
      <c r="C7859" s="1" t="n">
        <v>45677</v>
      </c>
      <c r="D7859" t="inlineStr">
        <is>
          <t>GÄVLEBORGS LÄN</t>
        </is>
      </c>
      <c r="E7859" t="inlineStr">
        <is>
          <t>LJUSDAL</t>
        </is>
      </c>
      <c r="F7859" t="inlineStr">
        <is>
          <t>Kommuner</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35877-2023</t>
        </is>
      </c>
      <c r="B7860" s="1" t="n">
        <v>45148</v>
      </c>
      <c r="C7860" s="1" t="n">
        <v>45677</v>
      </c>
      <c r="D7860" t="inlineStr">
        <is>
          <t>GÄVLEBORGS LÄN</t>
        </is>
      </c>
      <c r="E7860" t="inlineStr">
        <is>
          <t>LJUSDAL</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35931-2023</t>
        </is>
      </c>
      <c r="B7861" s="1" t="n">
        <v>45148</v>
      </c>
      <c r="C7861" s="1" t="n">
        <v>45677</v>
      </c>
      <c r="D7861" t="inlineStr">
        <is>
          <t>GÄVLEBORGS LÄN</t>
        </is>
      </c>
      <c r="E7861" t="inlineStr">
        <is>
          <t>NORDANSTIG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35933-2023</t>
        </is>
      </c>
      <c r="B7862" s="1" t="n">
        <v>45148</v>
      </c>
      <c r="C7862" s="1" t="n">
        <v>45677</v>
      </c>
      <c r="D7862" t="inlineStr">
        <is>
          <t>GÄVLEBORGS LÄN</t>
        </is>
      </c>
      <c r="E7862" t="inlineStr">
        <is>
          <t>HUDIKSVALL</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35782-2023</t>
        </is>
      </c>
      <c r="B7863" s="1" t="n">
        <v>45148</v>
      </c>
      <c r="C7863" s="1" t="n">
        <v>45677</v>
      </c>
      <c r="D7863" t="inlineStr">
        <is>
          <t>GÄVLEBORGS LÄN</t>
        </is>
      </c>
      <c r="E7863" t="inlineStr">
        <is>
          <t>LJUSDAL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35856-2023</t>
        </is>
      </c>
      <c r="B7864" s="1" t="n">
        <v>45148</v>
      </c>
      <c r="C7864" s="1" t="n">
        <v>45677</v>
      </c>
      <c r="D7864" t="inlineStr">
        <is>
          <t>GÄVLEBORGS LÄN</t>
        </is>
      </c>
      <c r="E7864" t="inlineStr">
        <is>
          <t>HOFORS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35964-2023</t>
        </is>
      </c>
      <c r="B7865" s="1" t="n">
        <v>45148</v>
      </c>
      <c r="C7865" s="1" t="n">
        <v>45677</v>
      </c>
      <c r="D7865" t="inlineStr">
        <is>
          <t>GÄVLEBORGS LÄN</t>
        </is>
      </c>
      <c r="E7865" t="inlineStr">
        <is>
          <t>NORDANSTIG</t>
        </is>
      </c>
      <c r="F7865" t="inlineStr">
        <is>
          <t>Holmen skog AB</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35963-2023</t>
        </is>
      </c>
      <c r="B7866" s="1" t="n">
        <v>45148</v>
      </c>
      <c r="C7866" s="1" t="n">
        <v>45677</v>
      </c>
      <c r="D7866" t="inlineStr">
        <is>
          <t>GÄVLEBORGS LÄN</t>
        </is>
      </c>
      <c r="E7866" t="inlineStr">
        <is>
          <t>HUDIKSVALL</t>
        </is>
      </c>
      <c r="G7866" t="n">
        <v>9.699999999999999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35958-2023</t>
        </is>
      </c>
      <c r="B7867" s="1" t="n">
        <v>45148</v>
      </c>
      <c r="C7867" s="1" t="n">
        <v>45677</v>
      </c>
      <c r="D7867" t="inlineStr">
        <is>
          <t>GÄVLEBORGS LÄN</t>
        </is>
      </c>
      <c r="E7867" t="inlineStr">
        <is>
          <t>LJUSDAL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35998-2023</t>
        </is>
      </c>
      <c r="B7868" s="1" t="n">
        <v>45149</v>
      </c>
      <c r="C7868" s="1" t="n">
        <v>45677</v>
      </c>
      <c r="D7868" t="inlineStr">
        <is>
          <t>GÄVLEBORGS LÄN</t>
        </is>
      </c>
      <c r="E7868" t="inlineStr">
        <is>
          <t>HUDIKSVALL</t>
        </is>
      </c>
      <c r="F7868" t="inlineStr">
        <is>
          <t>Holmen skog AB</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36025-2023</t>
        </is>
      </c>
      <c r="B7869" s="1" t="n">
        <v>45149</v>
      </c>
      <c r="C7869" s="1" t="n">
        <v>45677</v>
      </c>
      <c r="D7869" t="inlineStr">
        <is>
          <t>GÄVLEBORGS LÄN</t>
        </is>
      </c>
      <c r="E7869" t="inlineStr">
        <is>
          <t>NORDANSTIG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36055-2023</t>
        </is>
      </c>
      <c r="B7870" s="1" t="n">
        <v>45149</v>
      </c>
      <c r="C7870" s="1" t="n">
        <v>45677</v>
      </c>
      <c r="D7870" t="inlineStr">
        <is>
          <t>GÄVLEBORGS LÄN</t>
        </is>
      </c>
      <c r="E7870" t="inlineStr">
        <is>
          <t>BOLLNÄS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36059-2023</t>
        </is>
      </c>
      <c r="B7871" s="1" t="n">
        <v>45149</v>
      </c>
      <c r="C7871" s="1" t="n">
        <v>45677</v>
      </c>
      <c r="D7871" t="inlineStr">
        <is>
          <t>GÄVLEBORGS LÄN</t>
        </is>
      </c>
      <c r="E7871" t="inlineStr">
        <is>
          <t>SÖDERHAMN</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36088-2023</t>
        </is>
      </c>
      <c r="B7872" s="1" t="n">
        <v>45149</v>
      </c>
      <c r="C7872" s="1" t="n">
        <v>45677</v>
      </c>
      <c r="D7872" t="inlineStr">
        <is>
          <t>GÄVLEBORGS LÄN</t>
        </is>
      </c>
      <c r="E7872" t="inlineStr">
        <is>
          <t>OVANÅKER</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36125-2023</t>
        </is>
      </c>
      <c r="B7873" s="1" t="n">
        <v>45149</v>
      </c>
      <c r="C7873" s="1" t="n">
        <v>45677</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36051-2023</t>
        </is>
      </c>
      <c r="B7874" s="1" t="n">
        <v>45149</v>
      </c>
      <c r="C7874" s="1" t="n">
        <v>45677</v>
      </c>
      <c r="D7874" t="inlineStr">
        <is>
          <t>GÄVLEBORGS LÄN</t>
        </is>
      </c>
      <c r="E7874" t="inlineStr">
        <is>
          <t>BOLLNÄS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36072-2023</t>
        </is>
      </c>
      <c r="B7875" s="1" t="n">
        <v>45149</v>
      </c>
      <c r="C7875" s="1" t="n">
        <v>45677</v>
      </c>
      <c r="D7875" t="inlineStr">
        <is>
          <t>GÄVLEBORGS LÄN</t>
        </is>
      </c>
      <c r="E7875" t="inlineStr">
        <is>
          <t>OVANÅKER</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35997-2023</t>
        </is>
      </c>
      <c r="B7876" s="1" t="n">
        <v>45149</v>
      </c>
      <c r="C7876" s="1" t="n">
        <v>45677</v>
      </c>
      <c r="D7876" t="inlineStr">
        <is>
          <t>GÄVLEBORGS LÄN</t>
        </is>
      </c>
      <c r="E7876" t="inlineStr">
        <is>
          <t>LJUSDAL</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36085-2023</t>
        </is>
      </c>
      <c r="B7877" s="1" t="n">
        <v>45149</v>
      </c>
      <c r="C7877" s="1" t="n">
        <v>45677</v>
      </c>
      <c r="D7877" t="inlineStr">
        <is>
          <t>GÄVLEBORGS LÄN</t>
        </is>
      </c>
      <c r="E7877" t="inlineStr">
        <is>
          <t>OVANÅKER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36053-2023</t>
        </is>
      </c>
      <c r="B7878" s="1" t="n">
        <v>45149</v>
      </c>
      <c r="C7878" s="1" t="n">
        <v>45677</v>
      </c>
      <c r="D7878" t="inlineStr">
        <is>
          <t>GÄVLEBORGS LÄN</t>
        </is>
      </c>
      <c r="E7878" t="inlineStr">
        <is>
          <t>BOLLNÄS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36058-2023</t>
        </is>
      </c>
      <c r="B7879" s="1" t="n">
        <v>45149</v>
      </c>
      <c r="C7879" s="1" t="n">
        <v>45677</v>
      </c>
      <c r="D7879" t="inlineStr">
        <is>
          <t>GÄVLEBORGS LÄN</t>
        </is>
      </c>
      <c r="E7879" t="inlineStr">
        <is>
          <t>BOLLNÄS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36087-2023</t>
        </is>
      </c>
      <c r="B7880" s="1" t="n">
        <v>45149</v>
      </c>
      <c r="C7880" s="1" t="n">
        <v>45677</v>
      </c>
      <c r="D7880" t="inlineStr">
        <is>
          <t>GÄVLEBORGS LÄN</t>
        </is>
      </c>
      <c r="E7880" t="inlineStr">
        <is>
          <t>BOLLNÄS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36105-2023</t>
        </is>
      </c>
      <c r="B7881" s="1" t="n">
        <v>45149</v>
      </c>
      <c r="C7881" s="1" t="n">
        <v>45677</v>
      </c>
      <c r="D7881" t="inlineStr">
        <is>
          <t>GÄVLEBORGS LÄN</t>
        </is>
      </c>
      <c r="E7881" t="inlineStr">
        <is>
          <t>LJUSDAL</t>
        </is>
      </c>
      <c r="F7881" t="inlineStr">
        <is>
          <t>Sveaskog</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36156-2023</t>
        </is>
      </c>
      <c r="B7882" s="1" t="n">
        <v>45149</v>
      </c>
      <c r="C7882" s="1" t="n">
        <v>45677</v>
      </c>
      <c r="D7882" t="inlineStr">
        <is>
          <t>GÄVLEBORGS LÄN</t>
        </is>
      </c>
      <c r="E7882" t="inlineStr">
        <is>
          <t>OVANÅKER</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36134-2023</t>
        </is>
      </c>
      <c r="B7883" s="1" t="n">
        <v>45149</v>
      </c>
      <c r="C7883" s="1" t="n">
        <v>45677</v>
      </c>
      <c r="D7883" t="inlineStr">
        <is>
          <t>GÄVLEBORGS LÄN</t>
        </is>
      </c>
      <c r="E7883" t="inlineStr">
        <is>
          <t>HUDIKSVALL</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36138-2023</t>
        </is>
      </c>
      <c r="B7884" s="1" t="n">
        <v>45149</v>
      </c>
      <c r="C7884" s="1" t="n">
        <v>45677</v>
      </c>
      <c r="D7884" t="inlineStr">
        <is>
          <t>GÄVLEBORGS LÄN</t>
        </is>
      </c>
      <c r="E7884" t="inlineStr">
        <is>
          <t>HUDIKSVALL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36176-2023</t>
        </is>
      </c>
      <c r="B7885" s="1" t="n">
        <v>45149</v>
      </c>
      <c r="C7885" s="1" t="n">
        <v>45677</v>
      </c>
      <c r="D7885" t="inlineStr">
        <is>
          <t>GÄVLEBORGS LÄN</t>
        </is>
      </c>
      <c r="E7885" t="inlineStr">
        <is>
          <t>OVANÅKER</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36170-2023</t>
        </is>
      </c>
      <c r="B7886" s="1" t="n">
        <v>45149</v>
      </c>
      <c r="C7886" s="1" t="n">
        <v>45677</v>
      </c>
      <c r="D7886" t="inlineStr">
        <is>
          <t>GÄVLEBORGS LÄN</t>
        </is>
      </c>
      <c r="E7886" t="inlineStr">
        <is>
          <t>LJUSDAL</t>
        </is>
      </c>
      <c r="F7886" t="inlineStr">
        <is>
          <t>Sveaskog</t>
        </is>
      </c>
      <c r="G7886" t="n">
        <v>9.4</v>
      </c>
      <c r="H7886" t="n">
        <v>0</v>
      </c>
      <c r="I7886" t="n">
        <v>0</v>
      </c>
      <c r="J7886" t="n">
        <v>0</v>
      </c>
      <c r="K7886" t="n">
        <v>0</v>
      </c>
      <c r="L7886" t="n">
        <v>0</v>
      </c>
      <c r="M7886" t="n">
        <v>0</v>
      </c>
      <c r="N7886" t="n">
        <v>0</v>
      </c>
      <c r="O7886" t="n">
        <v>0</v>
      </c>
      <c r="P7886" t="n">
        <v>0</v>
      </c>
      <c r="Q7886" t="n">
        <v>0</v>
      </c>
      <c r="R7886" s="2" t="inlineStr"/>
    </row>
    <row r="7887" ht="15" customHeight="1">
      <c r="A7887" t="inlineStr">
        <is>
          <t>A 36186-2023</t>
        </is>
      </c>
      <c r="B7887" s="1" t="n">
        <v>45149</v>
      </c>
      <c r="C7887" s="1" t="n">
        <v>45677</v>
      </c>
      <c r="D7887" t="inlineStr">
        <is>
          <t>GÄVLEBORGS LÄN</t>
        </is>
      </c>
      <c r="E7887" t="inlineStr">
        <is>
          <t>NORDANSTIG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36061-2023</t>
        </is>
      </c>
      <c r="B7888" s="1" t="n">
        <v>45149</v>
      </c>
      <c r="C7888" s="1" t="n">
        <v>45677</v>
      </c>
      <c r="D7888" t="inlineStr">
        <is>
          <t>GÄVLEBORGS LÄN</t>
        </is>
      </c>
      <c r="E7888" t="inlineStr">
        <is>
          <t>BOLLNÄS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36065-2023</t>
        </is>
      </c>
      <c r="B7889" s="1" t="n">
        <v>45149</v>
      </c>
      <c r="C7889" s="1" t="n">
        <v>45677</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36069-2023</t>
        </is>
      </c>
      <c r="B7890" s="1" t="n">
        <v>45149</v>
      </c>
      <c r="C7890" s="1" t="n">
        <v>45677</v>
      </c>
      <c r="D7890" t="inlineStr">
        <is>
          <t>GÄVLEBORGS LÄN</t>
        </is>
      </c>
      <c r="E7890" t="inlineStr">
        <is>
          <t>OVANÅKER</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36171-2023</t>
        </is>
      </c>
      <c r="B7891" s="1" t="n">
        <v>45149</v>
      </c>
      <c r="C7891" s="1" t="n">
        <v>45677</v>
      </c>
      <c r="D7891" t="inlineStr">
        <is>
          <t>GÄVLEBORGS LÄN</t>
        </is>
      </c>
      <c r="E7891" t="inlineStr">
        <is>
          <t>LJUSDAL</t>
        </is>
      </c>
      <c r="F7891" t="inlineStr">
        <is>
          <t>Sveaskog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36284-2023</t>
        </is>
      </c>
      <c r="B7892" s="1" t="n">
        <v>45152</v>
      </c>
      <c r="C7892" s="1" t="n">
        <v>45677</v>
      </c>
      <c r="D7892" t="inlineStr">
        <is>
          <t>GÄVLEBORGS LÄN</t>
        </is>
      </c>
      <c r="E7892" t="inlineStr">
        <is>
          <t>OVANÅKER</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36316-2023</t>
        </is>
      </c>
      <c r="B7893" s="1" t="n">
        <v>45152</v>
      </c>
      <c r="C7893" s="1" t="n">
        <v>45677</v>
      </c>
      <c r="D7893" t="inlineStr">
        <is>
          <t>GÄVLEBORGS LÄN</t>
        </is>
      </c>
      <c r="E7893" t="inlineStr">
        <is>
          <t>OVANÅKER</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36321-2023</t>
        </is>
      </c>
      <c r="B7894" s="1" t="n">
        <v>45152</v>
      </c>
      <c r="C7894" s="1" t="n">
        <v>45677</v>
      </c>
      <c r="D7894" t="inlineStr">
        <is>
          <t>GÄVLEBORGS LÄN</t>
        </is>
      </c>
      <c r="E7894" t="inlineStr">
        <is>
          <t>LJUSDAL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36330-2023</t>
        </is>
      </c>
      <c r="B7895" s="1" t="n">
        <v>45152</v>
      </c>
      <c r="C7895" s="1" t="n">
        <v>45677</v>
      </c>
      <c r="D7895" t="inlineStr">
        <is>
          <t>GÄVLEBORGS LÄN</t>
        </is>
      </c>
      <c r="E7895" t="inlineStr">
        <is>
          <t>NORDANSTIG</t>
        </is>
      </c>
      <c r="F7895" t="inlineStr">
        <is>
          <t>Holmen skog AB</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36428-2023</t>
        </is>
      </c>
      <c r="B7896" s="1" t="n">
        <v>45152</v>
      </c>
      <c r="C7896" s="1" t="n">
        <v>45677</v>
      </c>
      <c r="D7896" t="inlineStr">
        <is>
          <t>GÄVLEBORGS LÄN</t>
        </is>
      </c>
      <c r="E7896" t="inlineStr">
        <is>
          <t>SÖDERHAMN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36315-2023</t>
        </is>
      </c>
      <c r="B7897" s="1" t="n">
        <v>45152</v>
      </c>
      <c r="C7897" s="1" t="n">
        <v>45677</v>
      </c>
      <c r="D7897" t="inlineStr">
        <is>
          <t>GÄVLEBORGS LÄN</t>
        </is>
      </c>
      <c r="E7897" t="inlineStr">
        <is>
          <t>OVANÅKER</t>
        </is>
      </c>
      <c r="G7897" t="n">
        <v>9.6</v>
      </c>
      <c r="H7897" t="n">
        <v>0</v>
      </c>
      <c r="I7897" t="n">
        <v>0</v>
      </c>
      <c r="J7897" t="n">
        <v>0</v>
      </c>
      <c r="K7897" t="n">
        <v>0</v>
      </c>
      <c r="L7897" t="n">
        <v>0</v>
      </c>
      <c r="M7897" t="n">
        <v>0</v>
      </c>
      <c r="N7897" t="n">
        <v>0</v>
      </c>
      <c r="O7897" t="n">
        <v>0</v>
      </c>
      <c r="P7897" t="n">
        <v>0</v>
      </c>
      <c r="Q7897" t="n">
        <v>0</v>
      </c>
      <c r="R7897" s="2" t="inlineStr"/>
    </row>
    <row r="7898" ht="15" customHeight="1">
      <c r="A7898" t="inlineStr">
        <is>
          <t>A 36310-2023</t>
        </is>
      </c>
      <c r="B7898" s="1" t="n">
        <v>45152</v>
      </c>
      <c r="C7898" s="1" t="n">
        <v>45677</v>
      </c>
      <c r="D7898" t="inlineStr">
        <is>
          <t>GÄVLEBORGS LÄN</t>
        </is>
      </c>
      <c r="E7898" t="inlineStr">
        <is>
          <t>NORDANSTIG</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36320-2023</t>
        </is>
      </c>
      <c r="B7899" s="1" t="n">
        <v>45152</v>
      </c>
      <c r="C7899" s="1" t="n">
        <v>45677</v>
      </c>
      <c r="D7899" t="inlineStr">
        <is>
          <t>GÄVLEBORGS LÄN</t>
        </is>
      </c>
      <c r="E7899" t="inlineStr">
        <is>
          <t>GÄVLE</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36341-2023</t>
        </is>
      </c>
      <c r="B7900" s="1" t="n">
        <v>45152</v>
      </c>
      <c r="C7900" s="1" t="n">
        <v>45677</v>
      </c>
      <c r="D7900" t="inlineStr">
        <is>
          <t>GÄVLEBORGS LÄN</t>
        </is>
      </c>
      <c r="E7900" t="inlineStr">
        <is>
          <t>OCKELBO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36345-2023</t>
        </is>
      </c>
      <c r="B7901" s="1" t="n">
        <v>45152</v>
      </c>
      <c r="C7901" s="1" t="n">
        <v>45677</v>
      </c>
      <c r="D7901" t="inlineStr">
        <is>
          <t>GÄVLEBORGS LÄN</t>
        </is>
      </c>
      <c r="E7901" t="inlineStr">
        <is>
          <t>OCKELBO</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36349-2023</t>
        </is>
      </c>
      <c r="B7902" s="1" t="n">
        <v>45152</v>
      </c>
      <c r="C7902" s="1" t="n">
        <v>45677</v>
      </c>
      <c r="D7902" t="inlineStr">
        <is>
          <t>GÄVLEBORGS LÄN</t>
        </is>
      </c>
      <c r="E7902" t="inlineStr">
        <is>
          <t>BOLLNÄS</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36356-2023</t>
        </is>
      </c>
      <c r="B7903" s="1" t="n">
        <v>45152</v>
      </c>
      <c r="C7903" s="1" t="n">
        <v>45677</v>
      </c>
      <c r="D7903" t="inlineStr">
        <is>
          <t>GÄVLEBORGS LÄN</t>
        </is>
      </c>
      <c r="E7903" t="inlineStr">
        <is>
          <t>BOLLNÄS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36458-2023</t>
        </is>
      </c>
      <c r="B7904" s="1" t="n">
        <v>45152</v>
      </c>
      <c r="C7904" s="1" t="n">
        <v>45677</v>
      </c>
      <c r="D7904" t="inlineStr">
        <is>
          <t>GÄVLEBORGS LÄN</t>
        </is>
      </c>
      <c r="E7904" t="inlineStr">
        <is>
          <t>LJUSDAL</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36343-2023</t>
        </is>
      </c>
      <c r="B7905" s="1" t="n">
        <v>45152</v>
      </c>
      <c r="C7905" s="1" t="n">
        <v>45677</v>
      </c>
      <c r="D7905" t="inlineStr">
        <is>
          <t>GÄVLEBORGS LÄN</t>
        </is>
      </c>
      <c r="E7905" t="inlineStr">
        <is>
          <t>OCKELBO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36487-2023</t>
        </is>
      </c>
      <c r="B7906" s="1" t="n">
        <v>45152</v>
      </c>
      <c r="C7906" s="1" t="n">
        <v>45677</v>
      </c>
      <c r="D7906" t="inlineStr">
        <is>
          <t>GÄVLEBORGS LÄN</t>
        </is>
      </c>
      <c r="E7906" t="inlineStr">
        <is>
          <t>HUDIKSVALL</t>
        </is>
      </c>
      <c r="F7906" t="inlineStr">
        <is>
          <t>Holmen skog AB</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36378-2023</t>
        </is>
      </c>
      <c r="B7907" s="1" t="n">
        <v>45152</v>
      </c>
      <c r="C7907" s="1" t="n">
        <v>45677</v>
      </c>
      <c r="D7907" t="inlineStr">
        <is>
          <t>GÄVLEBORGS LÄN</t>
        </is>
      </c>
      <c r="E7907" t="inlineStr">
        <is>
          <t>LJUSDAL</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36448-2023</t>
        </is>
      </c>
      <c r="B7908" s="1" t="n">
        <v>45152</v>
      </c>
      <c r="C7908" s="1" t="n">
        <v>45677</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36452-2023</t>
        </is>
      </c>
      <c r="B7909" s="1" t="n">
        <v>45152</v>
      </c>
      <c r="C7909" s="1" t="n">
        <v>45677</v>
      </c>
      <c r="D7909" t="inlineStr">
        <is>
          <t>GÄVLEBORGS LÄN</t>
        </is>
      </c>
      <c r="E7909" t="inlineStr">
        <is>
          <t>OVANÅKER</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36563-2023</t>
        </is>
      </c>
      <c r="B7910" s="1" t="n">
        <v>45152</v>
      </c>
      <c r="C7910" s="1" t="n">
        <v>45677</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36566-2023</t>
        </is>
      </c>
      <c r="B7911" s="1" t="n">
        <v>45153</v>
      </c>
      <c r="C7911" s="1" t="n">
        <v>45677</v>
      </c>
      <c r="D7911" t="inlineStr">
        <is>
          <t>GÄVLEBORGS LÄN</t>
        </is>
      </c>
      <c r="E7911" t="inlineStr">
        <is>
          <t>LJUSDAL</t>
        </is>
      </c>
      <c r="F7911" t="inlineStr">
        <is>
          <t>Bergvik skog väst AB</t>
        </is>
      </c>
      <c r="G7911" t="n">
        <v>18.2</v>
      </c>
      <c r="H7911" t="n">
        <v>0</v>
      </c>
      <c r="I7911" t="n">
        <v>0</v>
      </c>
      <c r="J7911" t="n">
        <v>0</v>
      </c>
      <c r="K7911" t="n">
        <v>0</v>
      </c>
      <c r="L7911" t="n">
        <v>0</v>
      </c>
      <c r="M7911" t="n">
        <v>0</v>
      </c>
      <c r="N7911" t="n">
        <v>0</v>
      </c>
      <c r="O7911" t="n">
        <v>0</v>
      </c>
      <c r="P7911" t="n">
        <v>0</v>
      </c>
      <c r="Q7911" t="n">
        <v>0</v>
      </c>
      <c r="R7911" s="2" t="inlineStr"/>
    </row>
    <row r="7912" ht="15" customHeight="1">
      <c r="A7912" t="inlineStr">
        <is>
          <t>A 36558-2023</t>
        </is>
      </c>
      <c r="B7912" s="1" t="n">
        <v>45153</v>
      </c>
      <c r="C7912" s="1" t="n">
        <v>45677</v>
      </c>
      <c r="D7912" t="inlineStr">
        <is>
          <t>GÄVLEBORGS LÄN</t>
        </is>
      </c>
      <c r="E7912" t="inlineStr">
        <is>
          <t>LJUSDAL</t>
        </is>
      </c>
      <c r="F7912" t="inlineStr">
        <is>
          <t>Bergvik skog väst AB</t>
        </is>
      </c>
      <c r="G7912" t="n">
        <v>15.9</v>
      </c>
      <c r="H7912" t="n">
        <v>0</v>
      </c>
      <c r="I7912" t="n">
        <v>0</v>
      </c>
      <c r="J7912" t="n">
        <v>0</v>
      </c>
      <c r="K7912" t="n">
        <v>0</v>
      </c>
      <c r="L7912" t="n">
        <v>0</v>
      </c>
      <c r="M7912" t="n">
        <v>0</v>
      </c>
      <c r="N7912" t="n">
        <v>0</v>
      </c>
      <c r="O7912" t="n">
        <v>0</v>
      </c>
      <c r="P7912" t="n">
        <v>0</v>
      </c>
      <c r="Q7912" t="n">
        <v>0</v>
      </c>
      <c r="R7912" s="2" t="inlineStr"/>
    </row>
    <row r="7913" ht="15" customHeight="1">
      <c r="A7913" t="inlineStr">
        <is>
          <t>A 36665-2023</t>
        </is>
      </c>
      <c r="B7913" s="1" t="n">
        <v>45153</v>
      </c>
      <c r="C7913" s="1" t="n">
        <v>45677</v>
      </c>
      <c r="D7913" t="inlineStr">
        <is>
          <t>GÄVLEBORGS LÄN</t>
        </is>
      </c>
      <c r="E7913" t="inlineStr">
        <is>
          <t>SANDVIKEN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36701-2023</t>
        </is>
      </c>
      <c r="B7914" s="1" t="n">
        <v>45153</v>
      </c>
      <c r="C7914" s="1" t="n">
        <v>45677</v>
      </c>
      <c r="D7914" t="inlineStr">
        <is>
          <t>GÄVLEBORGS LÄN</t>
        </is>
      </c>
      <c r="E7914" t="inlineStr">
        <is>
          <t>BOLLNÄS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36710-2023</t>
        </is>
      </c>
      <c r="B7915" s="1" t="n">
        <v>45153</v>
      </c>
      <c r="C7915" s="1" t="n">
        <v>45677</v>
      </c>
      <c r="D7915" t="inlineStr">
        <is>
          <t>GÄVLEBORGS LÄN</t>
        </is>
      </c>
      <c r="E7915" t="inlineStr">
        <is>
          <t>BOLLNÄS</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36594-2023</t>
        </is>
      </c>
      <c r="B7916" s="1" t="n">
        <v>45153</v>
      </c>
      <c r="C7916" s="1" t="n">
        <v>45677</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36581-2023</t>
        </is>
      </c>
      <c r="B7917" s="1" t="n">
        <v>45153</v>
      </c>
      <c r="C7917" s="1" t="n">
        <v>45677</v>
      </c>
      <c r="D7917" t="inlineStr">
        <is>
          <t>GÄVLEBORGS LÄN</t>
        </is>
      </c>
      <c r="E7917" t="inlineStr">
        <is>
          <t>BOLLNÄS</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36629-2023</t>
        </is>
      </c>
      <c r="B7918" s="1" t="n">
        <v>45153</v>
      </c>
      <c r="C7918" s="1" t="n">
        <v>45677</v>
      </c>
      <c r="D7918" t="inlineStr">
        <is>
          <t>GÄVLEBORGS LÄN</t>
        </is>
      </c>
      <c r="E7918" t="inlineStr">
        <is>
          <t>BOLLNÄS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36584-2023</t>
        </is>
      </c>
      <c r="B7919" s="1" t="n">
        <v>45153</v>
      </c>
      <c r="C7919" s="1" t="n">
        <v>45677</v>
      </c>
      <c r="D7919" t="inlineStr">
        <is>
          <t>GÄVLEBORGS LÄN</t>
        </is>
      </c>
      <c r="E7919" t="inlineStr">
        <is>
          <t>BOLLNÄS</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36588-2023</t>
        </is>
      </c>
      <c r="B7920" s="1" t="n">
        <v>45153</v>
      </c>
      <c r="C7920" s="1" t="n">
        <v>45677</v>
      </c>
      <c r="D7920" t="inlineStr">
        <is>
          <t>GÄVLEBORGS LÄN</t>
        </is>
      </c>
      <c r="E7920" t="inlineStr">
        <is>
          <t>BOLLNÄS</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36607-2023</t>
        </is>
      </c>
      <c r="B7921" s="1" t="n">
        <v>45153</v>
      </c>
      <c r="C7921" s="1" t="n">
        <v>45677</v>
      </c>
      <c r="D7921" t="inlineStr">
        <is>
          <t>GÄVLEBORGS LÄN</t>
        </is>
      </c>
      <c r="E7921" t="inlineStr">
        <is>
          <t>BOLLNÄS</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36671-2023</t>
        </is>
      </c>
      <c r="B7922" s="1" t="n">
        <v>45153</v>
      </c>
      <c r="C7922" s="1" t="n">
        <v>45677</v>
      </c>
      <c r="D7922" t="inlineStr">
        <is>
          <t>GÄVLEBORGS LÄN</t>
        </is>
      </c>
      <c r="E7922" t="inlineStr">
        <is>
          <t>SANDVIKEN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36699-2023</t>
        </is>
      </c>
      <c r="B7923" s="1" t="n">
        <v>45153</v>
      </c>
      <c r="C7923" s="1" t="n">
        <v>45677</v>
      </c>
      <c r="D7923" t="inlineStr">
        <is>
          <t>GÄVLEBORGS LÄN</t>
        </is>
      </c>
      <c r="E7923" t="inlineStr">
        <is>
          <t>BOLLNÄS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36707-2023</t>
        </is>
      </c>
      <c r="B7924" s="1" t="n">
        <v>45153</v>
      </c>
      <c r="C7924" s="1" t="n">
        <v>45677</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36719-2023</t>
        </is>
      </c>
      <c r="B7925" s="1" t="n">
        <v>45153</v>
      </c>
      <c r="C7925" s="1" t="n">
        <v>45677</v>
      </c>
      <c r="D7925" t="inlineStr">
        <is>
          <t>GÄVLEBORGS LÄN</t>
        </is>
      </c>
      <c r="E7925" t="inlineStr">
        <is>
          <t>HUDIKSVALL</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36656-2023</t>
        </is>
      </c>
      <c r="B7926" s="1" t="n">
        <v>45153</v>
      </c>
      <c r="C7926" s="1" t="n">
        <v>45677</v>
      </c>
      <c r="D7926" t="inlineStr">
        <is>
          <t>GÄVLEBORGS LÄN</t>
        </is>
      </c>
      <c r="E7926" t="inlineStr">
        <is>
          <t>SANDVIKEN</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36660-2023</t>
        </is>
      </c>
      <c r="B7927" s="1" t="n">
        <v>45153</v>
      </c>
      <c r="C7927" s="1" t="n">
        <v>45677</v>
      </c>
      <c r="D7927" t="inlineStr">
        <is>
          <t>GÄVLEBORGS LÄN</t>
        </is>
      </c>
      <c r="E7927" t="inlineStr">
        <is>
          <t>SANDVIKEN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36668-2023</t>
        </is>
      </c>
      <c r="B7928" s="1" t="n">
        <v>45153</v>
      </c>
      <c r="C7928" s="1" t="n">
        <v>45677</v>
      </c>
      <c r="D7928" t="inlineStr">
        <is>
          <t>GÄVLEBORGS LÄN</t>
        </is>
      </c>
      <c r="E7928" t="inlineStr">
        <is>
          <t>LJUSDAL</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36700-2023</t>
        </is>
      </c>
      <c r="B7929" s="1" t="n">
        <v>45153</v>
      </c>
      <c r="C7929" s="1" t="n">
        <v>45677</v>
      </c>
      <c r="D7929" t="inlineStr">
        <is>
          <t>GÄVLEBORGS LÄN</t>
        </is>
      </c>
      <c r="E7929" t="inlineStr">
        <is>
          <t>LJUSDAL</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36841-2023</t>
        </is>
      </c>
      <c r="B7930" s="1" t="n">
        <v>45154</v>
      </c>
      <c r="C7930" s="1" t="n">
        <v>45677</v>
      </c>
      <c r="D7930" t="inlineStr">
        <is>
          <t>GÄVLEBORGS LÄN</t>
        </is>
      </c>
      <c r="E7930" t="inlineStr">
        <is>
          <t>SANDVIKEN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36779-2023</t>
        </is>
      </c>
      <c r="B7931" s="1" t="n">
        <v>45154</v>
      </c>
      <c r="C7931" s="1" t="n">
        <v>45677</v>
      </c>
      <c r="D7931" t="inlineStr">
        <is>
          <t>GÄVLEBORGS LÄN</t>
        </is>
      </c>
      <c r="E7931" t="inlineStr">
        <is>
          <t>OCKELBO</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36794-2023</t>
        </is>
      </c>
      <c r="B7932" s="1" t="n">
        <v>45154</v>
      </c>
      <c r="C7932" s="1" t="n">
        <v>45677</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36927-2023</t>
        </is>
      </c>
      <c r="B7933" s="1" t="n">
        <v>45154</v>
      </c>
      <c r="C7933" s="1" t="n">
        <v>45677</v>
      </c>
      <c r="D7933" t="inlineStr">
        <is>
          <t>GÄVLEBORGS LÄN</t>
        </is>
      </c>
      <c r="E7933" t="inlineStr">
        <is>
          <t>NORDANSTIG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36960-2023</t>
        </is>
      </c>
      <c r="B7934" s="1" t="n">
        <v>45154</v>
      </c>
      <c r="C7934" s="1" t="n">
        <v>45677</v>
      </c>
      <c r="D7934" t="inlineStr">
        <is>
          <t>GÄVLEBORGS LÄN</t>
        </is>
      </c>
      <c r="E7934" t="inlineStr">
        <is>
          <t>NORDANSTIG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36799-2023</t>
        </is>
      </c>
      <c r="B7935" s="1" t="n">
        <v>45154</v>
      </c>
      <c r="C7935" s="1" t="n">
        <v>45677</v>
      </c>
      <c r="D7935" t="inlineStr">
        <is>
          <t>GÄVLEBORGS LÄN</t>
        </is>
      </c>
      <c r="E7935" t="inlineStr">
        <is>
          <t>OCKELBO</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37105-2023</t>
        </is>
      </c>
      <c r="B7936" s="1" t="n">
        <v>45155</v>
      </c>
      <c r="C7936" s="1" t="n">
        <v>45677</v>
      </c>
      <c r="D7936" t="inlineStr">
        <is>
          <t>GÄVLEBORGS LÄN</t>
        </is>
      </c>
      <c r="E7936" t="inlineStr">
        <is>
          <t>HUDIKSVALL</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37090-2023</t>
        </is>
      </c>
      <c r="B7937" s="1" t="n">
        <v>45155</v>
      </c>
      <c r="C7937" s="1" t="n">
        <v>45677</v>
      </c>
      <c r="D7937" t="inlineStr">
        <is>
          <t>GÄVLEBORGS LÄN</t>
        </is>
      </c>
      <c r="E7937" t="inlineStr">
        <is>
          <t>OVANÅKER</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37064-2023</t>
        </is>
      </c>
      <c r="B7938" s="1" t="n">
        <v>45155</v>
      </c>
      <c r="C7938" s="1" t="n">
        <v>45677</v>
      </c>
      <c r="D7938" t="inlineStr">
        <is>
          <t>GÄVLEBORGS LÄN</t>
        </is>
      </c>
      <c r="E7938" t="inlineStr">
        <is>
          <t>LJUSDAL</t>
        </is>
      </c>
      <c r="F7938" t="inlineStr">
        <is>
          <t>Övriga Aktiebolag</t>
        </is>
      </c>
      <c r="G7938" t="n">
        <v>9.699999999999999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37233-2023</t>
        </is>
      </c>
      <c r="B7939" s="1" t="n">
        <v>45155</v>
      </c>
      <c r="C7939" s="1" t="n">
        <v>45677</v>
      </c>
      <c r="D7939" t="inlineStr">
        <is>
          <t>GÄVLEBORGS LÄN</t>
        </is>
      </c>
      <c r="E7939" t="inlineStr">
        <is>
          <t>BOLLNÄS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37170-2023</t>
        </is>
      </c>
      <c r="B7940" s="1" t="n">
        <v>45155</v>
      </c>
      <c r="C7940" s="1" t="n">
        <v>45677</v>
      </c>
      <c r="D7940" t="inlineStr">
        <is>
          <t>GÄVLEBORGS LÄN</t>
        </is>
      </c>
      <c r="E7940" t="inlineStr">
        <is>
          <t>BOLLNÄS</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37155-2023</t>
        </is>
      </c>
      <c r="B7941" s="1" t="n">
        <v>45155</v>
      </c>
      <c r="C7941" s="1" t="n">
        <v>45677</v>
      </c>
      <c r="D7941" t="inlineStr">
        <is>
          <t>GÄVLEBORGS LÄN</t>
        </is>
      </c>
      <c r="E7941" t="inlineStr">
        <is>
          <t>NORDANSTIG</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37202-2023</t>
        </is>
      </c>
      <c r="B7942" s="1" t="n">
        <v>45155</v>
      </c>
      <c r="C7942" s="1" t="n">
        <v>45677</v>
      </c>
      <c r="D7942" t="inlineStr">
        <is>
          <t>GÄVLEBORGS LÄN</t>
        </is>
      </c>
      <c r="E7942" t="inlineStr">
        <is>
          <t>LJUSDAL</t>
        </is>
      </c>
      <c r="F7942" t="inlineStr">
        <is>
          <t>Sveaskog</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37194-2023</t>
        </is>
      </c>
      <c r="B7943" s="1" t="n">
        <v>45155</v>
      </c>
      <c r="C7943" s="1" t="n">
        <v>45677</v>
      </c>
      <c r="D7943" t="inlineStr">
        <is>
          <t>GÄVLEBORGS LÄN</t>
        </is>
      </c>
      <c r="E7943" t="inlineStr">
        <is>
          <t>BOLLNÄS</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37203-2023</t>
        </is>
      </c>
      <c r="B7944" s="1" t="n">
        <v>45155</v>
      </c>
      <c r="C7944" s="1" t="n">
        <v>45677</v>
      </c>
      <c r="D7944" t="inlineStr">
        <is>
          <t>GÄVLEBORGS LÄN</t>
        </is>
      </c>
      <c r="E7944" t="inlineStr">
        <is>
          <t>LJUSDAL</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37227-2023</t>
        </is>
      </c>
      <c r="B7945" s="1" t="n">
        <v>45155</v>
      </c>
      <c r="C7945" s="1" t="n">
        <v>45677</v>
      </c>
      <c r="D7945" t="inlineStr">
        <is>
          <t>GÄVLEBORGS LÄN</t>
        </is>
      </c>
      <c r="E7945" t="inlineStr">
        <is>
          <t>LJUSDAL</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37274-2023</t>
        </is>
      </c>
      <c r="B7946" s="1" t="n">
        <v>45156</v>
      </c>
      <c r="C7946" s="1" t="n">
        <v>45677</v>
      </c>
      <c r="D7946" t="inlineStr">
        <is>
          <t>GÄVLEBORGS LÄN</t>
        </is>
      </c>
      <c r="E7946" t="inlineStr">
        <is>
          <t>LJUSDAL</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37291-2023</t>
        </is>
      </c>
      <c r="B7947" s="1" t="n">
        <v>45156</v>
      </c>
      <c r="C7947" s="1" t="n">
        <v>45677</v>
      </c>
      <c r="D7947" t="inlineStr">
        <is>
          <t>GÄVLEBORGS LÄN</t>
        </is>
      </c>
      <c r="E7947" t="inlineStr">
        <is>
          <t>LJUSDAL</t>
        </is>
      </c>
      <c r="F7947" t="inlineStr">
        <is>
          <t>Bergvik skog väst AB</t>
        </is>
      </c>
      <c r="G7947" t="n">
        <v>29.4</v>
      </c>
      <c r="H7947" t="n">
        <v>0</v>
      </c>
      <c r="I7947" t="n">
        <v>0</v>
      </c>
      <c r="J7947" t="n">
        <v>0</v>
      </c>
      <c r="K7947" t="n">
        <v>0</v>
      </c>
      <c r="L7947" t="n">
        <v>0</v>
      </c>
      <c r="M7947" t="n">
        <v>0</v>
      </c>
      <c r="N7947" t="n">
        <v>0</v>
      </c>
      <c r="O7947" t="n">
        <v>0</v>
      </c>
      <c r="P7947" t="n">
        <v>0</v>
      </c>
      <c r="Q7947" t="n">
        <v>0</v>
      </c>
      <c r="R7947" s="2" t="inlineStr"/>
    </row>
    <row r="7948" ht="15" customHeight="1">
      <c r="A7948" t="inlineStr">
        <is>
          <t>A 37302-2023</t>
        </is>
      </c>
      <c r="B7948" s="1" t="n">
        <v>45156</v>
      </c>
      <c r="C7948" s="1" t="n">
        <v>45677</v>
      </c>
      <c r="D7948" t="inlineStr">
        <is>
          <t>GÄVLEBORGS LÄN</t>
        </is>
      </c>
      <c r="E7948" t="inlineStr">
        <is>
          <t>OVANÅKER</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37307-2023</t>
        </is>
      </c>
      <c r="B7949" s="1" t="n">
        <v>45156</v>
      </c>
      <c r="C7949" s="1" t="n">
        <v>45677</v>
      </c>
      <c r="D7949" t="inlineStr">
        <is>
          <t>GÄVLEBORGS LÄN</t>
        </is>
      </c>
      <c r="E7949" t="inlineStr">
        <is>
          <t>OVANÅKER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37316-2023</t>
        </is>
      </c>
      <c r="B7950" s="1" t="n">
        <v>45156</v>
      </c>
      <c r="C7950" s="1" t="n">
        <v>45677</v>
      </c>
      <c r="D7950" t="inlineStr">
        <is>
          <t>GÄVLEBORGS LÄN</t>
        </is>
      </c>
      <c r="E7950" t="inlineStr">
        <is>
          <t>BOLLNÄS</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37341-2023</t>
        </is>
      </c>
      <c r="B7951" s="1" t="n">
        <v>45156</v>
      </c>
      <c r="C7951" s="1" t="n">
        <v>45677</v>
      </c>
      <c r="D7951" t="inlineStr">
        <is>
          <t>GÄVLEBORGS LÄN</t>
        </is>
      </c>
      <c r="E7951" t="inlineStr">
        <is>
          <t>GÄVLE</t>
        </is>
      </c>
      <c r="F7951" t="inlineStr">
        <is>
          <t>Kyrkan</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37275-2023</t>
        </is>
      </c>
      <c r="B7952" s="1" t="n">
        <v>45156</v>
      </c>
      <c r="C7952" s="1" t="n">
        <v>45677</v>
      </c>
      <c r="D7952" t="inlineStr">
        <is>
          <t>GÄVLEBORGS LÄN</t>
        </is>
      </c>
      <c r="E7952" t="inlineStr">
        <is>
          <t>LJUSDAL</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37292-2023</t>
        </is>
      </c>
      <c r="B7953" s="1" t="n">
        <v>45156</v>
      </c>
      <c r="C7953" s="1" t="n">
        <v>45677</v>
      </c>
      <c r="D7953" t="inlineStr">
        <is>
          <t>GÄVLEBORGS LÄN</t>
        </is>
      </c>
      <c r="E7953" t="inlineStr">
        <is>
          <t>OVANÅKER</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37386-2023</t>
        </is>
      </c>
      <c r="B7954" s="1" t="n">
        <v>45156</v>
      </c>
      <c r="C7954" s="1" t="n">
        <v>45677</v>
      </c>
      <c r="D7954" t="inlineStr">
        <is>
          <t>GÄVLEBORGS LÄN</t>
        </is>
      </c>
      <c r="E7954" t="inlineStr">
        <is>
          <t>OCKELBO</t>
        </is>
      </c>
      <c r="F7954" t="inlineStr">
        <is>
          <t>Bergvik skog väst AB</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37308-2023</t>
        </is>
      </c>
      <c r="B7955" s="1" t="n">
        <v>45156</v>
      </c>
      <c r="C7955" s="1" t="n">
        <v>45677</v>
      </c>
      <c r="D7955" t="inlineStr">
        <is>
          <t>GÄVLEBORGS LÄN</t>
        </is>
      </c>
      <c r="E7955" t="inlineStr">
        <is>
          <t>BOLLNÄS</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37325-2023</t>
        </is>
      </c>
      <c r="B7956" s="1" t="n">
        <v>45156</v>
      </c>
      <c r="C7956" s="1" t="n">
        <v>45677</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37391-2023</t>
        </is>
      </c>
      <c r="B7957" s="1" t="n">
        <v>45156</v>
      </c>
      <c r="C7957" s="1" t="n">
        <v>45677</v>
      </c>
      <c r="D7957" t="inlineStr">
        <is>
          <t>GÄVLEBORGS LÄN</t>
        </is>
      </c>
      <c r="E7957" t="inlineStr">
        <is>
          <t>OCKELBO</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37438-2023</t>
        </is>
      </c>
      <c r="B7958" s="1" t="n">
        <v>45156</v>
      </c>
      <c r="C7958" s="1" t="n">
        <v>45677</v>
      </c>
      <c r="D7958" t="inlineStr">
        <is>
          <t>GÄVLEBORGS LÄN</t>
        </is>
      </c>
      <c r="E7958" t="inlineStr">
        <is>
          <t>OCKELBO</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37362-2023</t>
        </is>
      </c>
      <c r="B7959" s="1" t="n">
        <v>45156</v>
      </c>
      <c r="C7959" s="1" t="n">
        <v>45677</v>
      </c>
      <c r="D7959" t="inlineStr">
        <is>
          <t>GÄVLEBORGS LÄN</t>
        </is>
      </c>
      <c r="E7959" t="inlineStr">
        <is>
          <t>GÄVLE</t>
        </is>
      </c>
      <c r="F7959" t="inlineStr">
        <is>
          <t>Bergvik skog väst AB</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37442-2023</t>
        </is>
      </c>
      <c r="B7960" s="1" t="n">
        <v>45156</v>
      </c>
      <c r="C7960" s="1" t="n">
        <v>45677</v>
      </c>
      <c r="D7960" t="inlineStr">
        <is>
          <t>GÄVLEBORGS LÄN</t>
        </is>
      </c>
      <c r="E7960" t="inlineStr">
        <is>
          <t>OCKELBO</t>
        </is>
      </c>
      <c r="F7960" t="inlineStr">
        <is>
          <t>Bergvik skog väst AB</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37763-2023</t>
        </is>
      </c>
      <c r="B7961" s="1" t="n">
        <v>45156</v>
      </c>
      <c r="C7961" s="1" t="n">
        <v>45677</v>
      </c>
      <c r="D7961" t="inlineStr">
        <is>
          <t>GÄVLEBORGS LÄN</t>
        </is>
      </c>
      <c r="E7961" t="inlineStr">
        <is>
          <t>HOFORS</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37385-2023</t>
        </is>
      </c>
      <c r="B7962" s="1" t="n">
        <v>45156</v>
      </c>
      <c r="C7962" s="1" t="n">
        <v>45677</v>
      </c>
      <c r="D7962" t="inlineStr">
        <is>
          <t>GÄVLEBORGS LÄN</t>
        </is>
      </c>
      <c r="E7962" t="inlineStr">
        <is>
          <t>OCKELBO</t>
        </is>
      </c>
      <c r="F7962" t="inlineStr">
        <is>
          <t>Bergvik skog väst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37418-2023</t>
        </is>
      </c>
      <c r="B7963" s="1" t="n">
        <v>45156</v>
      </c>
      <c r="C7963" s="1" t="n">
        <v>45677</v>
      </c>
      <c r="D7963" t="inlineStr">
        <is>
          <t>GÄVLEBORGS LÄN</t>
        </is>
      </c>
      <c r="E7963" t="inlineStr">
        <is>
          <t>OCKELBO</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37534-2023</t>
        </is>
      </c>
      <c r="B7964" s="1" t="n">
        <v>45159</v>
      </c>
      <c r="C7964" s="1" t="n">
        <v>45677</v>
      </c>
      <c r="D7964" t="inlineStr">
        <is>
          <t>GÄVLEBORGS LÄN</t>
        </is>
      </c>
      <c r="E7964" t="inlineStr">
        <is>
          <t>GÄVLE</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37538-2023</t>
        </is>
      </c>
      <c r="B7965" s="1" t="n">
        <v>45159</v>
      </c>
      <c r="C7965" s="1" t="n">
        <v>45677</v>
      </c>
      <c r="D7965" t="inlineStr">
        <is>
          <t>GÄVLEBORGS LÄN</t>
        </is>
      </c>
      <c r="E7965" t="inlineStr">
        <is>
          <t>GÄVLE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37592-2023</t>
        </is>
      </c>
      <c r="B7966" s="1" t="n">
        <v>45159</v>
      </c>
      <c r="C7966" s="1" t="n">
        <v>45677</v>
      </c>
      <c r="D7966" t="inlineStr">
        <is>
          <t>GÄVLEBORGS LÄN</t>
        </is>
      </c>
      <c r="E7966" t="inlineStr">
        <is>
          <t>GÄVLE</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37663-2023</t>
        </is>
      </c>
      <c r="B7967" s="1" t="n">
        <v>45159</v>
      </c>
      <c r="C7967" s="1" t="n">
        <v>45677</v>
      </c>
      <c r="D7967" t="inlineStr">
        <is>
          <t>GÄVLEBORGS LÄN</t>
        </is>
      </c>
      <c r="E7967" t="inlineStr">
        <is>
          <t>LJUSDAL</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37718-2023</t>
        </is>
      </c>
      <c r="B7968" s="1" t="n">
        <v>45159</v>
      </c>
      <c r="C7968" s="1" t="n">
        <v>45677</v>
      </c>
      <c r="D7968" t="inlineStr">
        <is>
          <t>GÄVLEBORGS LÄN</t>
        </is>
      </c>
      <c r="E7968" t="inlineStr">
        <is>
          <t>OVANÅKER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37728-2023</t>
        </is>
      </c>
      <c r="B7969" s="1" t="n">
        <v>45159</v>
      </c>
      <c r="C7969" s="1" t="n">
        <v>45677</v>
      </c>
      <c r="D7969" t="inlineStr">
        <is>
          <t>GÄVLEBORGS LÄN</t>
        </is>
      </c>
      <c r="E7969" t="inlineStr">
        <is>
          <t>GÄVLE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37599-2023</t>
        </is>
      </c>
      <c r="B7970" s="1" t="n">
        <v>45159</v>
      </c>
      <c r="C7970" s="1" t="n">
        <v>45677</v>
      </c>
      <c r="D7970" t="inlineStr">
        <is>
          <t>GÄVLEBORGS LÄN</t>
        </is>
      </c>
      <c r="E7970" t="inlineStr">
        <is>
          <t>LJUSDAL</t>
        </is>
      </c>
      <c r="F7970" t="inlineStr">
        <is>
          <t>Holmen skog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37697-2023</t>
        </is>
      </c>
      <c r="B7971" s="1" t="n">
        <v>45159</v>
      </c>
      <c r="C7971" s="1" t="n">
        <v>45677</v>
      </c>
      <c r="D7971" t="inlineStr">
        <is>
          <t>GÄVLEBORGS LÄN</t>
        </is>
      </c>
      <c r="E7971" t="inlineStr">
        <is>
          <t>BOLLNÄS</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37706-2023</t>
        </is>
      </c>
      <c r="B7972" s="1" t="n">
        <v>45159</v>
      </c>
      <c r="C7972" s="1" t="n">
        <v>45677</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37724-2023</t>
        </is>
      </c>
      <c r="B7973" s="1" t="n">
        <v>45159</v>
      </c>
      <c r="C7973" s="1" t="n">
        <v>45677</v>
      </c>
      <c r="D7973" t="inlineStr">
        <is>
          <t>GÄVLEBORGS LÄN</t>
        </is>
      </c>
      <c r="E7973" t="inlineStr">
        <is>
          <t>LJUSDAL</t>
        </is>
      </c>
      <c r="F7973" t="inlineStr">
        <is>
          <t>Holmen skog AB</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37633-2023</t>
        </is>
      </c>
      <c r="B7974" s="1" t="n">
        <v>45159</v>
      </c>
      <c r="C7974" s="1" t="n">
        <v>45677</v>
      </c>
      <c r="D7974" t="inlineStr">
        <is>
          <t>GÄVLEBORGS LÄN</t>
        </is>
      </c>
      <c r="E7974" t="inlineStr">
        <is>
          <t>LJUSDAL</t>
        </is>
      </c>
      <c r="F7974" t="inlineStr">
        <is>
          <t>Holmen skog AB</t>
        </is>
      </c>
      <c r="G7974" t="n">
        <v>13.6</v>
      </c>
      <c r="H7974" t="n">
        <v>0</v>
      </c>
      <c r="I7974" t="n">
        <v>0</v>
      </c>
      <c r="J7974" t="n">
        <v>0</v>
      </c>
      <c r="K7974" t="n">
        <v>0</v>
      </c>
      <c r="L7974" t="n">
        <v>0</v>
      </c>
      <c r="M7974" t="n">
        <v>0</v>
      </c>
      <c r="N7974" t="n">
        <v>0</v>
      </c>
      <c r="O7974" t="n">
        <v>0</v>
      </c>
      <c r="P7974" t="n">
        <v>0</v>
      </c>
      <c r="Q7974" t="n">
        <v>0</v>
      </c>
      <c r="R7974" s="2" t="inlineStr"/>
    </row>
    <row r="7975" ht="15" customHeight="1">
      <c r="A7975" t="inlineStr">
        <is>
          <t>A 37776-2023</t>
        </is>
      </c>
      <c r="B7975" s="1" t="n">
        <v>45159</v>
      </c>
      <c r="C7975" s="1" t="n">
        <v>45677</v>
      </c>
      <c r="D7975" t="inlineStr">
        <is>
          <t>GÄVLEBORGS LÄN</t>
        </is>
      </c>
      <c r="E7975" t="inlineStr">
        <is>
          <t>OVANÅKER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37689-2023</t>
        </is>
      </c>
      <c r="B7976" s="1" t="n">
        <v>45159</v>
      </c>
      <c r="C7976" s="1" t="n">
        <v>45677</v>
      </c>
      <c r="D7976" t="inlineStr">
        <is>
          <t>GÄVLEBORGS LÄN</t>
        </is>
      </c>
      <c r="E7976" t="inlineStr">
        <is>
          <t>HOFORS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37693-2023</t>
        </is>
      </c>
      <c r="B7977" s="1" t="n">
        <v>45159</v>
      </c>
      <c r="C7977" s="1" t="n">
        <v>45677</v>
      </c>
      <c r="D7977" t="inlineStr">
        <is>
          <t>GÄVLEBORGS LÄN</t>
        </is>
      </c>
      <c r="E7977" t="inlineStr">
        <is>
          <t>HOFORS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37741-2023</t>
        </is>
      </c>
      <c r="B7978" s="1" t="n">
        <v>45159</v>
      </c>
      <c r="C7978" s="1" t="n">
        <v>45677</v>
      </c>
      <c r="D7978" t="inlineStr">
        <is>
          <t>GÄVLEBORGS LÄN</t>
        </is>
      </c>
      <c r="E7978" t="inlineStr">
        <is>
          <t>SANDVIKEN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37871-2023</t>
        </is>
      </c>
      <c r="B7979" s="1" t="n">
        <v>45160</v>
      </c>
      <c r="C7979" s="1" t="n">
        <v>45677</v>
      </c>
      <c r="D7979" t="inlineStr">
        <is>
          <t>GÄVLEBORGS LÄN</t>
        </is>
      </c>
      <c r="E7979" t="inlineStr">
        <is>
          <t>HUDIKSVALL</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37881-2023</t>
        </is>
      </c>
      <c r="B7980" s="1" t="n">
        <v>45160</v>
      </c>
      <c r="C7980" s="1" t="n">
        <v>45677</v>
      </c>
      <c r="D7980" t="inlineStr">
        <is>
          <t>GÄVLEBORGS LÄN</t>
        </is>
      </c>
      <c r="E7980" t="inlineStr">
        <is>
          <t>HUDIKSVALL</t>
        </is>
      </c>
      <c r="G7980" t="n">
        <v>10.7</v>
      </c>
      <c r="H7980" t="n">
        <v>0</v>
      </c>
      <c r="I7980" t="n">
        <v>0</v>
      </c>
      <c r="J7980" t="n">
        <v>0</v>
      </c>
      <c r="K7980" t="n">
        <v>0</v>
      </c>
      <c r="L7980" t="n">
        <v>0</v>
      </c>
      <c r="M7980" t="n">
        <v>0</v>
      </c>
      <c r="N7980" t="n">
        <v>0</v>
      </c>
      <c r="O7980" t="n">
        <v>0</v>
      </c>
      <c r="P7980" t="n">
        <v>0</v>
      </c>
      <c r="Q7980" t="n">
        <v>0</v>
      </c>
      <c r="R7980" s="2" t="inlineStr"/>
    </row>
    <row r="7981" ht="15" customHeight="1">
      <c r="A7981" t="inlineStr">
        <is>
          <t>A 37876-2023</t>
        </is>
      </c>
      <c r="B7981" s="1" t="n">
        <v>45160</v>
      </c>
      <c r="C7981" s="1" t="n">
        <v>45677</v>
      </c>
      <c r="D7981" t="inlineStr">
        <is>
          <t>GÄVLEBORGS LÄN</t>
        </is>
      </c>
      <c r="E7981" t="inlineStr">
        <is>
          <t>HUDIKSVALL</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37892-2023</t>
        </is>
      </c>
      <c r="B7982" s="1" t="n">
        <v>45160</v>
      </c>
      <c r="C7982" s="1" t="n">
        <v>45677</v>
      </c>
      <c r="D7982" t="inlineStr">
        <is>
          <t>GÄVLEBORGS LÄN</t>
        </is>
      </c>
      <c r="E7982" t="inlineStr">
        <is>
          <t>LJUSDAL</t>
        </is>
      </c>
      <c r="F7982" t="inlineStr">
        <is>
          <t>Sveaskog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37965-2023</t>
        </is>
      </c>
      <c r="B7983" s="1" t="n">
        <v>45160</v>
      </c>
      <c r="C7983" s="1" t="n">
        <v>45677</v>
      </c>
      <c r="D7983" t="inlineStr">
        <is>
          <t>GÄVLEBORGS LÄN</t>
        </is>
      </c>
      <c r="E7983" t="inlineStr">
        <is>
          <t>OVANÅKER</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38014-2023</t>
        </is>
      </c>
      <c r="B7984" s="1" t="n">
        <v>45160</v>
      </c>
      <c r="C7984" s="1" t="n">
        <v>45677</v>
      </c>
      <c r="D7984" t="inlineStr">
        <is>
          <t>GÄVLEBORGS LÄN</t>
        </is>
      </c>
      <c r="E7984" t="inlineStr">
        <is>
          <t>LJUSDAL</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37967-2023</t>
        </is>
      </c>
      <c r="B7985" s="1" t="n">
        <v>45160</v>
      </c>
      <c r="C7985" s="1" t="n">
        <v>45677</v>
      </c>
      <c r="D7985" t="inlineStr">
        <is>
          <t>GÄVLEBORGS LÄN</t>
        </is>
      </c>
      <c r="E7985" t="inlineStr">
        <is>
          <t>OVANÅKER</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37985-2023</t>
        </is>
      </c>
      <c r="B7986" s="1" t="n">
        <v>45160</v>
      </c>
      <c r="C7986" s="1" t="n">
        <v>45677</v>
      </c>
      <c r="D7986" t="inlineStr">
        <is>
          <t>GÄVLEBORGS LÄN</t>
        </is>
      </c>
      <c r="E7986" t="inlineStr">
        <is>
          <t>OCKELBO</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38004-2023</t>
        </is>
      </c>
      <c r="B7987" s="1" t="n">
        <v>45160</v>
      </c>
      <c r="C7987" s="1" t="n">
        <v>45677</v>
      </c>
      <c r="D7987" t="inlineStr">
        <is>
          <t>GÄVLEBORGS LÄN</t>
        </is>
      </c>
      <c r="E7987" t="inlineStr">
        <is>
          <t>LJUSDAL</t>
        </is>
      </c>
      <c r="F7987" t="inlineStr">
        <is>
          <t>Holmen skog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38027-2023</t>
        </is>
      </c>
      <c r="B7988" s="1" t="n">
        <v>45160</v>
      </c>
      <c r="C7988" s="1" t="n">
        <v>45677</v>
      </c>
      <c r="D7988" t="inlineStr">
        <is>
          <t>GÄVLEBORGS LÄN</t>
        </is>
      </c>
      <c r="E7988" t="inlineStr">
        <is>
          <t>LJUSDAL</t>
        </is>
      </c>
      <c r="F7988" t="inlineStr">
        <is>
          <t>Holmen skog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38144-2023</t>
        </is>
      </c>
      <c r="B7989" s="1" t="n">
        <v>45161</v>
      </c>
      <c r="C7989" s="1" t="n">
        <v>45677</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38150-2023</t>
        </is>
      </c>
      <c r="B7990" s="1" t="n">
        <v>45161</v>
      </c>
      <c r="C7990" s="1" t="n">
        <v>45677</v>
      </c>
      <c r="D7990" t="inlineStr">
        <is>
          <t>GÄVLEBORGS LÄN</t>
        </is>
      </c>
      <c r="E7990" t="inlineStr">
        <is>
          <t>BOLLNÄS</t>
        </is>
      </c>
      <c r="F7990" t="inlineStr">
        <is>
          <t>Bergvik skog väst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38155-2023</t>
        </is>
      </c>
      <c r="B7991" s="1" t="n">
        <v>45161</v>
      </c>
      <c r="C7991" s="1" t="n">
        <v>45677</v>
      </c>
      <c r="D7991" t="inlineStr">
        <is>
          <t>GÄVLEBORGS LÄN</t>
        </is>
      </c>
      <c r="E7991" t="inlineStr">
        <is>
          <t>BOLLNÄS</t>
        </is>
      </c>
      <c r="F7991" t="inlineStr">
        <is>
          <t>Bergvik skog väst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38242-2023</t>
        </is>
      </c>
      <c r="B7992" s="1" t="n">
        <v>45161</v>
      </c>
      <c r="C7992" s="1" t="n">
        <v>45677</v>
      </c>
      <c r="D7992" t="inlineStr">
        <is>
          <t>GÄVLEBORGS LÄN</t>
        </is>
      </c>
      <c r="E7992" t="inlineStr">
        <is>
          <t>NORDANSTIG</t>
        </is>
      </c>
      <c r="F7992" t="inlineStr">
        <is>
          <t>Holmen skog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38215-2023</t>
        </is>
      </c>
      <c r="B7993" s="1" t="n">
        <v>45161</v>
      </c>
      <c r="C7993" s="1" t="n">
        <v>45677</v>
      </c>
      <c r="D7993" t="inlineStr">
        <is>
          <t>GÄVLEBORGS LÄN</t>
        </is>
      </c>
      <c r="E7993" t="inlineStr">
        <is>
          <t>SANDVIKEN</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38321-2023</t>
        </is>
      </c>
      <c r="B7994" s="1" t="n">
        <v>45161</v>
      </c>
      <c r="C7994" s="1" t="n">
        <v>45677</v>
      </c>
      <c r="D7994" t="inlineStr">
        <is>
          <t>GÄVLEBORGS LÄN</t>
        </is>
      </c>
      <c r="E7994" t="inlineStr">
        <is>
          <t>NORDANSTIG</t>
        </is>
      </c>
      <c r="F7994" t="inlineStr">
        <is>
          <t>Holmen skog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38102-2023</t>
        </is>
      </c>
      <c r="B7995" s="1" t="n">
        <v>45161</v>
      </c>
      <c r="C7995" s="1" t="n">
        <v>45677</v>
      </c>
      <c r="D7995" t="inlineStr">
        <is>
          <t>GÄVLEBORGS LÄN</t>
        </is>
      </c>
      <c r="E7995" t="inlineStr">
        <is>
          <t>OVANÅKER</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38282-2023</t>
        </is>
      </c>
      <c r="B7996" s="1" t="n">
        <v>45161</v>
      </c>
      <c r="C7996" s="1" t="n">
        <v>45677</v>
      </c>
      <c r="D7996" t="inlineStr">
        <is>
          <t>GÄVLEBORGS LÄN</t>
        </is>
      </c>
      <c r="E7996" t="inlineStr">
        <is>
          <t>LJUSDAL</t>
        </is>
      </c>
      <c r="F7996" t="inlineStr">
        <is>
          <t>Allmännings- och besparingsskogar</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38146-2023</t>
        </is>
      </c>
      <c r="B7997" s="1" t="n">
        <v>45161</v>
      </c>
      <c r="C7997" s="1" t="n">
        <v>45677</v>
      </c>
      <c r="D7997" t="inlineStr">
        <is>
          <t>GÄVLEBORGS LÄN</t>
        </is>
      </c>
      <c r="E7997" t="inlineStr">
        <is>
          <t>BOLLNÄS</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38235-2023</t>
        </is>
      </c>
      <c r="B7998" s="1" t="n">
        <v>45161</v>
      </c>
      <c r="C7998" s="1" t="n">
        <v>45677</v>
      </c>
      <c r="D7998" t="inlineStr">
        <is>
          <t>GÄVLEBORGS LÄN</t>
        </is>
      </c>
      <c r="E7998" t="inlineStr">
        <is>
          <t>GÄVLE</t>
        </is>
      </c>
      <c r="F7998" t="inlineStr">
        <is>
          <t>Bergvik skog väst AB</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38255-2023</t>
        </is>
      </c>
      <c r="B7999" s="1" t="n">
        <v>45161</v>
      </c>
      <c r="C7999" s="1" t="n">
        <v>45677</v>
      </c>
      <c r="D7999" t="inlineStr">
        <is>
          <t>GÄVLEBORGS LÄN</t>
        </is>
      </c>
      <c r="E7999" t="inlineStr">
        <is>
          <t>GÄVLE</t>
        </is>
      </c>
      <c r="F7999" t="inlineStr">
        <is>
          <t>Bergvik skog väst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38268-2023</t>
        </is>
      </c>
      <c r="B8000" s="1" t="n">
        <v>45161</v>
      </c>
      <c r="C8000" s="1" t="n">
        <v>45677</v>
      </c>
      <c r="D8000" t="inlineStr">
        <is>
          <t>GÄVLEBORGS LÄN</t>
        </is>
      </c>
      <c r="E8000" t="inlineStr">
        <is>
          <t>BOLLNÄS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38425-2023</t>
        </is>
      </c>
      <c r="B8001" s="1" t="n">
        <v>45162</v>
      </c>
      <c r="C8001" s="1" t="n">
        <v>45677</v>
      </c>
      <c r="D8001" t="inlineStr">
        <is>
          <t>GÄVLEBORGS LÄN</t>
        </is>
      </c>
      <c r="E8001" t="inlineStr">
        <is>
          <t>LJUSDAL</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38492-2023</t>
        </is>
      </c>
      <c r="B8002" s="1" t="n">
        <v>45162</v>
      </c>
      <c r="C8002" s="1" t="n">
        <v>45677</v>
      </c>
      <c r="D8002" t="inlineStr">
        <is>
          <t>GÄVLEBORGS LÄN</t>
        </is>
      </c>
      <c r="E8002" t="inlineStr">
        <is>
          <t>OCKELBO</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38451-2023</t>
        </is>
      </c>
      <c r="B8003" s="1" t="n">
        <v>45162</v>
      </c>
      <c r="C8003" s="1" t="n">
        <v>45677</v>
      </c>
      <c r="D8003" t="inlineStr">
        <is>
          <t>GÄVLEBORGS LÄN</t>
        </is>
      </c>
      <c r="E8003" t="inlineStr">
        <is>
          <t>HUDIKSVALL</t>
        </is>
      </c>
      <c r="F8003" t="inlineStr">
        <is>
          <t>Holmen skog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38398-2023</t>
        </is>
      </c>
      <c r="B8004" s="1" t="n">
        <v>45162</v>
      </c>
      <c r="C8004" s="1" t="n">
        <v>45677</v>
      </c>
      <c r="D8004" t="inlineStr">
        <is>
          <t>GÄVLEBORGS LÄN</t>
        </is>
      </c>
      <c r="E8004" t="inlineStr">
        <is>
          <t>OCKELBO</t>
        </is>
      </c>
      <c r="F8004" t="inlineStr">
        <is>
          <t>Bergvik skog väst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38428-2023</t>
        </is>
      </c>
      <c r="B8005" s="1" t="n">
        <v>45162</v>
      </c>
      <c r="C8005" s="1" t="n">
        <v>45677</v>
      </c>
      <c r="D8005" t="inlineStr">
        <is>
          <t>GÄVLEBORGS LÄN</t>
        </is>
      </c>
      <c r="E8005" t="inlineStr">
        <is>
          <t>SANDVIKEN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38570-2023</t>
        </is>
      </c>
      <c r="B8006" s="1" t="n">
        <v>45162</v>
      </c>
      <c r="C8006" s="1" t="n">
        <v>45677</v>
      </c>
      <c r="D8006" t="inlineStr">
        <is>
          <t>GÄVLEBORGS LÄN</t>
        </is>
      </c>
      <c r="E8006" t="inlineStr">
        <is>
          <t>SANDVIKEN</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38502-2023</t>
        </is>
      </c>
      <c r="B8007" s="1" t="n">
        <v>45162</v>
      </c>
      <c r="C8007" s="1" t="n">
        <v>45677</v>
      </c>
      <c r="D8007" t="inlineStr">
        <is>
          <t>GÄVLEBORGS LÄN</t>
        </is>
      </c>
      <c r="E8007" t="inlineStr">
        <is>
          <t>SANDVIKEN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38597-2023</t>
        </is>
      </c>
      <c r="B8008" s="1" t="n">
        <v>45162</v>
      </c>
      <c r="C8008" s="1" t="n">
        <v>45677</v>
      </c>
      <c r="D8008" t="inlineStr">
        <is>
          <t>GÄVLEBORGS LÄN</t>
        </is>
      </c>
      <c r="E8008" t="inlineStr">
        <is>
          <t>SANDVIKEN</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38495-2023</t>
        </is>
      </c>
      <c r="B8009" s="1" t="n">
        <v>45162</v>
      </c>
      <c r="C8009" s="1" t="n">
        <v>45677</v>
      </c>
      <c r="D8009" t="inlineStr">
        <is>
          <t>GÄVLEBORGS LÄN</t>
        </is>
      </c>
      <c r="E8009" t="inlineStr">
        <is>
          <t>GÄVLE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38401-2023</t>
        </is>
      </c>
      <c r="B8010" s="1" t="n">
        <v>45162</v>
      </c>
      <c r="C8010" s="1" t="n">
        <v>45677</v>
      </c>
      <c r="D8010" t="inlineStr">
        <is>
          <t>GÄVLEBORGS LÄN</t>
        </is>
      </c>
      <c r="E8010" t="inlineStr">
        <is>
          <t>OCKELBO</t>
        </is>
      </c>
      <c r="F8010" t="inlineStr">
        <is>
          <t>Bergvik skog väst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38431-2023</t>
        </is>
      </c>
      <c r="B8011" s="1" t="n">
        <v>45162</v>
      </c>
      <c r="C8011" s="1" t="n">
        <v>45677</v>
      </c>
      <c r="D8011" t="inlineStr">
        <is>
          <t>GÄVLEBORGS LÄN</t>
        </is>
      </c>
      <c r="E8011" t="inlineStr">
        <is>
          <t>SANDVIKEN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38449-2023</t>
        </is>
      </c>
      <c r="B8012" s="1" t="n">
        <v>45162</v>
      </c>
      <c r="C8012" s="1" t="n">
        <v>45677</v>
      </c>
      <c r="D8012" t="inlineStr">
        <is>
          <t>GÄVLEBORGS LÄN</t>
        </is>
      </c>
      <c r="E8012" t="inlineStr">
        <is>
          <t>SANDVIKEN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38546-2023</t>
        </is>
      </c>
      <c r="B8013" s="1" t="n">
        <v>45162</v>
      </c>
      <c r="C8013" s="1" t="n">
        <v>45677</v>
      </c>
      <c r="D8013" t="inlineStr">
        <is>
          <t>GÄVLEBORGS LÄN</t>
        </is>
      </c>
      <c r="E8013" t="inlineStr">
        <is>
          <t>OVANÅKER</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38481-2023</t>
        </is>
      </c>
      <c r="B8014" s="1" t="n">
        <v>45162</v>
      </c>
      <c r="C8014" s="1" t="n">
        <v>45677</v>
      </c>
      <c r="D8014" t="inlineStr">
        <is>
          <t>GÄVLEBORGS LÄN</t>
        </is>
      </c>
      <c r="E8014" t="inlineStr">
        <is>
          <t>BOLLNÄS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38518-2023</t>
        </is>
      </c>
      <c r="B8015" s="1" t="n">
        <v>45162</v>
      </c>
      <c r="C8015" s="1" t="n">
        <v>45677</v>
      </c>
      <c r="D8015" t="inlineStr">
        <is>
          <t>GÄVLEBORGS LÄN</t>
        </is>
      </c>
      <c r="E8015" t="inlineStr">
        <is>
          <t>LJUSDAL</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38535-2023</t>
        </is>
      </c>
      <c r="B8016" s="1" t="n">
        <v>45162</v>
      </c>
      <c r="C8016" s="1" t="n">
        <v>45677</v>
      </c>
      <c r="D8016" t="inlineStr">
        <is>
          <t>GÄVLEBORGS LÄN</t>
        </is>
      </c>
      <c r="E8016" t="inlineStr">
        <is>
          <t>HUDIKSVALL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38564-2023</t>
        </is>
      </c>
      <c r="B8017" s="1" t="n">
        <v>45162</v>
      </c>
      <c r="C8017" s="1" t="n">
        <v>45677</v>
      </c>
      <c r="D8017" t="inlineStr">
        <is>
          <t>GÄVLEBORGS LÄN</t>
        </is>
      </c>
      <c r="E8017" t="inlineStr">
        <is>
          <t>SANDVIKEN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38558-2023</t>
        </is>
      </c>
      <c r="B8018" s="1" t="n">
        <v>45162</v>
      </c>
      <c r="C8018" s="1" t="n">
        <v>45677</v>
      </c>
      <c r="D8018" t="inlineStr">
        <is>
          <t>GÄVLEBORGS LÄN</t>
        </is>
      </c>
      <c r="E8018" t="inlineStr">
        <is>
          <t>GÄVLE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38667-2023</t>
        </is>
      </c>
      <c r="B8019" s="1" t="n">
        <v>45162</v>
      </c>
      <c r="C8019" s="1" t="n">
        <v>45677</v>
      </c>
      <c r="D8019" t="inlineStr">
        <is>
          <t>GÄVLEBORGS LÄN</t>
        </is>
      </c>
      <c r="E8019" t="inlineStr">
        <is>
          <t>HUDIKSVALL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38634-2023</t>
        </is>
      </c>
      <c r="B8020" s="1" t="n">
        <v>45162</v>
      </c>
      <c r="C8020" s="1" t="n">
        <v>45677</v>
      </c>
      <c r="D8020" t="inlineStr">
        <is>
          <t>GÄVLEBORGS LÄN</t>
        </is>
      </c>
      <c r="E8020" t="inlineStr">
        <is>
          <t>LJUSDAL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38673-2023</t>
        </is>
      </c>
      <c r="B8021" s="1" t="n">
        <v>45163</v>
      </c>
      <c r="C8021" s="1" t="n">
        <v>45677</v>
      </c>
      <c r="D8021" t="inlineStr">
        <is>
          <t>GÄVLEBORGS LÄN</t>
        </is>
      </c>
      <c r="E8021" t="inlineStr">
        <is>
          <t>HUDIKSVALL</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38669-2023</t>
        </is>
      </c>
      <c r="B8022" s="1" t="n">
        <v>45163</v>
      </c>
      <c r="C8022" s="1" t="n">
        <v>45677</v>
      </c>
      <c r="D8022" t="inlineStr">
        <is>
          <t>GÄVLEBORGS LÄN</t>
        </is>
      </c>
      <c r="E8022" t="inlineStr">
        <is>
          <t>HUDIKSVALL</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38658-2023</t>
        </is>
      </c>
      <c r="B8023" s="1" t="n">
        <v>45162</v>
      </c>
      <c r="C8023" s="1" t="n">
        <v>45677</v>
      </c>
      <c r="D8023" t="inlineStr">
        <is>
          <t>GÄVLEBORGS LÄN</t>
        </is>
      </c>
      <c r="E8023" t="inlineStr">
        <is>
          <t>NORDANSTIG</t>
        </is>
      </c>
      <c r="F8023" t="inlineStr">
        <is>
          <t>Holmen skog AB</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38670-2023</t>
        </is>
      </c>
      <c r="B8024" s="1" t="n">
        <v>45162</v>
      </c>
      <c r="C8024" s="1" t="n">
        <v>45677</v>
      </c>
      <c r="D8024" t="inlineStr">
        <is>
          <t>GÄVLEBORGS LÄN</t>
        </is>
      </c>
      <c r="E8024" t="inlineStr">
        <is>
          <t>HUDIKSVALL</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38872-2023</t>
        </is>
      </c>
      <c r="B8025" s="1" t="n">
        <v>45163</v>
      </c>
      <c r="C8025" s="1" t="n">
        <v>45677</v>
      </c>
      <c r="D8025" t="inlineStr">
        <is>
          <t>GÄVLEBORGS LÄN</t>
        </is>
      </c>
      <c r="E8025" t="inlineStr">
        <is>
          <t>NORDANSTIG</t>
        </is>
      </c>
      <c r="F8025" t="inlineStr">
        <is>
          <t>Holmen skog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39012-2023</t>
        </is>
      </c>
      <c r="B8026" s="1" t="n">
        <v>45163</v>
      </c>
      <c r="C8026" s="1" t="n">
        <v>45677</v>
      </c>
      <c r="D8026" t="inlineStr">
        <is>
          <t>GÄVLEBORGS LÄN</t>
        </is>
      </c>
      <c r="E8026" t="inlineStr">
        <is>
          <t>LJUSDAL</t>
        </is>
      </c>
      <c r="G8026" t="n">
        <v>16.3</v>
      </c>
      <c r="H8026" t="n">
        <v>0</v>
      </c>
      <c r="I8026" t="n">
        <v>0</v>
      </c>
      <c r="J8026" t="n">
        <v>0</v>
      </c>
      <c r="K8026" t="n">
        <v>0</v>
      </c>
      <c r="L8026" t="n">
        <v>0</v>
      </c>
      <c r="M8026" t="n">
        <v>0</v>
      </c>
      <c r="N8026" t="n">
        <v>0</v>
      </c>
      <c r="O8026" t="n">
        <v>0</v>
      </c>
      <c r="P8026" t="n">
        <v>0</v>
      </c>
      <c r="Q8026" t="n">
        <v>0</v>
      </c>
      <c r="R8026" s="2" t="inlineStr"/>
    </row>
    <row r="8027" ht="15" customHeight="1">
      <c r="A8027" t="inlineStr">
        <is>
          <t>A 39045-2023</t>
        </is>
      </c>
      <c r="B8027" s="1" t="n">
        <v>45163</v>
      </c>
      <c r="C8027" s="1" t="n">
        <v>45677</v>
      </c>
      <c r="D8027" t="inlineStr">
        <is>
          <t>GÄVLEBORGS LÄN</t>
        </is>
      </c>
      <c r="E8027" t="inlineStr">
        <is>
          <t>HUDIKSVALL</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39069-2023</t>
        </is>
      </c>
      <c r="B8028" s="1" t="n">
        <v>45163</v>
      </c>
      <c r="C8028" s="1" t="n">
        <v>45677</v>
      </c>
      <c r="D8028" t="inlineStr">
        <is>
          <t>GÄVLEBORGS LÄN</t>
        </is>
      </c>
      <c r="E8028" t="inlineStr">
        <is>
          <t>NORDANSTIG</t>
        </is>
      </c>
      <c r="F8028" t="inlineStr">
        <is>
          <t>SCA</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38710-2023</t>
        </is>
      </c>
      <c r="B8029" s="1" t="n">
        <v>45163</v>
      </c>
      <c r="C8029" s="1" t="n">
        <v>45677</v>
      </c>
      <c r="D8029" t="inlineStr">
        <is>
          <t>GÄVLEBORGS LÄN</t>
        </is>
      </c>
      <c r="E8029" t="inlineStr">
        <is>
          <t>NORDANSTIG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38937-2023</t>
        </is>
      </c>
      <c r="B8030" s="1" t="n">
        <v>45163</v>
      </c>
      <c r="C8030" s="1" t="n">
        <v>45677</v>
      </c>
      <c r="D8030" t="inlineStr">
        <is>
          <t>GÄVLEBORGS LÄN</t>
        </is>
      </c>
      <c r="E8030" t="inlineStr">
        <is>
          <t>BOLLNÄS</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39067-2023</t>
        </is>
      </c>
      <c r="B8031" s="1" t="n">
        <v>45163</v>
      </c>
      <c r="C8031" s="1" t="n">
        <v>45677</v>
      </c>
      <c r="D8031" t="inlineStr">
        <is>
          <t>GÄVLEBORGS LÄN</t>
        </is>
      </c>
      <c r="E8031" t="inlineStr">
        <is>
          <t>NORDANSTIG</t>
        </is>
      </c>
      <c r="F8031" t="inlineStr">
        <is>
          <t>SCA</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39068-2023</t>
        </is>
      </c>
      <c r="B8032" s="1" t="n">
        <v>45163</v>
      </c>
      <c r="C8032" s="1" t="n">
        <v>45677</v>
      </c>
      <c r="D8032" t="inlineStr">
        <is>
          <t>GÄVLEBORGS LÄN</t>
        </is>
      </c>
      <c r="E8032" t="inlineStr">
        <is>
          <t>NORDANSTIG</t>
        </is>
      </c>
      <c r="F8032" t="inlineStr">
        <is>
          <t>SCA</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38768-2023</t>
        </is>
      </c>
      <c r="B8033" s="1" t="n">
        <v>45163</v>
      </c>
      <c r="C8033" s="1" t="n">
        <v>45677</v>
      </c>
      <c r="D8033" t="inlineStr">
        <is>
          <t>GÄVLEBORGS LÄN</t>
        </is>
      </c>
      <c r="E8033" t="inlineStr">
        <is>
          <t>NORDANSTIG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38778-2023</t>
        </is>
      </c>
      <c r="B8034" s="1" t="n">
        <v>45163</v>
      </c>
      <c r="C8034" s="1" t="n">
        <v>45677</v>
      </c>
      <c r="D8034" t="inlineStr">
        <is>
          <t>GÄVLEBORGS LÄN</t>
        </is>
      </c>
      <c r="E8034" t="inlineStr">
        <is>
          <t>LJUSDAL</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38780-2023</t>
        </is>
      </c>
      <c r="B8035" s="1" t="n">
        <v>45163</v>
      </c>
      <c r="C8035" s="1" t="n">
        <v>45677</v>
      </c>
      <c r="D8035" t="inlineStr">
        <is>
          <t>GÄVLEBORGS LÄN</t>
        </is>
      </c>
      <c r="E8035" t="inlineStr">
        <is>
          <t>OVANÅKER</t>
        </is>
      </c>
      <c r="F8035" t="inlineStr">
        <is>
          <t>Kyrkan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39116-2023</t>
        </is>
      </c>
      <c r="B8036" s="1" t="n">
        <v>45165</v>
      </c>
      <c r="C8036" s="1" t="n">
        <v>45677</v>
      </c>
      <c r="D8036" t="inlineStr">
        <is>
          <t>GÄVLEBORGS LÄN</t>
        </is>
      </c>
      <c r="E8036" t="inlineStr">
        <is>
          <t>SÖDERHAMN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39137-2023</t>
        </is>
      </c>
      <c r="B8037" s="1" t="n">
        <v>45165</v>
      </c>
      <c r="C8037" s="1" t="n">
        <v>45677</v>
      </c>
      <c r="D8037" t="inlineStr">
        <is>
          <t>GÄVLEBORGS LÄN</t>
        </is>
      </c>
      <c r="E8037" t="inlineStr">
        <is>
          <t>SÖDERHAMN</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39119-2023</t>
        </is>
      </c>
      <c r="B8038" s="1" t="n">
        <v>45165</v>
      </c>
      <c r="C8038" s="1" t="n">
        <v>45677</v>
      </c>
      <c r="D8038" t="inlineStr">
        <is>
          <t>GÄVLEBORGS LÄN</t>
        </is>
      </c>
      <c r="E8038" t="inlineStr">
        <is>
          <t>BOLLNÄS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39139-2023</t>
        </is>
      </c>
      <c r="B8039" s="1" t="n">
        <v>45165</v>
      </c>
      <c r="C8039" s="1" t="n">
        <v>45677</v>
      </c>
      <c r="D8039" t="inlineStr">
        <is>
          <t>GÄVLEBORGS LÄN</t>
        </is>
      </c>
      <c r="E8039" t="inlineStr">
        <is>
          <t>BOLLNÄS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39138-2023</t>
        </is>
      </c>
      <c r="B8040" s="1" t="n">
        <v>45165</v>
      </c>
      <c r="C8040" s="1" t="n">
        <v>45677</v>
      </c>
      <c r="D8040" t="inlineStr">
        <is>
          <t>GÄVLEBORGS LÄN</t>
        </is>
      </c>
      <c r="E8040" t="inlineStr">
        <is>
          <t>SÖDERHAMN</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39192-2023</t>
        </is>
      </c>
      <c r="B8041" s="1" t="n">
        <v>45166</v>
      </c>
      <c r="C8041" s="1" t="n">
        <v>45677</v>
      </c>
      <c r="D8041" t="inlineStr">
        <is>
          <t>GÄVLEBORGS LÄN</t>
        </is>
      </c>
      <c r="E8041" t="inlineStr">
        <is>
          <t>NORDANSTIG</t>
        </is>
      </c>
      <c r="F8041" t="inlineStr">
        <is>
          <t>Holmen skog AB</t>
        </is>
      </c>
      <c r="G8041" t="n">
        <v>12.2</v>
      </c>
      <c r="H8041" t="n">
        <v>0</v>
      </c>
      <c r="I8041" t="n">
        <v>0</v>
      </c>
      <c r="J8041" t="n">
        <v>0</v>
      </c>
      <c r="K8041" t="n">
        <v>0</v>
      </c>
      <c r="L8041" t="n">
        <v>0</v>
      </c>
      <c r="M8041" t="n">
        <v>0</v>
      </c>
      <c r="N8041" t="n">
        <v>0</v>
      </c>
      <c r="O8041" t="n">
        <v>0</v>
      </c>
      <c r="P8041" t="n">
        <v>0</v>
      </c>
      <c r="Q8041" t="n">
        <v>0</v>
      </c>
      <c r="R8041" s="2" t="inlineStr"/>
    </row>
    <row r="8042" ht="15" customHeight="1">
      <c r="A8042" t="inlineStr">
        <is>
          <t>A 39181-2023</t>
        </is>
      </c>
      <c r="B8042" s="1" t="n">
        <v>45166</v>
      </c>
      <c r="C8042" s="1" t="n">
        <v>45677</v>
      </c>
      <c r="D8042" t="inlineStr">
        <is>
          <t>GÄVLEBORGS LÄN</t>
        </is>
      </c>
      <c r="E8042" t="inlineStr">
        <is>
          <t>BOLLNÄS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39186-2023</t>
        </is>
      </c>
      <c r="B8043" s="1" t="n">
        <v>45166</v>
      </c>
      <c r="C8043" s="1" t="n">
        <v>45677</v>
      </c>
      <c r="D8043" t="inlineStr">
        <is>
          <t>GÄVLEBORGS LÄN</t>
        </is>
      </c>
      <c r="E8043" t="inlineStr">
        <is>
          <t>BOLLNÄS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39207-2023</t>
        </is>
      </c>
      <c r="B8044" s="1" t="n">
        <v>45166</v>
      </c>
      <c r="C8044" s="1" t="n">
        <v>45677</v>
      </c>
      <c r="D8044" t="inlineStr">
        <is>
          <t>GÄVLEBORGS LÄN</t>
        </is>
      </c>
      <c r="E8044" t="inlineStr">
        <is>
          <t>NORDANSTIG</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39232-2023</t>
        </is>
      </c>
      <c r="B8045" s="1" t="n">
        <v>45166</v>
      </c>
      <c r="C8045" s="1" t="n">
        <v>45677</v>
      </c>
      <c r="D8045" t="inlineStr">
        <is>
          <t>GÄVLEBORGS LÄN</t>
        </is>
      </c>
      <c r="E8045" t="inlineStr">
        <is>
          <t>BOLLNÄS</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39377-2023</t>
        </is>
      </c>
      <c r="B8046" s="1" t="n">
        <v>45166</v>
      </c>
      <c r="C8046" s="1" t="n">
        <v>45677</v>
      </c>
      <c r="D8046" t="inlineStr">
        <is>
          <t>GÄVLEBORGS LÄN</t>
        </is>
      </c>
      <c r="E8046" t="inlineStr">
        <is>
          <t>OVANÅKER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39382-2023</t>
        </is>
      </c>
      <c r="B8047" s="1" t="n">
        <v>45166</v>
      </c>
      <c r="C8047" s="1" t="n">
        <v>45677</v>
      </c>
      <c r="D8047" t="inlineStr">
        <is>
          <t>GÄVLEBORGS LÄN</t>
        </is>
      </c>
      <c r="E8047" t="inlineStr">
        <is>
          <t>OVANÅKER</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39326-2023</t>
        </is>
      </c>
      <c r="B8048" s="1" t="n">
        <v>45166</v>
      </c>
      <c r="C8048" s="1" t="n">
        <v>45677</v>
      </c>
      <c r="D8048" t="inlineStr">
        <is>
          <t>GÄVLEBORGS LÄN</t>
        </is>
      </c>
      <c r="E8048" t="inlineStr">
        <is>
          <t>SÖDERHAMN</t>
        </is>
      </c>
      <c r="F8048" t="inlineStr">
        <is>
          <t>Bergvik skog väst AB</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39314-2023</t>
        </is>
      </c>
      <c r="B8049" s="1" t="n">
        <v>45166</v>
      </c>
      <c r="C8049" s="1" t="n">
        <v>45677</v>
      </c>
      <c r="D8049" t="inlineStr">
        <is>
          <t>GÄVLEBORGS LÄN</t>
        </is>
      </c>
      <c r="E8049" t="inlineStr">
        <is>
          <t>BOLLNÄS</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39413-2023</t>
        </is>
      </c>
      <c r="B8050" s="1" t="n">
        <v>45166</v>
      </c>
      <c r="C8050" s="1" t="n">
        <v>45677</v>
      </c>
      <c r="D8050" t="inlineStr">
        <is>
          <t>GÄVLEBORGS LÄN</t>
        </is>
      </c>
      <c r="E8050" t="inlineStr">
        <is>
          <t>LJUSDAL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39327-2023</t>
        </is>
      </c>
      <c r="B8051" s="1" t="n">
        <v>45166</v>
      </c>
      <c r="C8051" s="1" t="n">
        <v>45677</v>
      </c>
      <c r="D8051" t="inlineStr">
        <is>
          <t>GÄVLEBORGS LÄN</t>
        </is>
      </c>
      <c r="E8051" t="inlineStr">
        <is>
          <t>BOLLNÄS</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39384-2023</t>
        </is>
      </c>
      <c r="B8052" s="1" t="n">
        <v>45166</v>
      </c>
      <c r="C8052" s="1" t="n">
        <v>45677</v>
      </c>
      <c r="D8052" t="inlineStr">
        <is>
          <t>GÄVLEBORGS LÄN</t>
        </is>
      </c>
      <c r="E8052" t="inlineStr">
        <is>
          <t>OVANÅKER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39392-2023</t>
        </is>
      </c>
      <c r="B8053" s="1" t="n">
        <v>45166</v>
      </c>
      <c r="C8053" s="1" t="n">
        <v>45677</v>
      </c>
      <c r="D8053" t="inlineStr">
        <is>
          <t>GÄVLEBORGS LÄN</t>
        </is>
      </c>
      <c r="E8053" t="inlineStr">
        <is>
          <t>NORDANSTIG</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39552-2023</t>
        </is>
      </c>
      <c r="B8054" s="1" t="n">
        <v>45167</v>
      </c>
      <c r="C8054" s="1" t="n">
        <v>45677</v>
      </c>
      <c r="D8054" t="inlineStr">
        <is>
          <t>GÄVLEBORGS LÄN</t>
        </is>
      </c>
      <c r="E8054" t="inlineStr">
        <is>
          <t>NORDANSTIG</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39662-2023</t>
        </is>
      </c>
      <c r="B8055" s="1" t="n">
        <v>45167</v>
      </c>
      <c r="C8055" s="1" t="n">
        <v>45677</v>
      </c>
      <c r="D8055" t="inlineStr">
        <is>
          <t>GÄVLEBORGS LÄN</t>
        </is>
      </c>
      <c r="E8055" t="inlineStr">
        <is>
          <t>OVANÅKER</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39738-2023</t>
        </is>
      </c>
      <c r="B8056" s="1" t="n">
        <v>45167</v>
      </c>
      <c r="C8056" s="1" t="n">
        <v>45677</v>
      </c>
      <c r="D8056" t="inlineStr">
        <is>
          <t>GÄVLEBORGS LÄN</t>
        </is>
      </c>
      <c r="E8056" t="inlineStr">
        <is>
          <t>LJUSDAL</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39742-2023</t>
        </is>
      </c>
      <c r="B8057" s="1" t="n">
        <v>45167</v>
      </c>
      <c r="C8057" s="1" t="n">
        <v>45677</v>
      </c>
      <c r="D8057" t="inlineStr">
        <is>
          <t>GÄVLEBORGS LÄN</t>
        </is>
      </c>
      <c r="E8057" t="inlineStr">
        <is>
          <t>LJUSDAL</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39568-2023</t>
        </is>
      </c>
      <c r="B8058" s="1" t="n">
        <v>45167</v>
      </c>
      <c r="C8058" s="1" t="n">
        <v>45677</v>
      </c>
      <c r="D8058" t="inlineStr">
        <is>
          <t>GÄVLEBORGS LÄN</t>
        </is>
      </c>
      <c r="E8058" t="inlineStr">
        <is>
          <t>NORDANSTIG</t>
        </is>
      </c>
      <c r="F8058" t="inlineStr">
        <is>
          <t>Holmen skog AB</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39615-2023</t>
        </is>
      </c>
      <c r="B8059" s="1" t="n">
        <v>45167</v>
      </c>
      <c r="C8059" s="1" t="n">
        <v>45677</v>
      </c>
      <c r="D8059" t="inlineStr">
        <is>
          <t>GÄVLEBORGS LÄN</t>
        </is>
      </c>
      <c r="E8059" t="inlineStr">
        <is>
          <t>HUDIKSVALL</t>
        </is>
      </c>
      <c r="F8059" t="inlineStr">
        <is>
          <t>Holmen skog AB</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39526-2023</t>
        </is>
      </c>
      <c r="B8060" s="1" t="n">
        <v>45167</v>
      </c>
      <c r="C8060" s="1" t="n">
        <v>45677</v>
      </c>
      <c r="D8060" t="inlineStr">
        <is>
          <t>GÄVLEBORGS LÄN</t>
        </is>
      </c>
      <c r="E8060" t="inlineStr">
        <is>
          <t>LJUSDAL</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39664-2023</t>
        </is>
      </c>
      <c r="B8061" s="1" t="n">
        <v>45167</v>
      </c>
      <c r="C8061" s="1" t="n">
        <v>45677</v>
      </c>
      <c r="D8061" t="inlineStr">
        <is>
          <t>GÄVLEBORGS LÄN</t>
        </is>
      </c>
      <c r="E8061" t="inlineStr">
        <is>
          <t>OVANÅKER</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39735-2023</t>
        </is>
      </c>
      <c r="B8062" s="1" t="n">
        <v>45167</v>
      </c>
      <c r="C8062" s="1" t="n">
        <v>45677</v>
      </c>
      <c r="D8062" t="inlineStr">
        <is>
          <t>GÄVLEBORGS LÄN</t>
        </is>
      </c>
      <c r="E8062" t="inlineStr">
        <is>
          <t>HUDIKSVALL</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39710-2023</t>
        </is>
      </c>
      <c r="B8063" s="1" t="n">
        <v>45167</v>
      </c>
      <c r="C8063" s="1" t="n">
        <v>45677</v>
      </c>
      <c r="D8063" t="inlineStr">
        <is>
          <t>GÄVLEBORGS LÄN</t>
        </is>
      </c>
      <c r="E8063" t="inlineStr">
        <is>
          <t>OCKELBO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39858-2023</t>
        </is>
      </c>
      <c r="B8064" s="1" t="n">
        <v>45168</v>
      </c>
      <c r="C8064" s="1" t="n">
        <v>45677</v>
      </c>
      <c r="D8064" t="inlineStr">
        <is>
          <t>GÄVLEBORGS LÄN</t>
        </is>
      </c>
      <c r="E8064" t="inlineStr">
        <is>
          <t>HUDIKSVALL</t>
        </is>
      </c>
      <c r="F8064" t="inlineStr">
        <is>
          <t>Holmen skog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39862-2023</t>
        </is>
      </c>
      <c r="B8065" s="1" t="n">
        <v>45168</v>
      </c>
      <c r="C8065" s="1" t="n">
        <v>45677</v>
      </c>
      <c r="D8065" t="inlineStr">
        <is>
          <t>GÄVLEBORGS LÄN</t>
        </is>
      </c>
      <c r="E8065" t="inlineStr">
        <is>
          <t>OVANÅKER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39883-2023</t>
        </is>
      </c>
      <c r="B8066" s="1" t="n">
        <v>45168</v>
      </c>
      <c r="C8066" s="1" t="n">
        <v>45677</v>
      </c>
      <c r="D8066" t="inlineStr">
        <is>
          <t>GÄVLEBORGS LÄN</t>
        </is>
      </c>
      <c r="E8066" t="inlineStr">
        <is>
          <t>LJUSDAL</t>
        </is>
      </c>
      <c r="F8066" t="inlineStr">
        <is>
          <t>Holmen skog AB</t>
        </is>
      </c>
      <c r="G8066" t="n">
        <v>13.9</v>
      </c>
      <c r="H8066" t="n">
        <v>0</v>
      </c>
      <c r="I8066" t="n">
        <v>0</v>
      </c>
      <c r="J8066" t="n">
        <v>0</v>
      </c>
      <c r="K8066" t="n">
        <v>0</v>
      </c>
      <c r="L8066" t="n">
        <v>0</v>
      </c>
      <c r="M8066" t="n">
        <v>0</v>
      </c>
      <c r="N8066" t="n">
        <v>0</v>
      </c>
      <c r="O8066" t="n">
        <v>0</v>
      </c>
      <c r="P8066" t="n">
        <v>0</v>
      </c>
      <c r="Q8066" t="n">
        <v>0</v>
      </c>
      <c r="R8066" s="2" t="inlineStr"/>
    </row>
    <row r="8067" ht="15" customHeight="1">
      <c r="A8067" t="inlineStr">
        <is>
          <t>A 39931-2023</t>
        </is>
      </c>
      <c r="B8067" s="1" t="n">
        <v>45168</v>
      </c>
      <c r="C8067" s="1" t="n">
        <v>45677</v>
      </c>
      <c r="D8067" t="inlineStr">
        <is>
          <t>GÄVLEBORGS LÄN</t>
        </is>
      </c>
      <c r="E8067" t="inlineStr">
        <is>
          <t>GÄVLE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40073-2023</t>
        </is>
      </c>
      <c r="B8068" s="1" t="n">
        <v>45168</v>
      </c>
      <c r="C8068" s="1" t="n">
        <v>45677</v>
      </c>
      <c r="D8068" t="inlineStr">
        <is>
          <t>GÄVLEBORGS LÄN</t>
        </is>
      </c>
      <c r="E8068" t="inlineStr">
        <is>
          <t>NORDANSTIG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39850-2023</t>
        </is>
      </c>
      <c r="B8069" s="1" t="n">
        <v>45168</v>
      </c>
      <c r="C8069" s="1" t="n">
        <v>45677</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39923-2023</t>
        </is>
      </c>
      <c r="B8070" s="1" t="n">
        <v>45168</v>
      </c>
      <c r="C8070" s="1" t="n">
        <v>45677</v>
      </c>
      <c r="D8070" t="inlineStr">
        <is>
          <t>GÄVLEBORGS LÄN</t>
        </is>
      </c>
      <c r="E8070" t="inlineStr">
        <is>
          <t>LJUSDAL</t>
        </is>
      </c>
      <c r="F8070" t="inlineStr">
        <is>
          <t>Allmännings- och besparingsskogar</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39968-2023</t>
        </is>
      </c>
      <c r="B8071" s="1" t="n">
        <v>45168</v>
      </c>
      <c r="C8071" s="1" t="n">
        <v>45677</v>
      </c>
      <c r="D8071" t="inlineStr">
        <is>
          <t>GÄVLEBORGS LÄN</t>
        </is>
      </c>
      <c r="E8071" t="inlineStr">
        <is>
          <t>OCKELBO</t>
        </is>
      </c>
      <c r="F8071" t="inlineStr">
        <is>
          <t>Bergvik skog väst AB</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39916-2023</t>
        </is>
      </c>
      <c r="B8072" s="1" t="n">
        <v>45168</v>
      </c>
      <c r="C8072" s="1" t="n">
        <v>45677</v>
      </c>
      <c r="D8072" t="inlineStr">
        <is>
          <t>GÄVLEBORGS LÄN</t>
        </is>
      </c>
      <c r="E8072" t="inlineStr">
        <is>
          <t>OVANÅKER</t>
        </is>
      </c>
      <c r="F8072" t="inlineStr">
        <is>
          <t>Kyrkan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39932-2023</t>
        </is>
      </c>
      <c r="B8073" s="1" t="n">
        <v>45168</v>
      </c>
      <c r="C8073" s="1" t="n">
        <v>45677</v>
      </c>
      <c r="D8073" t="inlineStr">
        <is>
          <t>GÄVLEBORGS LÄN</t>
        </is>
      </c>
      <c r="E8073" t="inlineStr">
        <is>
          <t>LJUSDAL</t>
        </is>
      </c>
      <c r="F8073" t="inlineStr">
        <is>
          <t>Bergvik skog väst AB</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39950-2023</t>
        </is>
      </c>
      <c r="B8074" s="1" t="n">
        <v>45168</v>
      </c>
      <c r="C8074" s="1" t="n">
        <v>45677</v>
      </c>
      <c r="D8074" t="inlineStr">
        <is>
          <t>GÄVLEBORGS LÄN</t>
        </is>
      </c>
      <c r="E8074" t="inlineStr">
        <is>
          <t>HUDIKSVALL</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40018-2023</t>
        </is>
      </c>
      <c r="B8075" s="1" t="n">
        <v>45168</v>
      </c>
      <c r="C8075" s="1" t="n">
        <v>45677</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40039-2023</t>
        </is>
      </c>
      <c r="B8076" s="1" t="n">
        <v>45168</v>
      </c>
      <c r="C8076" s="1" t="n">
        <v>45677</v>
      </c>
      <c r="D8076" t="inlineStr">
        <is>
          <t>GÄVLEBORGS LÄN</t>
        </is>
      </c>
      <c r="E8076" t="inlineStr">
        <is>
          <t>NORDANSTIG</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40091-2023</t>
        </is>
      </c>
      <c r="B8077" s="1" t="n">
        <v>45169</v>
      </c>
      <c r="C8077" s="1" t="n">
        <v>45677</v>
      </c>
      <c r="D8077" t="inlineStr">
        <is>
          <t>GÄVLEBORGS LÄN</t>
        </is>
      </c>
      <c r="E8077" t="inlineStr">
        <is>
          <t>GÄVLE</t>
        </is>
      </c>
      <c r="F8077" t="inlineStr">
        <is>
          <t>Bergvik skog väst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40116-2023</t>
        </is>
      </c>
      <c r="B8078" s="1" t="n">
        <v>45169</v>
      </c>
      <c r="C8078" s="1" t="n">
        <v>45677</v>
      </c>
      <c r="D8078" t="inlineStr">
        <is>
          <t>GÄVLEBORGS LÄN</t>
        </is>
      </c>
      <c r="E8078" t="inlineStr">
        <is>
          <t>GÄVLE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40070-2023</t>
        </is>
      </c>
      <c r="B8079" s="1" t="n">
        <v>45168</v>
      </c>
      <c r="C8079" s="1" t="n">
        <v>45677</v>
      </c>
      <c r="D8079" t="inlineStr">
        <is>
          <t>GÄVLEBORGS LÄN</t>
        </is>
      </c>
      <c r="E8079" t="inlineStr">
        <is>
          <t>SÖDERHAMN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39877-2023</t>
        </is>
      </c>
      <c r="B8080" s="1" t="n">
        <v>45168</v>
      </c>
      <c r="C8080" s="1" t="n">
        <v>45677</v>
      </c>
      <c r="D8080" t="inlineStr">
        <is>
          <t>GÄVLEBORGS LÄN</t>
        </is>
      </c>
      <c r="E8080" t="inlineStr">
        <is>
          <t>OVANÅKER</t>
        </is>
      </c>
      <c r="F8080" t="inlineStr">
        <is>
          <t>Kyrkan</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39957-2023</t>
        </is>
      </c>
      <c r="B8081" s="1" t="n">
        <v>45168</v>
      </c>
      <c r="C8081" s="1" t="n">
        <v>45677</v>
      </c>
      <c r="D8081" t="inlineStr">
        <is>
          <t>GÄVLEBORGS LÄN</t>
        </is>
      </c>
      <c r="E8081" t="inlineStr">
        <is>
          <t>SANDVIKEN</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39990-2023</t>
        </is>
      </c>
      <c r="B8082" s="1" t="n">
        <v>45168</v>
      </c>
      <c r="C8082" s="1" t="n">
        <v>45677</v>
      </c>
      <c r="D8082" t="inlineStr">
        <is>
          <t>GÄVLEBORGS LÄN</t>
        </is>
      </c>
      <c r="E8082" t="inlineStr">
        <is>
          <t>OCKELBO</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40060-2023</t>
        </is>
      </c>
      <c r="B8083" s="1" t="n">
        <v>45168</v>
      </c>
      <c r="C8083" s="1" t="n">
        <v>45677</v>
      </c>
      <c r="D8083" t="inlineStr">
        <is>
          <t>GÄVLEBORGS LÄN</t>
        </is>
      </c>
      <c r="E8083" t="inlineStr">
        <is>
          <t>HUDIKSVALL</t>
        </is>
      </c>
      <c r="F8083" t="inlineStr">
        <is>
          <t>Holmen skog AB</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40092-2023</t>
        </is>
      </c>
      <c r="B8084" s="1" t="n">
        <v>45169</v>
      </c>
      <c r="C8084" s="1" t="n">
        <v>45677</v>
      </c>
      <c r="D8084" t="inlineStr">
        <is>
          <t>GÄVLEBORGS LÄN</t>
        </is>
      </c>
      <c r="E8084" t="inlineStr">
        <is>
          <t>GÄVLE</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40253-2023</t>
        </is>
      </c>
      <c r="B8085" s="1" t="n">
        <v>45169</v>
      </c>
      <c r="C8085" s="1" t="n">
        <v>45677</v>
      </c>
      <c r="D8085" t="inlineStr">
        <is>
          <t>GÄVLEBORGS LÄN</t>
        </is>
      </c>
      <c r="E8085" t="inlineStr">
        <is>
          <t>LJUSDAL</t>
        </is>
      </c>
      <c r="G8085" t="n">
        <v>9.300000000000001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40261-2023</t>
        </is>
      </c>
      <c r="B8086" s="1" t="n">
        <v>45169</v>
      </c>
      <c r="C8086" s="1" t="n">
        <v>45677</v>
      </c>
      <c r="D8086" t="inlineStr">
        <is>
          <t>GÄVLEBORGS LÄN</t>
        </is>
      </c>
      <c r="E8086" t="inlineStr">
        <is>
          <t>NORDANSTIG</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40269-2023</t>
        </is>
      </c>
      <c r="B8087" s="1" t="n">
        <v>45169</v>
      </c>
      <c r="C8087" s="1" t="n">
        <v>45677</v>
      </c>
      <c r="D8087" t="inlineStr">
        <is>
          <t>GÄVLEBORGS LÄN</t>
        </is>
      </c>
      <c r="E8087" t="inlineStr">
        <is>
          <t>NORDANSTIG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40281-2023</t>
        </is>
      </c>
      <c r="B8088" s="1" t="n">
        <v>45169</v>
      </c>
      <c r="C8088" s="1" t="n">
        <v>45677</v>
      </c>
      <c r="D8088" t="inlineStr">
        <is>
          <t>GÄVLEBORGS LÄN</t>
        </is>
      </c>
      <c r="E8088" t="inlineStr">
        <is>
          <t>LJUSDAL</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40233-2023</t>
        </is>
      </c>
      <c r="B8089" s="1" t="n">
        <v>45169</v>
      </c>
      <c r="C8089" s="1" t="n">
        <v>45677</v>
      </c>
      <c r="D8089" t="inlineStr">
        <is>
          <t>GÄVLEBORGS LÄN</t>
        </is>
      </c>
      <c r="E8089" t="inlineStr">
        <is>
          <t>NORDANSTIG</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40242-2023</t>
        </is>
      </c>
      <c r="B8090" s="1" t="n">
        <v>45169</v>
      </c>
      <c r="C8090" s="1" t="n">
        <v>45677</v>
      </c>
      <c r="D8090" t="inlineStr">
        <is>
          <t>GÄVLEBORGS LÄN</t>
        </is>
      </c>
      <c r="E8090" t="inlineStr">
        <is>
          <t>NORDANSTIG</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40260-2023</t>
        </is>
      </c>
      <c r="B8091" s="1" t="n">
        <v>45169</v>
      </c>
      <c r="C8091" s="1" t="n">
        <v>45677</v>
      </c>
      <c r="D8091" t="inlineStr">
        <is>
          <t>GÄVLEBORGS LÄN</t>
        </is>
      </c>
      <c r="E8091" t="inlineStr">
        <is>
          <t>LJUSDAL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40268-2023</t>
        </is>
      </c>
      <c r="B8092" s="1" t="n">
        <v>45169</v>
      </c>
      <c r="C8092" s="1" t="n">
        <v>45677</v>
      </c>
      <c r="D8092" t="inlineStr">
        <is>
          <t>GÄVLEBORGS LÄN</t>
        </is>
      </c>
      <c r="E8092" t="inlineStr">
        <is>
          <t>GÄVLE</t>
        </is>
      </c>
      <c r="F8092" t="inlineStr">
        <is>
          <t>Bergvik skog öst AB</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40272-2023</t>
        </is>
      </c>
      <c r="B8093" s="1" t="n">
        <v>45169</v>
      </c>
      <c r="C8093" s="1" t="n">
        <v>45677</v>
      </c>
      <c r="D8093" t="inlineStr">
        <is>
          <t>GÄVLEBORGS LÄN</t>
        </is>
      </c>
      <c r="E8093" t="inlineStr">
        <is>
          <t>NORDANSTIG</t>
        </is>
      </c>
      <c r="F8093" t="inlineStr">
        <is>
          <t>Holmen skog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40276-2023</t>
        </is>
      </c>
      <c r="B8094" s="1" t="n">
        <v>45169</v>
      </c>
      <c r="C8094" s="1" t="n">
        <v>45677</v>
      </c>
      <c r="D8094" t="inlineStr">
        <is>
          <t>GÄVLEBORGS LÄN</t>
        </is>
      </c>
      <c r="E8094" t="inlineStr">
        <is>
          <t>LJUSDAL</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40280-2023</t>
        </is>
      </c>
      <c r="B8095" s="1" t="n">
        <v>45169</v>
      </c>
      <c r="C8095" s="1" t="n">
        <v>45677</v>
      </c>
      <c r="D8095" t="inlineStr">
        <is>
          <t>GÄVLEBORGS LÄN</t>
        </is>
      </c>
      <c r="E8095" t="inlineStr">
        <is>
          <t>LJUSDAL</t>
        </is>
      </c>
      <c r="F8095" t="inlineStr">
        <is>
          <t>Sveaskog</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40300-2023</t>
        </is>
      </c>
      <c r="B8096" s="1" t="n">
        <v>45169</v>
      </c>
      <c r="C8096" s="1" t="n">
        <v>45677</v>
      </c>
      <c r="D8096" t="inlineStr">
        <is>
          <t>GÄVLEBORGS LÄN</t>
        </is>
      </c>
      <c r="E8096" t="inlineStr">
        <is>
          <t>BOLLNÄS</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40377-2023</t>
        </is>
      </c>
      <c r="B8097" s="1" t="n">
        <v>45169</v>
      </c>
      <c r="C8097" s="1" t="n">
        <v>45677</v>
      </c>
      <c r="D8097" t="inlineStr">
        <is>
          <t>GÄVLEBORGS LÄN</t>
        </is>
      </c>
      <c r="E8097" t="inlineStr">
        <is>
          <t>SÖDERHAMN</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40136-2023</t>
        </is>
      </c>
      <c r="B8098" s="1" t="n">
        <v>45169</v>
      </c>
      <c r="C8098" s="1" t="n">
        <v>45677</v>
      </c>
      <c r="D8098" t="inlineStr">
        <is>
          <t>GÄVLEBORGS LÄN</t>
        </is>
      </c>
      <c r="E8098" t="inlineStr">
        <is>
          <t>HUDIKSVALL</t>
        </is>
      </c>
      <c r="F8098" t="inlineStr">
        <is>
          <t>Holmen skog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40170-2023</t>
        </is>
      </c>
      <c r="B8099" s="1" t="n">
        <v>45169</v>
      </c>
      <c r="C8099" s="1" t="n">
        <v>45677</v>
      </c>
      <c r="D8099" t="inlineStr">
        <is>
          <t>GÄVLEBORGS LÄN</t>
        </is>
      </c>
      <c r="E8099" t="inlineStr">
        <is>
          <t>NORDANSTIG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40195-2023</t>
        </is>
      </c>
      <c r="B8100" s="1" t="n">
        <v>45169</v>
      </c>
      <c r="C8100" s="1" t="n">
        <v>45677</v>
      </c>
      <c r="D8100" t="inlineStr">
        <is>
          <t>GÄVLEBORGS LÄN</t>
        </is>
      </c>
      <c r="E8100" t="inlineStr">
        <is>
          <t>OCKELBO</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40209-2023</t>
        </is>
      </c>
      <c r="B8101" s="1" t="n">
        <v>45169</v>
      </c>
      <c r="C8101" s="1" t="n">
        <v>45677</v>
      </c>
      <c r="D8101" t="inlineStr">
        <is>
          <t>GÄVLEBORGS LÄN</t>
        </is>
      </c>
      <c r="E8101" t="inlineStr">
        <is>
          <t>SANDVIKEN</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40653-2023</t>
        </is>
      </c>
      <c r="B8102" s="1" t="n">
        <v>45169</v>
      </c>
      <c r="C8102" s="1" t="n">
        <v>45677</v>
      </c>
      <c r="D8102" t="inlineStr">
        <is>
          <t>GÄVLEBORGS LÄN</t>
        </is>
      </c>
      <c r="E8102" t="inlineStr">
        <is>
          <t>BOLLNÄS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40363-2023</t>
        </is>
      </c>
      <c r="B8103" s="1" t="n">
        <v>45169</v>
      </c>
      <c r="C8103" s="1" t="n">
        <v>45677</v>
      </c>
      <c r="D8103" t="inlineStr">
        <is>
          <t>GÄVLEBORGS LÄN</t>
        </is>
      </c>
      <c r="E8103" t="inlineStr">
        <is>
          <t>SANDVIKEN</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40146-2023</t>
        </is>
      </c>
      <c r="B8104" s="1" t="n">
        <v>45169</v>
      </c>
      <c r="C8104" s="1" t="n">
        <v>45677</v>
      </c>
      <c r="D8104" t="inlineStr">
        <is>
          <t>GÄVLEBORGS LÄN</t>
        </is>
      </c>
      <c r="E8104" t="inlineStr">
        <is>
          <t>LJUSDAL</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40191-2023</t>
        </is>
      </c>
      <c r="B8105" s="1" t="n">
        <v>45169</v>
      </c>
      <c r="C8105" s="1" t="n">
        <v>45677</v>
      </c>
      <c r="D8105" t="inlineStr">
        <is>
          <t>GÄVLEBORGS LÄN</t>
        </is>
      </c>
      <c r="E8105" t="inlineStr">
        <is>
          <t>LJUSDAL</t>
        </is>
      </c>
      <c r="F8105" t="inlineStr">
        <is>
          <t>Sveaskog</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40196-2023</t>
        </is>
      </c>
      <c r="B8106" s="1" t="n">
        <v>45169</v>
      </c>
      <c r="C8106" s="1" t="n">
        <v>45677</v>
      </c>
      <c r="D8106" t="inlineStr">
        <is>
          <t>GÄVLEBORGS LÄN</t>
        </is>
      </c>
      <c r="E8106" t="inlineStr">
        <is>
          <t>SANDVIKEN</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40218-2023</t>
        </is>
      </c>
      <c r="B8107" s="1" t="n">
        <v>45169</v>
      </c>
      <c r="C8107" s="1" t="n">
        <v>45677</v>
      </c>
      <c r="D8107" t="inlineStr">
        <is>
          <t>GÄVLEBORGS LÄN</t>
        </is>
      </c>
      <c r="E8107" t="inlineStr">
        <is>
          <t>OCKELBO</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40241-2023</t>
        </is>
      </c>
      <c r="B8108" s="1" t="n">
        <v>45169</v>
      </c>
      <c r="C8108" s="1" t="n">
        <v>45677</v>
      </c>
      <c r="D8108" t="inlineStr">
        <is>
          <t>GÄVLEBORGS LÄN</t>
        </is>
      </c>
      <c r="E8108" t="inlineStr">
        <is>
          <t>NORDANSTIG</t>
        </is>
      </c>
      <c r="F8108" t="inlineStr">
        <is>
          <t>Holmen skog AB</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40365-2023</t>
        </is>
      </c>
      <c r="B8109" s="1" t="n">
        <v>45169</v>
      </c>
      <c r="C8109" s="1" t="n">
        <v>45677</v>
      </c>
      <c r="D8109" t="inlineStr">
        <is>
          <t>GÄVLEBORGS LÄN</t>
        </is>
      </c>
      <c r="E8109" t="inlineStr">
        <is>
          <t>SANDVIKEN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40384-2023</t>
        </is>
      </c>
      <c r="B8110" s="1" t="n">
        <v>45169</v>
      </c>
      <c r="C8110" s="1" t="n">
        <v>45677</v>
      </c>
      <c r="D8110" t="inlineStr">
        <is>
          <t>GÄVLEBORGS LÄN</t>
        </is>
      </c>
      <c r="E8110" t="inlineStr">
        <is>
          <t>LJUSDAL</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40480-2023</t>
        </is>
      </c>
      <c r="B8111" s="1" t="n">
        <v>45170</v>
      </c>
      <c r="C8111" s="1" t="n">
        <v>45677</v>
      </c>
      <c r="D8111" t="inlineStr">
        <is>
          <t>GÄVLEBORGS LÄN</t>
        </is>
      </c>
      <c r="E8111" t="inlineStr">
        <is>
          <t>BOLLNÄS</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40500-2023</t>
        </is>
      </c>
      <c r="B8112" s="1" t="n">
        <v>45170</v>
      </c>
      <c r="C8112" s="1" t="n">
        <v>45677</v>
      </c>
      <c r="D8112" t="inlineStr">
        <is>
          <t>GÄVLEBORGS LÄN</t>
        </is>
      </c>
      <c r="E8112" t="inlineStr">
        <is>
          <t>NORDANSTIG</t>
        </is>
      </c>
      <c r="F8112" t="inlineStr">
        <is>
          <t>Holmen skog AB</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40513-2023</t>
        </is>
      </c>
      <c r="B8113" s="1" t="n">
        <v>45170</v>
      </c>
      <c r="C8113" s="1" t="n">
        <v>45677</v>
      </c>
      <c r="D8113" t="inlineStr">
        <is>
          <t>GÄVLEBORGS LÄN</t>
        </is>
      </c>
      <c r="E8113" t="inlineStr">
        <is>
          <t>BOLLNÄS</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40475-2023</t>
        </is>
      </c>
      <c r="B8114" s="1" t="n">
        <v>45170</v>
      </c>
      <c r="C8114" s="1" t="n">
        <v>45677</v>
      </c>
      <c r="D8114" t="inlineStr">
        <is>
          <t>GÄVLEBORGS LÄN</t>
        </is>
      </c>
      <c r="E8114" t="inlineStr">
        <is>
          <t>BOLLNÄS</t>
        </is>
      </c>
      <c r="F8114" t="inlineStr">
        <is>
          <t>Bergvik skog väst AB</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40609-2023</t>
        </is>
      </c>
      <c r="B8115" s="1" t="n">
        <v>45170</v>
      </c>
      <c r="C8115" s="1" t="n">
        <v>45677</v>
      </c>
      <c r="D8115" t="inlineStr">
        <is>
          <t>GÄVLEBORGS LÄN</t>
        </is>
      </c>
      <c r="E8115" t="inlineStr">
        <is>
          <t>SANDVIKEN</t>
        </is>
      </c>
      <c r="F8115" t="inlineStr">
        <is>
          <t>Bergvik skog öst AB</t>
        </is>
      </c>
      <c r="G8115" t="n">
        <v>31.1</v>
      </c>
      <c r="H8115" t="n">
        <v>0</v>
      </c>
      <c r="I8115" t="n">
        <v>0</v>
      </c>
      <c r="J8115" t="n">
        <v>0</v>
      </c>
      <c r="K8115" t="n">
        <v>0</v>
      </c>
      <c r="L8115" t="n">
        <v>0</v>
      </c>
      <c r="M8115" t="n">
        <v>0</v>
      </c>
      <c r="N8115" t="n">
        <v>0</v>
      </c>
      <c r="O8115" t="n">
        <v>0</v>
      </c>
      <c r="P8115" t="n">
        <v>0</v>
      </c>
      <c r="Q8115" t="n">
        <v>0</v>
      </c>
      <c r="R8115" s="2" t="inlineStr"/>
    </row>
    <row r="8116" ht="15" customHeight="1">
      <c r="A8116" t="inlineStr">
        <is>
          <t>A 40613-2023</t>
        </is>
      </c>
      <c r="B8116" s="1" t="n">
        <v>45170</v>
      </c>
      <c r="C8116" s="1" t="n">
        <v>45677</v>
      </c>
      <c r="D8116" t="inlineStr">
        <is>
          <t>GÄVLEBORGS LÄN</t>
        </is>
      </c>
      <c r="E8116" t="inlineStr">
        <is>
          <t>NORDANSTIG</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40525-2023</t>
        </is>
      </c>
      <c r="B8117" s="1" t="n">
        <v>45170</v>
      </c>
      <c r="C8117" s="1" t="n">
        <v>45677</v>
      </c>
      <c r="D8117" t="inlineStr">
        <is>
          <t>GÄVLEBORGS LÄN</t>
        </is>
      </c>
      <c r="E8117" t="inlineStr">
        <is>
          <t>BOLLNÄS</t>
        </is>
      </c>
      <c r="F8117" t="inlineStr">
        <is>
          <t>Bergvik skog väst AB</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40685-2023</t>
        </is>
      </c>
      <c r="B8118" s="1" t="n">
        <v>45170</v>
      </c>
      <c r="C8118" s="1" t="n">
        <v>45677</v>
      </c>
      <c r="D8118" t="inlineStr">
        <is>
          <t>GÄVLEBORGS LÄN</t>
        </is>
      </c>
      <c r="E8118" t="inlineStr">
        <is>
          <t>BOLLNÄS</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40695-2023</t>
        </is>
      </c>
      <c r="B8119" s="1" t="n">
        <v>45170</v>
      </c>
      <c r="C8119" s="1" t="n">
        <v>45677</v>
      </c>
      <c r="D8119" t="inlineStr">
        <is>
          <t>GÄVLEBORGS LÄN</t>
        </is>
      </c>
      <c r="E8119" t="inlineStr">
        <is>
          <t>LJUSDAL</t>
        </is>
      </c>
      <c r="F8119" t="inlineStr">
        <is>
          <t>Holmen skog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40733-2023</t>
        </is>
      </c>
      <c r="B8120" s="1" t="n">
        <v>45170</v>
      </c>
      <c r="C8120" s="1" t="n">
        <v>45677</v>
      </c>
      <c r="D8120" t="inlineStr">
        <is>
          <t>GÄVLEBORGS LÄN</t>
        </is>
      </c>
      <c r="E8120" t="inlineStr">
        <is>
          <t>NORDANSTIG</t>
        </is>
      </c>
      <c r="F8120" t="inlineStr">
        <is>
          <t>Holmen skog AB</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40745-2023</t>
        </is>
      </c>
      <c r="B8121" s="1" t="n">
        <v>45170</v>
      </c>
      <c r="C8121" s="1" t="n">
        <v>45677</v>
      </c>
      <c r="D8121" t="inlineStr">
        <is>
          <t>GÄVLEBORGS LÄN</t>
        </is>
      </c>
      <c r="E8121" t="inlineStr">
        <is>
          <t>SÖDERHAMN</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40628-2023</t>
        </is>
      </c>
      <c r="B8122" s="1" t="n">
        <v>45170</v>
      </c>
      <c r="C8122" s="1" t="n">
        <v>45677</v>
      </c>
      <c r="D8122" t="inlineStr">
        <is>
          <t>GÄVLEBORGS LÄN</t>
        </is>
      </c>
      <c r="E8122" t="inlineStr">
        <is>
          <t>OVANÅKER</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40738-2023</t>
        </is>
      </c>
      <c r="B8123" s="1" t="n">
        <v>45170</v>
      </c>
      <c r="C8123" s="1" t="n">
        <v>45677</v>
      </c>
      <c r="D8123" t="inlineStr">
        <is>
          <t>GÄVLEBORGS LÄN</t>
        </is>
      </c>
      <c r="E8123" t="inlineStr">
        <is>
          <t>NORDANSTIG</t>
        </is>
      </c>
      <c r="F8123" t="inlineStr">
        <is>
          <t>Holmen skog AB</t>
        </is>
      </c>
      <c r="G8123" t="n">
        <v>9.5</v>
      </c>
      <c r="H8123" t="n">
        <v>0</v>
      </c>
      <c r="I8123" t="n">
        <v>0</v>
      </c>
      <c r="J8123" t="n">
        <v>0</v>
      </c>
      <c r="K8123" t="n">
        <v>0</v>
      </c>
      <c r="L8123" t="n">
        <v>0</v>
      </c>
      <c r="M8123" t="n">
        <v>0</v>
      </c>
      <c r="N8123" t="n">
        <v>0</v>
      </c>
      <c r="O8123" t="n">
        <v>0</v>
      </c>
      <c r="P8123" t="n">
        <v>0</v>
      </c>
      <c r="Q8123" t="n">
        <v>0</v>
      </c>
      <c r="R8123" s="2" t="inlineStr"/>
    </row>
    <row r="8124" ht="15" customHeight="1">
      <c r="A8124" t="inlineStr">
        <is>
          <t>A 40699-2023</t>
        </is>
      </c>
      <c r="B8124" s="1" t="n">
        <v>45170</v>
      </c>
      <c r="C8124" s="1" t="n">
        <v>45677</v>
      </c>
      <c r="D8124" t="inlineStr">
        <is>
          <t>GÄVLEBORGS LÄN</t>
        </is>
      </c>
      <c r="E8124" t="inlineStr">
        <is>
          <t>SÖDERHAMN</t>
        </is>
      </c>
      <c r="F8124" t="inlineStr">
        <is>
          <t>Bergvik skog väst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40740-2023</t>
        </is>
      </c>
      <c r="B8125" s="1" t="n">
        <v>45170</v>
      </c>
      <c r="C8125" s="1" t="n">
        <v>45677</v>
      </c>
      <c r="D8125" t="inlineStr">
        <is>
          <t>GÄVLEBORGS LÄN</t>
        </is>
      </c>
      <c r="E8125" t="inlineStr">
        <is>
          <t>SÖDERHAMN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40744-2023</t>
        </is>
      </c>
      <c r="B8126" s="1" t="n">
        <v>45170</v>
      </c>
      <c r="C8126" s="1" t="n">
        <v>45677</v>
      </c>
      <c r="D8126" t="inlineStr">
        <is>
          <t>GÄVLEBORGS LÄN</t>
        </is>
      </c>
      <c r="E8126" t="inlineStr">
        <is>
          <t>LJUSDAL</t>
        </is>
      </c>
      <c r="F8126" t="inlineStr">
        <is>
          <t>Sveaskog</t>
        </is>
      </c>
      <c r="G8126" t="n">
        <v>14.1</v>
      </c>
      <c r="H8126" t="n">
        <v>0</v>
      </c>
      <c r="I8126" t="n">
        <v>0</v>
      </c>
      <c r="J8126" t="n">
        <v>0</v>
      </c>
      <c r="K8126" t="n">
        <v>0</v>
      </c>
      <c r="L8126" t="n">
        <v>0</v>
      </c>
      <c r="M8126" t="n">
        <v>0</v>
      </c>
      <c r="N8126" t="n">
        <v>0</v>
      </c>
      <c r="O8126" t="n">
        <v>0</v>
      </c>
      <c r="P8126" t="n">
        <v>0</v>
      </c>
      <c r="Q8126" t="n">
        <v>0</v>
      </c>
      <c r="R8126" s="2" t="inlineStr"/>
    </row>
    <row r="8127" ht="15" customHeight="1">
      <c r="A8127" t="inlineStr">
        <is>
          <t>A 40683-2023</t>
        </is>
      </c>
      <c r="B8127" s="1" t="n">
        <v>45170</v>
      </c>
      <c r="C8127" s="1" t="n">
        <v>45677</v>
      </c>
      <c r="D8127" t="inlineStr">
        <is>
          <t>GÄVLEBORGS LÄN</t>
        </is>
      </c>
      <c r="E8127" t="inlineStr">
        <is>
          <t>SÖDERHAMN</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40857-2023</t>
        </is>
      </c>
      <c r="B8128" s="1" t="n">
        <v>45173</v>
      </c>
      <c r="C8128" s="1" t="n">
        <v>45677</v>
      </c>
      <c r="D8128" t="inlineStr">
        <is>
          <t>GÄVLEBORGS LÄN</t>
        </is>
      </c>
      <c r="E8128" t="inlineStr">
        <is>
          <t>OVANÅKER</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40929-2023</t>
        </is>
      </c>
      <c r="B8129" s="1" t="n">
        <v>45173</v>
      </c>
      <c r="C8129" s="1" t="n">
        <v>45677</v>
      </c>
      <c r="D8129" t="inlineStr">
        <is>
          <t>GÄVLEBORGS LÄN</t>
        </is>
      </c>
      <c r="E8129" t="inlineStr">
        <is>
          <t>OVANÅKER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40933-2023</t>
        </is>
      </c>
      <c r="B8130" s="1" t="n">
        <v>45173</v>
      </c>
      <c r="C8130" s="1" t="n">
        <v>45677</v>
      </c>
      <c r="D8130" t="inlineStr">
        <is>
          <t>GÄVLEBORGS LÄN</t>
        </is>
      </c>
      <c r="E8130" t="inlineStr">
        <is>
          <t>BOLLNÄS</t>
        </is>
      </c>
      <c r="F8130" t="inlineStr">
        <is>
          <t>Bergvik skog väst AB</t>
        </is>
      </c>
      <c r="G8130" t="n">
        <v>9.300000000000001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40941-2023</t>
        </is>
      </c>
      <c r="B8131" s="1" t="n">
        <v>45173</v>
      </c>
      <c r="C8131" s="1" t="n">
        <v>45677</v>
      </c>
      <c r="D8131" t="inlineStr">
        <is>
          <t>GÄVLEBORGS LÄN</t>
        </is>
      </c>
      <c r="E8131" t="inlineStr">
        <is>
          <t>HUDIKSVALL</t>
        </is>
      </c>
      <c r="F8131" t="inlineStr">
        <is>
          <t>Holmen skog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40965-2023</t>
        </is>
      </c>
      <c r="B8132" s="1" t="n">
        <v>45173</v>
      </c>
      <c r="C8132" s="1" t="n">
        <v>45677</v>
      </c>
      <c r="D8132" t="inlineStr">
        <is>
          <t>GÄVLEBORGS LÄN</t>
        </is>
      </c>
      <c r="E8132" t="inlineStr">
        <is>
          <t>HUDIKSVALL</t>
        </is>
      </c>
      <c r="F8132" t="inlineStr">
        <is>
          <t>Holmen skog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40989-2023</t>
        </is>
      </c>
      <c r="B8133" s="1" t="n">
        <v>45173</v>
      </c>
      <c r="C8133" s="1" t="n">
        <v>45677</v>
      </c>
      <c r="D8133" t="inlineStr">
        <is>
          <t>GÄVLEBORGS LÄN</t>
        </is>
      </c>
      <c r="E8133" t="inlineStr">
        <is>
          <t>SÖDERHAMN</t>
        </is>
      </c>
      <c r="F8133" t="inlineStr">
        <is>
          <t>Bergvik skog väst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41020-2023</t>
        </is>
      </c>
      <c r="B8134" s="1" t="n">
        <v>45173</v>
      </c>
      <c r="C8134" s="1" t="n">
        <v>45677</v>
      </c>
      <c r="D8134" t="inlineStr">
        <is>
          <t>GÄVLEBORGS LÄN</t>
        </is>
      </c>
      <c r="E8134" t="inlineStr">
        <is>
          <t>HOFORS</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41024-2023</t>
        </is>
      </c>
      <c r="B8135" s="1" t="n">
        <v>45173</v>
      </c>
      <c r="C8135" s="1" t="n">
        <v>45677</v>
      </c>
      <c r="D8135" t="inlineStr">
        <is>
          <t>GÄVLEBORGS LÄN</t>
        </is>
      </c>
      <c r="E8135" t="inlineStr">
        <is>
          <t>SANDVIKEN</t>
        </is>
      </c>
      <c r="F8135" t="inlineStr">
        <is>
          <t>Sveaskog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40848-2023</t>
        </is>
      </c>
      <c r="B8136" s="1" t="n">
        <v>45173</v>
      </c>
      <c r="C8136" s="1" t="n">
        <v>45677</v>
      </c>
      <c r="D8136" t="inlineStr">
        <is>
          <t>GÄVLEBORGS LÄN</t>
        </is>
      </c>
      <c r="E8136" t="inlineStr">
        <is>
          <t>BOLLNÄS</t>
        </is>
      </c>
      <c r="G8136" t="n">
        <v>8.6</v>
      </c>
      <c r="H8136" t="n">
        <v>0</v>
      </c>
      <c r="I8136" t="n">
        <v>0</v>
      </c>
      <c r="J8136" t="n">
        <v>0</v>
      </c>
      <c r="K8136" t="n">
        <v>0</v>
      </c>
      <c r="L8136" t="n">
        <v>0</v>
      </c>
      <c r="M8136" t="n">
        <v>0</v>
      </c>
      <c r="N8136" t="n">
        <v>0</v>
      </c>
      <c r="O8136" t="n">
        <v>0</v>
      </c>
      <c r="P8136" t="n">
        <v>0</v>
      </c>
      <c r="Q8136" t="n">
        <v>0</v>
      </c>
      <c r="R8136" s="2" t="inlineStr"/>
    </row>
    <row r="8137" ht="15" customHeight="1">
      <c r="A8137" t="inlineStr">
        <is>
          <t>A 41048-2023</t>
        </is>
      </c>
      <c r="B8137" s="1" t="n">
        <v>45173</v>
      </c>
      <c r="C8137" s="1" t="n">
        <v>45677</v>
      </c>
      <c r="D8137" t="inlineStr">
        <is>
          <t>GÄVLEBORGS LÄN</t>
        </is>
      </c>
      <c r="E8137" t="inlineStr">
        <is>
          <t>LJUSDAL</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41097-2023</t>
        </is>
      </c>
      <c r="B8138" s="1" t="n">
        <v>45173</v>
      </c>
      <c r="C8138" s="1" t="n">
        <v>45677</v>
      </c>
      <c r="D8138" t="inlineStr">
        <is>
          <t>GÄVLEBORGS LÄN</t>
        </is>
      </c>
      <c r="E8138" t="inlineStr">
        <is>
          <t>SANDVIKEN</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40969-2023</t>
        </is>
      </c>
      <c r="B8139" s="1" t="n">
        <v>45173</v>
      </c>
      <c r="C8139" s="1" t="n">
        <v>45677</v>
      </c>
      <c r="D8139" t="inlineStr">
        <is>
          <t>GÄVLEBORGS LÄN</t>
        </is>
      </c>
      <c r="E8139" t="inlineStr">
        <is>
          <t>HUDIKSVALL</t>
        </is>
      </c>
      <c r="F8139" t="inlineStr">
        <is>
          <t>Holmen skog AB</t>
        </is>
      </c>
      <c r="G8139" t="n">
        <v>15.8</v>
      </c>
      <c r="H8139" t="n">
        <v>0</v>
      </c>
      <c r="I8139" t="n">
        <v>0</v>
      </c>
      <c r="J8139" t="n">
        <v>0</v>
      </c>
      <c r="K8139" t="n">
        <v>0</v>
      </c>
      <c r="L8139" t="n">
        <v>0</v>
      </c>
      <c r="M8139" t="n">
        <v>0</v>
      </c>
      <c r="N8139" t="n">
        <v>0</v>
      </c>
      <c r="O8139" t="n">
        <v>0</v>
      </c>
      <c r="P8139" t="n">
        <v>0</v>
      </c>
      <c r="Q8139" t="n">
        <v>0</v>
      </c>
      <c r="R8139" s="2" t="inlineStr"/>
    </row>
    <row r="8140" ht="15" customHeight="1">
      <c r="A8140" t="inlineStr">
        <is>
          <t>A 41023-2023</t>
        </is>
      </c>
      <c r="B8140" s="1" t="n">
        <v>45173</v>
      </c>
      <c r="C8140" s="1" t="n">
        <v>45677</v>
      </c>
      <c r="D8140" t="inlineStr">
        <is>
          <t>GÄVLEBORGS LÄN</t>
        </is>
      </c>
      <c r="E8140" t="inlineStr">
        <is>
          <t>SANDVIKEN</t>
        </is>
      </c>
      <c r="F8140" t="inlineStr">
        <is>
          <t>Sveaskog</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41070-2023</t>
        </is>
      </c>
      <c r="B8141" s="1" t="n">
        <v>45173</v>
      </c>
      <c r="C8141" s="1" t="n">
        <v>45677</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41123-2023</t>
        </is>
      </c>
      <c r="B8142" s="1" t="n">
        <v>45173</v>
      </c>
      <c r="C8142" s="1" t="n">
        <v>45677</v>
      </c>
      <c r="D8142" t="inlineStr">
        <is>
          <t>GÄVLEBORGS LÄN</t>
        </is>
      </c>
      <c r="E8142" t="inlineStr">
        <is>
          <t>LJUSDAL</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41124-2023</t>
        </is>
      </c>
      <c r="B8143" s="1" t="n">
        <v>45173</v>
      </c>
      <c r="C8143" s="1" t="n">
        <v>45677</v>
      </c>
      <c r="D8143" t="inlineStr">
        <is>
          <t>GÄVLEBORGS LÄN</t>
        </is>
      </c>
      <c r="E8143" t="inlineStr">
        <is>
          <t>LJUSDAL</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40892-2023</t>
        </is>
      </c>
      <c r="B8144" s="1" t="n">
        <v>45173</v>
      </c>
      <c r="C8144" s="1" t="n">
        <v>45677</v>
      </c>
      <c r="D8144" t="inlineStr">
        <is>
          <t>GÄVLEBORGS LÄN</t>
        </is>
      </c>
      <c r="E8144" t="inlineStr">
        <is>
          <t>OVANÅKER</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40901-2023</t>
        </is>
      </c>
      <c r="B8145" s="1" t="n">
        <v>45173</v>
      </c>
      <c r="C8145" s="1" t="n">
        <v>45677</v>
      </c>
      <c r="D8145" t="inlineStr">
        <is>
          <t>GÄVLEBORGS LÄN</t>
        </is>
      </c>
      <c r="E8145" t="inlineStr">
        <is>
          <t>SÖDERHAMN</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40958-2023</t>
        </is>
      </c>
      <c r="B8146" s="1" t="n">
        <v>45173</v>
      </c>
      <c r="C8146" s="1" t="n">
        <v>45677</v>
      </c>
      <c r="D8146" t="inlineStr">
        <is>
          <t>GÄVLEBORGS LÄN</t>
        </is>
      </c>
      <c r="E8146" t="inlineStr">
        <is>
          <t>HUDIKSVALL</t>
        </is>
      </c>
      <c r="F8146" t="inlineStr">
        <is>
          <t>Holmen skog AB</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40987-2023</t>
        </is>
      </c>
      <c r="B8147" s="1" t="n">
        <v>45173</v>
      </c>
      <c r="C8147" s="1" t="n">
        <v>45677</v>
      </c>
      <c r="D8147" t="inlineStr">
        <is>
          <t>GÄVLEBORGS LÄN</t>
        </is>
      </c>
      <c r="E8147" t="inlineStr">
        <is>
          <t>SÖDERHAMN</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41074-2023</t>
        </is>
      </c>
      <c r="B8148" s="1" t="n">
        <v>45173</v>
      </c>
      <c r="C8148" s="1" t="n">
        <v>45677</v>
      </c>
      <c r="D8148" t="inlineStr">
        <is>
          <t>GÄVLEBORGS LÄN</t>
        </is>
      </c>
      <c r="E8148" t="inlineStr">
        <is>
          <t>NORDANSTIG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41110-2023</t>
        </is>
      </c>
      <c r="B8149" s="1" t="n">
        <v>45173</v>
      </c>
      <c r="C8149" s="1" t="n">
        <v>45677</v>
      </c>
      <c r="D8149" t="inlineStr">
        <is>
          <t>GÄVLEBORGS LÄN</t>
        </is>
      </c>
      <c r="E8149" t="inlineStr">
        <is>
          <t>OCKELBO</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41280-2023</t>
        </is>
      </c>
      <c r="B8150" s="1" t="n">
        <v>45174</v>
      </c>
      <c r="C8150" s="1" t="n">
        <v>45677</v>
      </c>
      <c r="D8150" t="inlineStr">
        <is>
          <t>GÄVLEBORGS LÄN</t>
        </is>
      </c>
      <c r="E8150" t="inlineStr">
        <is>
          <t>HUDIKSVALL</t>
        </is>
      </c>
      <c r="F8150" t="inlineStr">
        <is>
          <t>Holmen skog AB</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41162-2023</t>
        </is>
      </c>
      <c r="B8151" s="1" t="n">
        <v>45174</v>
      </c>
      <c r="C8151" s="1" t="n">
        <v>45677</v>
      </c>
      <c r="D8151" t="inlineStr">
        <is>
          <t>GÄVLEBORGS LÄN</t>
        </is>
      </c>
      <c r="E8151" t="inlineStr">
        <is>
          <t>OVANÅKER</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41248-2023</t>
        </is>
      </c>
      <c r="B8152" s="1" t="n">
        <v>45174</v>
      </c>
      <c r="C8152" s="1" t="n">
        <v>45677</v>
      </c>
      <c r="D8152" t="inlineStr">
        <is>
          <t>GÄVLEBORGS LÄN</t>
        </is>
      </c>
      <c r="E8152" t="inlineStr">
        <is>
          <t>NORDANSTIG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41292-2023</t>
        </is>
      </c>
      <c r="B8153" s="1" t="n">
        <v>45174</v>
      </c>
      <c r="C8153" s="1" t="n">
        <v>45677</v>
      </c>
      <c r="D8153" t="inlineStr">
        <is>
          <t>GÄVLEBORGS LÄN</t>
        </is>
      </c>
      <c r="E8153" t="inlineStr">
        <is>
          <t>LJUSDAL</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41299-2023</t>
        </is>
      </c>
      <c r="B8154" s="1" t="n">
        <v>45174</v>
      </c>
      <c r="C8154" s="1" t="n">
        <v>45677</v>
      </c>
      <c r="D8154" t="inlineStr">
        <is>
          <t>GÄVLEBORGS LÄN</t>
        </is>
      </c>
      <c r="E8154" t="inlineStr">
        <is>
          <t>SANDVIKEN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41312-2023</t>
        </is>
      </c>
      <c r="B8155" s="1" t="n">
        <v>45174</v>
      </c>
      <c r="C8155" s="1" t="n">
        <v>45677</v>
      </c>
      <c r="D8155" t="inlineStr">
        <is>
          <t>GÄVLEBORGS LÄN</t>
        </is>
      </c>
      <c r="E8155" t="inlineStr">
        <is>
          <t>SANDVIKEN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41237-2023</t>
        </is>
      </c>
      <c r="B8156" s="1" t="n">
        <v>45174</v>
      </c>
      <c r="C8156" s="1" t="n">
        <v>45677</v>
      </c>
      <c r="D8156" t="inlineStr">
        <is>
          <t>GÄVLEBORGS LÄN</t>
        </is>
      </c>
      <c r="E8156" t="inlineStr">
        <is>
          <t>NORDANSTIG</t>
        </is>
      </c>
      <c r="F8156" t="inlineStr">
        <is>
          <t>Holmen skog AB</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41251-2023</t>
        </is>
      </c>
      <c r="B8157" s="1" t="n">
        <v>45174</v>
      </c>
      <c r="C8157" s="1" t="n">
        <v>45677</v>
      </c>
      <c r="D8157" t="inlineStr">
        <is>
          <t>GÄVLEBORGS LÄN</t>
        </is>
      </c>
      <c r="E8157" t="inlineStr">
        <is>
          <t>HUDIKSVALL</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41266-2023</t>
        </is>
      </c>
      <c r="B8158" s="1" t="n">
        <v>45174</v>
      </c>
      <c r="C8158" s="1" t="n">
        <v>45677</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41274-2023</t>
        </is>
      </c>
      <c r="B8159" s="1" t="n">
        <v>45174</v>
      </c>
      <c r="C8159" s="1" t="n">
        <v>45677</v>
      </c>
      <c r="D8159" t="inlineStr">
        <is>
          <t>GÄVLEBORGS LÄN</t>
        </is>
      </c>
      <c r="E8159" t="inlineStr">
        <is>
          <t>SANDVIKEN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41284-2023</t>
        </is>
      </c>
      <c r="B8160" s="1" t="n">
        <v>45174</v>
      </c>
      <c r="C8160" s="1" t="n">
        <v>45677</v>
      </c>
      <c r="D8160" t="inlineStr">
        <is>
          <t>GÄVLEBORGS LÄN</t>
        </is>
      </c>
      <c r="E8160" t="inlineStr">
        <is>
          <t>SANDVIKEN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41306-2023</t>
        </is>
      </c>
      <c r="B8161" s="1" t="n">
        <v>45174</v>
      </c>
      <c r="C8161" s="1" t="n">
        <v>45677</v>
      </c>
      <c r="D8161" t="inlineStr">
        <is>
          <t>GÄVLEBORGS LÄN</t>
        </is>
      </c>
      <c r="E8161" t="inlineStr">
        <is>
          <t>SANDVIKEN</t>
        </is>
      </c>
      <c r="F8161" t="inlineStr">
        <is>
          <t>Kommuner</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41362-2023</t>
        </is>
      </c>
      <c r="B8162" s="1" t="n">
        <v>45174</v>
      </c>
      <c r="C8162" s="1" t="n">
        <v>45677</v>
      </c>
      <c r="D8162" t="inlineStr">
        <is>
          <t>GÄVLEBORGS LÄN</t>
        </is>
      </c>
      <c r="E8162" t="inlineStr">
        <is>
          <t>NORDANSTIG</t>
        </is>
      </c>
      <c r="F8162" t="inlineStr">
        <is>
          <t>Holmen skog AB</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41240-2023</t>
        </is>
      </c>
      <c r="B8163" s="1" t="n">
        <v>45174</v>
      </c>
      <c r="C8163" s="1" t="n">
        <v>45677</v>
      </c>
      <c r="D8163" t="inlineStr">
        <is>
          <t>GÄVLEBORGS LÄN</t>
        </is>
      </c>
      <c r="E8163" t="inlineStr">
        <is>
          <t>NORDANSTIG</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41277-2023</t>
        </is>
      </c>
      <c r="B8164" s="1" t="n">
        <v>45174</v>
      </c>
      <c r="C8164" s="1" t="n">
        <v>45677</v>
      </c>
      <c r="D8164" t="inlineStr">
        <is>
          <t>GÄVLEBORGS LÄN</t>
        </is>
      </c>
      <c r="E8164" t="inlineStr">
        <is>
          <t>HUDIKSVALL</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41293-2023</t>
        </is>
      </c>
      <c r="B8165" s="1" t="n">
        <v>45174</v>
      </c>
      <c r="C8165" s="1" t="n">
        <v>45677</v>
      </c>
      <c r="D8165" t="inlineStr">
        <is>
          <t>GÄVLEBORGS LÄN</t>
        </is>
      </c>
      <c r="E8165" t="inlineStr">
        <is>
          <t>LJUSDAL</t>
        </is>
      </c>
      <c r="F8165" t="inlineStr">
        <is>
          <t>Sveaskog</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41451-2023</t>
        </is>
      </c>
      <c r="B8166" s="1" t="n">
        <v>45175</v>
      </c>
      <c r="C8166" s="1" t="n">
        <v>45677</v>
      </c>
      <c r="D8166" t="inlineStr">
        <is>
          <t>GÄVLEBORGS LÄN</t>
        </is>
      </c>
      <c r="E8166" t="inlineStr">
        <is>
          <t>OVANÅKER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41476-2023</t>
        </is>
      </c>
      <c r="B8167" s="1" t="n">
        <v>45175</v>
      </c>
      <c r="C8167" s="1" t="n">
        <v>45677</v>
      </c>
      <c r="D8167" t="inlineStr">
        <is>
          <t>GÄVLEBORGS LÄN</t>
        </is>
      </c>
      <c r="E8167" t="inlineStr">
        <is>
          <t>LJUSDAL</t>
        </is>
      </c>
      <c r="F8167" t="inlineStr">
        <is>
          <t>Allmännings- och besparingsskogar</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41497-2023</t>
        </is>
      </c>
      <c r="B8168" s="1" t="n">
        <v>45175</v>
      </c>
      <c r="C8168" s="1" t="n">
        <v>45677</v>
      </c>
      <c r="D8168" t="inlineStr">
        <is>
          <t>GÄVLEBORGS LÄN</t>
        </is>
      </c>
      <c r="E8168" t="inlineStr">
        <is>
          <t>OVANÅKER</t>
        </is>
      </c>
      <c r="G8168" t="n">
        <v>15.5</v>
      </c>
      <c r="H8168" t="n">
        <v>0</v>
      </c>
      <c r="I8168" t="n">
        <v>0</v>
      </c>
      <c r="J8168" t="n">
        <v>0</v>
      </c>
      <c r="K8168" t="n">
        <v>0</v>
      </c>
      <c r="L8168" t="n">
        <v>0</v>
      </c>
      <c r="M8168" t="n">
        <v>0</v>
      </c>
      <c r="N8168" t="n">
        <v>0</v>
      </c>
      <c r="O8168" t="n">
        <v>0</v>
      </c>
      <c r="P8168" t="n">
        <v>0</v>
      </c>
      <c r="Q8168" t="n">
        <v>0</v>
      </c>
      <c r="R8168" s="2" t="inlineStr"/>
    </row>
    <row r="8169" ht="15" customHeight="1">
      <c r="A8169" t="inlineStr">
        <is>
          <t>A 41535-2023</t>
        </is>
      </c>
      <c r="B8169" s="1" t="n">
        <v>45175</v>
      </c>
      <c r="C8169" s="1" t="n">
        <v>45677</v>
      </c>
      <c r="D8169" t="inlineStr">
        <is>
          <t>GÄVLEBORGS LÄN</t>
        </is>
      </c>
      <c r="E8169" t="inlineStr">
        <is>
          <t>OVANÅKER</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41571-2023</t>
        </is>
      </c>
      <c r="B8170" s="1" t="n">
        <v>45175</v>
      </c>
      <c r="C8170" s="1" t="n">
        <v>45677</v>
      </c>
      <c r="D8170" t="inlineStr">
        <is>
          <t>GÄVLEBORGS LÄN</t>
        </is>
      </c>
      <c r="E8170" t="inlineStr">
        <is>
          <t>BOLLNÄS</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41433-2023</t>
        </is>
      </c>
      <c r="B8171" s="1" t="n">
        <v>45175</v>
      </c>
      <c r="C8171" s="1" t="n">
        <v>45677</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41616-2023</t>
        </is>
      </c>
      <c r="B8172" s="1" t="n">
        <v>45175</v>
      </c>
      <c r="C8172" s="1" t="n">
        <v>45677</v>
      </c>
      <c r="D8172" t="inlineStr">
        <is>
          <t>GÄVLEBORGS LÄN</t>
        </is>
      </c>
      <c r="E8172" t="inlineStr">
        <is>
          <t>NORDANSTIG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41540-2023</t>
        </is>
      </c>
      <c r="B8173" s="1" t="n">
        <v>45175</v>
      </c>
      <c r="C8173" s="1" t="n">
        <v>45677</v>
      </c>
      <c r="D8173" t="inlineStr">
        <is>
          <t>GÄVLEBORGS LÄN</t>
        </is>
      </c>
      <c r="E8173" t="inlineStr">
        <is>
          <t>OVANÅKER</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41658-2023</t>
        </is>
      </c>
      <c r="B8174" s="1" t="n">
        <v>45176</v>
      </c>
      <c r="C8174" s="1" t="n">
        <v>45677</v>
      </c>
      <c r="D8174" t="inlineStr">
        <is>
          <t>GÄVLEBORGS LÄN</t>
        </is>
      </c>
      <c r="E8174" t="inlineStr">
        <is>
          <t>LJUSDAL</t>
        </is>
      </c>
      <c r="F8174" t="inlineStr">
        <is>
          <t>SCA</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41463-2023</t>
        </is>
      </c>
      <c r="B8175" s="1" t="n">
        <v>45175</v>
      </c>
      <c r="C8175" s="1" t="n">
        <v>45677</v>
      </c>
      <c r="D8175" t="inlineStr">
        <is>
          <t>GÄVLEBORGS LÄN</t>
        </is>
      </c>
      <c r="E8175" t="inlineStr">
        <is>
          <t>LJUSDAL</t>
        </is>
      </c>
      <c r="F8175" t="inlineStr">
        <is>
          <t>Övriga Aktiebolag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41474-2023</t>
        </is>
      </c>
      <c r="B8176" s="1" t="n">
        <v>45175</v>
      </c>
      <c r="C8176" s="1" t="n">
        <v>45677</v>
      </c>
      <c r="D8176" t="inlineStr">
        <is>
          <t>GÄVLEBORGS LÄN</t>
        </is>
      </c>
      <c r="E8176" t="inlineStr">
        <is>
          <t>OVANÅKER</t>
        </is>
      </c>
      <c r="F8176" t="inlineStr">
        <is>
          <t>Kyrkan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41513-2023</t>
        </is>
      </c>
      <c r="B8177" s="1" t="n">
        <v>45175</v>
      </c>
      <c r="C8177" s="1" t="n">
        <v>45677</v>
      </c>
      <c r="D8177" t="inlineStr">
        <is>
          <t>GÄVLEBORGS LÄN</t>
        </is>
      </c>
      <c r="E8177" t="inlineStr">
        <is>
          <t>LJUSDAL</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41418-2023</t>
        </is>
      </c>
      <c r="B8178" s="1" t="n">
        <v>45175</v>
      </c>
      <c r="C8178" s="1" t="n">
        <v>45677</v>
      </c>
      <c r="D8178" t="inlineStr">
        <is>
          <t>GÄVLEBORGS LÄN</t>
        </is>
      </c>
      <c r="E8178" t="inlineStr">
        <is>
          <t>OCKELBO</t>
        </is>
      </c>
      <c r="F8178" t="inlineStr">
        <is>
          <t>Bergvik skog väst AB</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41615-2023</t>
        </is>
      </c>
      <c r="B8179" s="1" t="n">
        <v>45175</v>
      </c>
      <c r="C8179" s="1" t="n">
        <v>45677</v>
      </c>
      <c r="D8179" t="inlineStr">
        <is>
          <t>GÄVLEBORGS LÄN</t>
        </is>
      </c>
      <c r="E8179" t="inlineStr">
        <is>
          <t>NORDANSTIG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41544-2023</t>
        </is>
      </c>
      <c r="B8180" s="1" t="n">
        <v>45175</v>
      </c>
      <c r="C8180" s="1" t="n">
        <v>45677</v>
      </c>
      <c r="D8180" t="inlineStr">
        <is>
          <t>GÄVLEBORGS LÄN</t>
        </is>
      </c>
      <c r="E8180" t="inlineStr">
        <is>
          <t>OVANÅKER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41641-2023</t>
        </is>
      </c>
      <c r="B8181" s="1" t="n">
        <v>45175</v>
      </c>
      <c r="C8181" s="1" t="n">
        <v>45677</v>
      </c>
      <c r="D8181" t="inlineStr">
        <is>
          <t>GÄVLEBORGS LÄN</t>
        </is>
      </c>
      <c r="E8181" t="inlineStr">
        <is>
          <t>NORDANSTIG</t>
        </is>
      </c>
      <c r="F8181" t="inlineStr">
        <is>
          <t>Holmen skog AB</t>
        </is>
      </c>
      <c r="G8181" t="n">
        <v>10.7</v>
      </c>
      <c r="H8181" t="n">
        <v>0</v>
      </c>
      <c r="I8181" t="n">
        <v>0</v>
      </c>
      <c r="J8181" t="n">
        <v>0</v>
      </c>
      <c r="K8181" t="n">
        <v>0</v>
      </c>
      <c r="L8181" t="n">
        <v>0</v>
      </c>
      <c r="M8181" t="n">
        <v>0</v>
      </c>
      <c r="N8181" t="n">
        <v>0</v>
      </c>
      <c r="O8181" t="n">
        <v>0</v>
      </c>
      <c r="P8181" t="n">
        <v>0</v>
      </c>
      <c r="Q8181" t="n">
        <v>0</v>
      </c>
      <c r="R8181" s="2" t="inlineStr"/>
    </row>
    <row r="8182" ht="15" customHeight="1">
      <c r="A8182" t="inlineStr">
        <is>
          <t>A 41657-2023</t>
        </is>
      </c>
      <c r="B8182" s="1" t="n">
        <v>45176</v>
      </c>
      <c r="C8182" s="1" t="n">
        <v>45677</v>
      </c>
      <c r="D8182" t="inlineStr">
        <is>
          <t>GÄVLEBORGS LÄN</t>
        </is>
      </c>
      <c r="E8182" t="inlineStr">
        <is>
          <t>LJUSDAL</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41614-2023</t>
        </is>
      </c>
      <c r="B8183" s="1" t="n">
        <v>45175</v>
      </c>
      <c r="C8183" s="1" t="n">
        <v>45677</v>
      </c>
      <c r="D8183" t="inlineStr">
        <is>
          <t>GÄVLEBORGS LÄN</t>
        </is>
      </c>
      <c r="E8183" t="inlineStr">
        <is>
          <t>LJUSDAL</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41620-2023</t>
        </is>
      </c>
      <c r="B8184" s="1" t="n">
        <v>45175</v>
      </c>
      <c r="C8184" s="1" t="n">
        <v>45677</v>
      </c>
      <c r="D8184" t="inlineStr">
        <is>
          <t>GÄVLEBORGS LÄN</t>
        </is>
      </c>
      <c r="E8184" t="inlineStr">
        <is>
          <t>NORDANSTIG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41512-2023</t>
        </is>
      </c>
      <c r="B8185" s="1" t="n">
        <v>45175</v>
      </c>
      <c r="C8185" s="1" t="n">
        <v>45677</v>
      </c>
      <c r="D8185" t="inlineStr">
        <is>
          <t>GÄVLEBORGS LÄN</t>
        </is>
      </c>
      <c r="E8185" t="inlineStr">
        <is>
          <t>OVANÅKER</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41522-2023</t>
        </is>
      </c>
      <c r="B8186" s="1" t="n">
        <v>45175</v>
      </c>
      <c r="C8186" s="1" t="n">
        <v>45677</v>
      </c>
      <c r="D8186" t="inlineStr">
        <is>
          <t>GÄVLEBORGS LÄN</t>
        </is>
      </c>
      <c r="E8186" t="inlineStr">
        <is>
          <t>SANDVIKEN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41639-2023</t>
        </is>
      </c>
      <c r="B8187" s="1" t="n">
        <v>45175</v>
      </c>
      <c r="C8187" s="1" t="n">
        <v>45677</v>
      </c>
      <c r="D8187" t="inlineStr">
        <is>
          <t>GÄVLEBORGS LÄN</t>
        </is>
      </c>
      <c r="E8187" t="inlineStr">
        <is>
          <t>NORDANSTIG</t>
        </is>
      </c>
      <c r="F8187" t="inlineStr">
        <is>
          <t>Holmen skog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41712-2023</t>
        </is>
      </c>
      <c r="B8188" s="1" t="n">
        <v>45176</v>
      </c>
      <c r="C8188" s="1" t="n">
        <v>45677</v>
      </c>
      <c r="D8188" t="inlineStr">
        <is>
          <t>GÄVLEBORGS LÄN</t>
        </is>
      </c>
      <c r="E8188" t="inlineStr">
        <is>
          <t>GÄVLE</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41740-2023</t>
        </is>
      </c>
      <c r="B8189" s="1" t="n">
        <v>45176</v>
      </c>
      <c r="C8189" s="1" t="n">
        <v>45677</v>
      </c>
      <c r="D8189" t="inlineStr">
        <is>
          <t>GÄVLEBORGS LÄN</t>
        </is>
      </c>
      <c r="E8189" t="inlineStr">
        <is>
          <t>BOLLNÄS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41773-2023</t>
        </is>
      </c>
      <c r="B8190" s="1" t="n">
        <v>45176</v>
      </c>
      <c r="C8190" s="1" t="n">
        <v>45677</v>
      </c>
      <c r="D8190" t="inlineStr">
        <is>
          <t>GÄVLEBORGS LÄN</t>
        </is>
      </c>
      <c r="E8190" t="inlineStr">
        <is>
          <t>LJUSDAL</t>
        </is>
      </c>
      <c r="F8190" t="inlineStr">
        <is>
          <t>Holmen skog AB</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41801-2023</t>
        </is>
      </c>
      <c r="B8191" s="1" t="n">
        <v>45176</v>
      </c>
      <c r="C8191" s="1" t="n">
        <v>45677</v>
      </c>
      <c r="D8191" t="inlineStr">
        <is>
          <t>GÄVLEBORGS LÄN</t>
        </is>
      </c>
      <c r="E8191" t="inlineStr">
        <is>
          <t>OVANÅKER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41842-2023</t>
        </is>
      </c>
      <c r="B8192" s="1" t="n">
        <v>45176</v>
      </c>
      <c r="C8192" s="1" t="n">
        <v>45677</v>
      </c>
      <c r="D8192" t="inlineStr">
        <is>
          <t>GÄVLEBORGS LÄN</t>
        </is>
      </c>
      <c r="E8192" t="inlineStr">
        <is>
          <t>GÄVLE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41890-2023</t>
        </is>
      </c>
      <c r="B8193" s="1" t="n">
        <v>45176</v>
      </c>
      <c r="C8193" s="1" t="n">
        <v>45677</v>
      </c>
      <c r="D8193" t="inlineStr">
        <is>
          <t>GÄVLEBORGS LÄN</t>
        </is>
      </c>
      <c r="E8193" t="inlineStr">
        <is>
          <t>SANDVIKEN</t>
        </is>
      </c>
      <c r="F8193" t="inlineStr">
        <is>
          <t>Sveaskog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41721-2023</t>
        </is>
      </c>
      <c r="B8194" s="1" t="n">
        <v>45176</v>
      </c>
      <c r="C8194" s="1" t="n">
        <v>45677</v>
      </c>
      <c r="D8194" t="inlineStr">
        <is>
          <t>GÄVLEBORGS LÄN</t>
        </is>
      </c>
      <c r="E8194" t="inlineStr">
        <is>
          <t>NORDANSTIG</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41729-2023</t>
        </is>
      </c>
      <c r="B8195" s="1" t="n">
        <v>45176</v>
      </c>
      <c r="C8195" s="1" t="n">
        <v>45677</v>
      </c>
      <c r="D8195" t="inlineStr">
        <is>
          <t>GÄVLEBORGS LÄN</t>
        </is>
      </c>
      <c r="E8195" t="inlineStr">
        <is>
          <t>NORDANSTIG</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41745-2023</t>
        </is>
      </c>
      <c r="B8196" s="1" t="n">
        <v>45176</v>
      </c>
      <c r="C8196" s="1" t="n">
        <v>45677</v>
      </c>
      <c r="D8196" t="inlineStr">
        <is>
          <t>GÄVLEBORGS LÄN</t>
        </is>
      </c>
      <c r="E8196" t="inlineStr">
        <is>
          <t>HUDIKSVALL</t>
        </is>
      </c>
      <c r="F8196" t="inlineStr">
        <is>
          <t>Holmen skog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41798-2023</t>
        </is>
      </c>
      <c r="B8197" s="1" t="n">
        <v>45176</v>
      </c>
      <c r="C8197" s="1" t="n">
        <v>45677</v>
      </c>
      <c r="D8197" t="inlineStr">
        <is>
          <t>GÄVLEBORGS LÄN</t>
        </is>
      </c>
      <c r="E8197" t="inlineStr">
        <is>
          <t>OVANÅKER</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41701-2023</t>
        </is>
      </c>
      <c r="B8198" s="1" t="n">
        <v>45176</v>
      </c>
      <c r="C8198" s="1" t="n">
        <v>45677</v>
      </c>
      <c r="D8198" t="inlineStr">
        <is>
          <t>GÄVLEBORGS LÄN</t>
        </is>
      </c>
      <c r="E8198" t="inlineStr">
        <is>
          <t>NORDANSTIG</t>
        </is>
      </c>
      <c r="F8198" t="inlineStr">
        <is>
          <t>Holmen skog AB</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41735-2023</t>
        </is>
      </c>
      <c r="B8199" s="1" t="n">
        <v>45176</v>
      </c>
      <c r="C8199" s="1" t="n">
        <v>45677</v>
      </c>
      <c r="D8199" t="inlineStr">
        <is>
          <t>GÄVLEBORGS LÄN</t>
        </is>
      </c>
      <c r="E8199" t="inlineStr">
        <is>
          <t>HUDIKSVALL</t>
        </is>
      </c>
      <c r="F8199" t="inlineStr">
        <is>
          <t>Holmen skog AB</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41747-2023</t>
        </is>
      </c>
      <c r="B8200" s="1" t="n">
        <v>45176</v>
      </c>
      <c r="C8200" s="1" t="n">
        <v>45677</v>
      </c>
      <c r="D8200" t="inlineStr">
        <is>
          <t>GÄVLEBORGS LÄN</t>
        </is>
      </c>
      <c r="E8200" t="inlineStr">
        <is>
          <t>HUDIKSVALL</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41704-2023</t>
        </is>
      </c>
      <c r="B8201" s="1" t="n">
        <v>45176</v>
      </c>
      <c r="C8201" s="1" t="n">
        <v>45677</v>
      </c>
      <c r="D8201" t="inlineStr">
        <is>
          <t>GÄVLEBORGS LÄN</t>
        </is>
      </c>
      <c r="E8201" t="inlineStr">
        <is>
          <t>NORDANSTIG</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41901-2023</t>
        </is>
      </c>
      <c r="B8202" s="1" t="n">
        <v>45176</v>
      </c>
      <c r="C8202" s="1" t="n">
        <v>45677</v>
      </c>
      <c r="D8202" t="inlineStr">
        <is>
          <t>GÄVLEBORGS LÄN</t>
        </is>
      </c>
      <c r="E8202" t="inlineStr">
        <is>
          <t>NORDANSTIG</t>
        </is>
      </c>
      <c r="F8202" t="inlineStr">
        <is>
          <t>Holmen skog AB</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41708-2023</t>
        </is>
      </c>
      <c r="B8203" s="1" t="n">
        <v>45176</v>
      </c>
      <c r="C8203" s="1" t="n">
        <v>45677</v>
      </c>
      <c r="D8203" t="inlineStr">
        <is>
          <t>GÄVLEBORGS LÄN</t>
        </is>
      </c>
      <c r="E8203" t="inlineStr">
        <is>
          <t>GÄVLE</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41730-2023</t>
        </is>
      </c>
      <c r="B8204" s="1" t="n">
        <v>45176</v>
      </c>
      <c r="C8204" s="1" t="n">
        <v>45677</v>
      </c>
      <c r="D8204" t="inlineStr">
        <is>
          <t>GÄVLEBORGS LÄN</t>
        </is>
      </c>
      <c r="E8204" t="inlineStr">
        <is>
          <t>BOLLNÄS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41783-2023</t>
        </is>
      </c>
      <c r="B8205" s="1" t="n">
        <v>45176</v>
      </c>
      <c r="C8205" s="1" t="n">
        <v>45677</v>
      </c>
      <c r="D8205" t="inlineStr">
        <is>
          <t>GÄVLEBORGS LÄN</t>
        </is>
      </c>
      <c r="E8205" t="inlineStr">
        <is>
          <t>SANDVIKEN</t>
        </is>
      </c>
      <c r="F8205" t="inlineStr">
        <is>
          <t>Bergvik skog öst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41844-2023</t>
        </is>
      </c>
      <c r="B8206" s="1" t="n">
        <v>45176</v>
      </c>
      <c r="C8206" s="1" t="n">
        <v>45677</v>
      </c>
      <c r="D8206" t="inlineStr">
        <is>
          <t>GÄVLEBORGS LÄN</t>
        </is>
      </c>
      <c r="E8206" t="inlineStr">
        <is>
          <t>GÄVLE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41839-2023</t>
        </is>
      </c>
      <c r="B8207" s="1" t="n">
        <v>45176</v>
      </c>
      <c r="C8207" s="1" t="n">
        <v>45677</v>
      </c>
      <c r="D8207" t="inlineStr">
        <is>
          <t>GÄVLEBORGS LÄN</t>
        </is>
      </c>
      <c r="E8207" t="inlineStr">
        <is>
          <t>NORDANSTIG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41957-2023</t>
        </is>
      </c>
      <c r="B8208" s="1" t="n">
        <v>45177</v>
      </c>
      <c r="C8208" s="1" t="n">
        <v>45677</v>
      </c>
      <c r="D8208" t="inlineStr">
        <is>
          <t>GÄVLEBORGS LÄN</t>
        </is>
      </c>
      <c r="E8208" t="inlineStr">
        <is>
          <t>NORDANSTIG</t>
        </is>
      </c>
      <c r="F8208" t="inlineStr">
        <is>
          <t>Holmen skog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41990-2023</t>
        </is>
      </c>
      <c r="B8209" s="1" t="n">
        <v>45177</v>
      </c>
      <c r="C8209" s="1" t="n">
        <v>45677</v>
      </c>
      <c r="D8209" t="inlineStr">
        <is>
          <t>GÄVLEBORGS LÄN</t>
        </is>
      </c>
      <c r="E8209" t="inlineStr">
        <is>
          <t>OVANÅKER</t>
        </is>
      </c>
      <c r="F8209" t="inlineStr">
        <is>
          <t>Bergvik skog väst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42029-2023</t>
        </is>
      </c>
      <c r="B8210" s="1" t="n">
        <v>45177</v>
      </c>
      <c r="C8210" s="1" t="n">
        <v>45677</v>
      </c>
      <c r="D8210" t="inlineStr">
        <is>
          <t>GÄVLEBORGS LÄN</t>
        </is>
      </c>
      <c r="E8210" t="inlineStr">
        <is>
          <t>SÖDERHAMN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42061-2023</t>
        </is>
      </c>
      <c r="B8211" s="1" t="n">
        <v>45177</v>
      </c>
      <c r="C8211" s="1" t="n">
        <v>45677</v>
      </c>
      <c r="D8211" t="inlineStr">
        <is>
          <t>GÄVLEBORGS LÄN</t>
        </is>
      </c>
      <c r="E8211" t="inlineStr">
        <is>
          <t>OCKELBO</t>
        </is>
      </c>
      <c r="F8211" t="inlineStr">
        <is>
          <t>Bergvik skog väst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42065-2023</t>
        </is>
      </c>
      <c r="B8212" s="1" t="n">
        <v>45177</v>
      </c>
      <c r="C8212" s="1" t="n">
        <v>45677</v>
      </c>
      <c r="D8212" t="inlineStr">
        <is>
          <t>GÄVLEBORGS LÄN</t>
        </is>
      </c>
      <c r="E8212" t="inlineStr">
        <is>
          <t>OCKELBO</t>
        </is>
      </c>
      <c r="F8212" t="inlineStr">
        <is>
          <t>Bergvik skog väst AB</t>
        </is>
      </c>
      <c r="G8212" t="n">
        <v>12.8</v>
      </c>
      <c r="H8212" t="n">
        <v>0</v>
      </c>
      <c r="I8212" t="n">
        <v>0</v>
      </c>
      <c r="J8212" t="n">
        <v>0</v>
      </c>
      <c r="K8212" t="n">
        <v>0</v>
      </c>
      <c r="L8212" t="n">
        <v>0</v>
      </c>
      <c r="M8212" t="n">
        <v>0</v>
      </c>
      <c r="N8212" t="n">
        <v>0</v>
      </c>
      <c r="O8212" t="n">
        <v>0</v>
      </c>
      <c r="P8212" t="n">
        <v>0</v>
      </c>
      <c r="Q8212" t="n">
        <v>0</v>
      </c>
      <c r="R8212" s="2" t="inlineStr"/>
    </row>
    <row r="8213" ht="15" customHeight="1">
      <c r="A8213" t="inlineStr">
        <is>
          <t>A 42006-2023</t>
        </is>
      </c>
      <c r="B8213" s="1" t="n">
        <v>45177</v>
      </c>
      <c r="C8213" s="1" t="n">
        <v>45677</v>
      </c>
      <c r="D8213" t="inlineStr">
        <is>
          <t>GÄVLEBORGS LÄN</t>
        </is>
      </c>
      <c r="E8213" t="inlineStr">
        <is>
          <t>OVANÅKER</t>
        </is>
      </c>
      <c r="F8213" t="inlineStr">
        <is>
          <t>Bergvik skog väst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42031-2023</t>
        </is>
      </c>
      <c r="B8214" s="1" t="n">
        <v>45177</v>
      </c>
      <c r="C8214" s="1" t="n">
        <v>45677</v>
      </c>
      <c r="D8214" t="inlineStr">
        <is>
          <t>GÄVLEBORGS LÄN</t>
        </is>
      </c>
      <c r="E8214" t="inlineStr">
        <is>
          <t>SÖDERHAMN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42052-2023</t>
        </is>
      </c>
      <c r="B8215" s="1" t="n">
        <v>45177</v>
      </c>
      <c r="C8215" s="1" t="n">
        <v>45677</v>
      </c>
      <c r="D8215" t="inlineStr">
        <is>
          <t>GÄVLEBORGS LÄN</t>
        </is>
      </c>
      <c r="E8215" t="inlineStr">
        <is>
          <t>OVANÅKER</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42058-2023</t>
        </is>
      </c>
      <c r="B8216" s="1" t="n">
        <v>45177</v>
      </c>
      <c r="C8216" s="1" t="n">
        <v>45677</v>
      </c>
      <c r="D8216" t="inlineStr">
        <is>
          <t>GÄVLEBORGS LÄN</t>
        </is>
      </c>
      <c r="E8216" t="inlineStr">
        <is>
          <t>OCKELBO</t>
        </is>
      </c>
      <c r="F8216" t="inlineStr">
        <is>
          <t>Bergvik skog väst AB</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42067-2023</t>
        </is>
      </c>
      <c r="B8217" s="1" t="n">
        <v>45177</v>
      </c>
      <c r="C8217" s="1" t="n">
        <v>45677</v>
      </c>
      <c r="D8217" t="inlineStr">
        <is>
          <t>GÄVLEBORGS LÄN</t>
        </is>
      </c>
      <c r="E8217" t="inlineStr">
        <is>
          <t>OVANÅKER</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42128-2023</t>
        </is>
      </c>
      <c r="B8218" s="1" t="n">
        <v>45177</v>
      </c>
      <c r="C8218" s="1" t="n">
        <v>45677</v>
      </c>
      <c r="D8218" t="inlineStr">
        <is>
          <t>GÄVLEBORGS LÄN</t>
        </is>
      </c>
      <c r="E8218" t="inlineStr">
        <is>
          <t>HUDIKSVALL</t>
        </is>
      </c>
      <c r="F8218" t="inlineStr">
        <is>
          <t>Holmen skog AB</t>
        </is>
      </c>
      <c r="G8218" t="n">
        <v>9.1</v>
      </c>
      <c r="H8218" t="n">
        <v>0</v>
      </c>
      <c r="I8218" t="n">
        <v>0</v>
      </c>
      <c r="J8218" t="n">
        <v>0</v>
      </c>
      <c r="K8218" t="n">
        <v>0</v>
      </c>
      <c r="L8218" t="n">
        <v>0</v>
      </c>
      <c r="M8218" t="n">
        <v>0</v>
      </c>
      <c r="N8218" t="n">
        <v>0</v>
      </c>
      <c r="O8218" t="n">
        <v>0</v>
      </c>
      <c r="P8218" t="n">
        <v>0</v>
      </c>
      <c r="Q8218" t="n">
        <v>0</v>
      </c>
      <c r="R8218" s="2" t="inlineStr"/>
    </row>
    <row r="8219" ht="15" customHeight="1">
      <c r="A8219" t="inlineStr">
        <is>
          <t>A 42020-2023</t>
        </is>
      </c>
      <c r="B8219" s="1" t="n">
        <v>45177</v>
      </c>
      <c r="C8219" s="1" t="n">
        <v>45677</v>
      </c>
      <c r="D8219" t="inlineStr">
        <is>
          <t>GÄVLEBORGS LÄN</t>
        </is>
      </c>
      <c r="E8219" t="inlineStr">
        <is>
          <t>HOFORS</t>
        </is>
      </c>
      <c r="F8219" t="inlineStr">
        <is>
          <t>Sveaskog</t>
        </is>
      </c>
      <c r="G8219" t="n">
        <v>13.1</v>
      </c>
      <c r="H8219" t="n">
        <v>0</v>
      </c>
      <c r="I8219" t="n">
        <v>0</v>
      </c>
      <c r="J8219" t="n">
        <v>0</v>
      </c>
      <c r="K8219" t="n">
        <v>0</v>
      </c>
      <c r="L8219" t="n">
        <v>0</v>
      </c>
      <c r="M8219" t="n">
        <v>0</v>
      </c>
      <c r="N8219" t="n">
        <v>0</v>
      </c>
      <c r="O8219" t="n">
        <v>0</v>
      </c>
      <c r="P8219" t="n">
        <v>0</v>
      </c>
      <c r="Q8219" t="n">
        <v>0</v>
      </c>
      <c r="R8219" s="2" t="inlineStr"/>
    </row>
    <row r="8220" ht="15" customHeight="1">
      <c r="A8220" t="inlineStr">
        <is>
          <t>A 42101-2023</t>
        </is>
      </c>
      <c r="B8220" s="1" t="n">
        <v>45177</v>
      </c>
      <c r="C8220" s="1" t="n">
        <v>45677</v>
      </c>
      <c r="D8220" t="inlineStr">
        <is>
          <t>GÄVLEBORGS LÄN</t>
        </is>
      </c>
      <c r="E8220" t="inlineStr">
        <is>
          <t>OVANÅKER</t>
        </is>
      </c>
      <c r="G8220" t="n">
        <v>12.1</v>
      </c>
      <c r="H8220" t="n">
        <v>0</v>
      </c>
      <c r="I8220" t="n">
        <v>0</v>
      </c>
      <c r="J8220" t="n">
        <v>0</v>
      </c>
      <c r="K8220" t="n">
        <v>0</v>
      </c>
      <c r="L8220" t="n">
        <v>0</v>
      </c>
      <c r="M8220" t="n">
        <v>0</v>
      </c>
      <c r="N8220" t="n">
        <v>0</v>
      </c>
      <c r="O8220" t="n">
        <v>0</v>
      </c>
      <c r="P8220" t="n">
        <v>0</v>
      </c>
      <c r="Q8220" t="n">
        <v>0</v>
      </c>
      <c r="R8220" s="2" t="inlineStr"/>
    </row>
    <row r="8221" ht="15" customHeight="1">
      <c r="A8221" t="inlineStr">
        <is>
          <t>A 42076-2023</t>
        </is>
      </c>
      <c r="B8221" s="1" t="n">
        <v>45177</v>
      </c>
      <c r="C8221" s="1" t="n">
        <v>45677</v>
      </c>
      <c r="D8221" t="inlineStr">
        <is>
          <t>GÄVLEBORGS LÄN</t>
        </is>
      </c>
      <c r="E8221" t="inlineStr">
        <is>
          <t>OVANÅKER</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42098-2023</t>
        </is>
      </c>
      <c r="B8222" s="1" t="n">
        <v>45177</v>
      </c>
      <c r="C8222" s="1" t="n">
        <v>45677</v>
      </c>
      <c r="D8222" t="inlineStr">
        <is>
          <t>GÄVLEBORGS LÄN</t>
        </is>
      </c>
      <c r="E8222" t="inlineStr">
        <is>
          <t>BOLLNÄS</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42145-2023</t>
        </is>
      </c>
      <c r="B8223" s="1" t="n">
        <v>45178</v>
      </c>
      <c r="C8223" s="1" t="n">
        <v>45677</v>
      </c>
      <c r="D8223" t="inlineStr">
        <is>
          <t>GÄVLEBORGS LÄN</t>
        </is>
      </c>
      <c r="E8223" t="inlineStr">
        <is>
          <t>LJUSDAL</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42930-2023</t>
        </is>
      </c>
      <c r="B8224" s="1" t="n">
        <v>45177</v>
      </c>
      <c r="C8224" s="1" t="n">
        <v>45677</v>
      </c>
      <c r="D8224" t="inlineStr">
        <is>
          <t>GÄVLEBORGS LÄN</t>
        </is>
      </c>
      <c r="E8224" t="inlineStr">
        <is>
          <t>SANDVIKEN</t>
        </is>
      </c>
      <c r="F8224" t="inlineStr">
        <is>
          <t>Bergvik skog väst AB</t>
        </is>
      </c>
      <c r="G8224" t="n">
        <v>20.6</v>
      </c>
      <c r="H8224" t="n">
        <v>0</v>
      </c>
      <c r="I8224" t="n">
        <v>0</v>
      </c>
      <c r="J8224" t="n">
        <v>0</v>
      </c>
      <c r="K8224" t="n">
        <v>0</v>
      </c>
      <c r="L8224" t="n">
        <v>0</v>
      </c>
      <c r="M8224" t="n">
        <v>0</v>
      </c>
      <c r="N8224" t="n">
        <v>0</v>
      </c>
      <c r="O8224" t="n">
        <v>0</v>
      </c>
      <c r="P8224" t="n">
        <v>0</v>
      </c>
      <c r="Q8224" t="n">
        <v>0</v>
      </c>
      <c r="R8224" s="2" t="inlineStr"/>
    </row>
    <row r="8225" ht="15" customHeight="1">
      <c r="A8225" t="inlineStr">
        <is>
          <t>A 42950-2023</t>
        </is>
      </c>
      <c r="B8225" s="1" t="n">
        <v>45178</v>
      </c>
      <c r="C8225" s="1" t="n">
        <v>45677</v>
      </c>
      <c r="D8225" t="inlineStr">
        <is>
          <t>GÄVLEBORGS LÄN</t>
        </is>
      </c>
      <c r="E8225" t="inlineStr">
        <is>
          <t>SANDVIKEN</t>
        </is>
      </c>
      <c r="F8225" t="inlineStr">
        <is>
          <t>Bergvik skog väst AB</t>
        </is>
      </c>
      <c r="G8225" t="n">
        <v>16.5</v>
      </c>
      <c r="H8225" t="n">
        <v>0</v>
      </c>
      <c r="I8225" t="n">
        <v>0</v>
      </c>
      <c r="J8225" t="n">
        <v>0</v>
      </c>
      <c r="K8225" t="n">
        <v>0</v>
      </c>
      <c r="L8225" t="n">
        <v>0</v>
      </c>
      <c r="M8225" t="n">
        <v>0</v>
      </c>
      <c r="N8225" t="n">
        <v>0</v>
      </c>
      <c r="O8225" t="n">
        <v>0</v>
      </c>
      <c r="P8225" t="n">
        <v>0</v>
      </c>
      <c r="Q8225" t="n">
        <v>0</v>
      </c>
      <c r="R8225" s="2" t="inlineStr"/>
    </row>
    <row r="8226" ht="15" customHeight="1">
      <c r="A8226" t="inlineStr">
        <is>
          <t>A 42233-2023</t>
        </is>
      </c>
      <c r="B8226" s="1" t="n">
        <v>45180</v>
      </c>
      <c r="C8226" s="1" t="n">
        <v>45677</v>
      </c>
      <c r="D8226" t="inlineStr">
        <is>
          <t>GÄVLEBORGS LÄN</t>
        </is>
      </c>
      <c r="E8226" t="inlineStr">
        <is>
          <t>BOLLNÄS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42254-2023</t>
        </is>
      </c>
      <c r="B8227" s="1" t="n">
        <v>45180</v>
      </c>
      <c r="C8227" s="1" t="n">
        <v>45677</v>
      </c>
      <c r="D8227" t="inlineStr">
        <is>
          <t>GÄVLEBORGS LÄN</t>
        </is>
      </c>
      <c r="E8227" t="inlineStr">
        <is>
          <t>OCKELBO</t>
        </is>
      </c>
      <c r="F8227" t="inlineStr">
        <is>
          <t>Bergvik skog väst AB</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42306-2023</t>
        </is>
      </c>
      <c r="B8228" s="1" t="n">
        <v>45180</v>
      </c>
      <c r="C8228" s="1" t="n">
        <v>45677</v>
      </c>
      <c r="D8228" t="inlineStr">
        <is>
          <t>GÄVLEBORGS LÄN</t>
        </is>
      </c>
      <c r="E8228" t="inlineStr">
        <is>
          <t>BOLLNÄS</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42313-2023</t>
        </is>
      </c>
      <c r="B8229" s="1" t="n">
        <v>45180</v>
      </c>
      <c r="C8229" s="1" t="n">
        <v>45677</v>
      </c>
      <c r="D8229" t="inlineStr">
        <is>
          <t>GÄVLEBORGS LÄN</t>
        </is>
      </c>
      <c r="E8229" t="inlineStr">
        <is>
          <t>OCKELBO</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42239-2023</t>
        </is>
      </c>
      <c r="B8230" s="1" t="n">
        <v>45180</v>
      </c>
      <c r="C8230" s="1" t="n">
        <v>45677</v>
      </c>
      <c r="D8230" t="inlineStr">
        <is>
          <t>GÄVLEBORGS LÄN</t>
        </is>
      </c>
      <c r="E8230" t="inlineStr">
        <is>
          <t>HUDIKSVALL</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42244-2023</t>
        </is>
      </c>
      <c r="B8231" s="1" t="n">
        <v>45180</v>
      </c>
      <c r="C8231" s="1" t="n">
        <v>45677</v>
      </c>
      <c r="D8231" t="inlineStr">
        <is>
          <t>GÄVLEBORGS LÄN</t>
        </is>
      </c>
      <c r="E8231" t="inlineStr">
        <is>
          <t>HUDIKSVALL</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42276-2023</t>
        </is>
      </c>
      <c r="B8232" s="1" t="n">
        <v>45180</v>
      </c>
      <c r="C8232" s="1" t="n">
        <v>45677</v>
      </c>
      <c r="D8232" t="inlineStr">
        <is>
          <t>GÄVLEBORGS LÄN</t>
        </is>
      </c>
      <c r="E8232" t="inlineStr">
        <is>
          <t>LJUSDAL</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42314-2023</t>
        </is>
      </c>
      <c r="B8233" s="1" t="n">
        <v>45180</v>
      </c>
      <c r="C8233" s="1" t="n">
        <v>45677</v>
      </c>
      <c r="D8233" t="inlineStr">
        <is>
          <t>GÄVLEBORGS LÄN</t>
        </is>
      </c>
      <c r="E8233" t="inlineStr">
        <is>
          <t>BOLLNÄS</t>
        </is>
      </c>
      <c r="G8233" t="n">
        <v>11.9</v>
      </c>
      <c r="H8233" t="n">
        <v>0</v>
      </c>
      <c r="I8233" t="n">
        <v>0</v>
      </c>
      <c r="J8233" t="n">
        <v>0</v>
      </c>
      <c r="K8233" t="n">
        <v>0</v>
      </c>
      <c r="L8233" t="n">
        <v>0</v>
      </c>
      <c r="M8233" t="n">
        <v>0</v>
      </c>
      <c r="N8233" t="n">
        <v>0</v>
      </c>
      <c r="O8233" t="n">
        <v>0</v>
      </c>
      <c r="P8233" t="n">
        <v>0</v>
      </c>
      <c r="Q8233" t="n">
        <v>0</v>
      </c>
      <c r="R8233" s="2" t="inlineStr"/>
    </row>
    <row r="8234" ht="15" customHeight="1">
      <c r="A8234" t="inlineStr">
        <is>
          <t>A 42419-2023</t>
        </is>
      </c>
      <c r="B8234" s="1" t="n">
        <v>45180</v>
      </c>
      <c r="C8234" s="1" t="n">
        <v>45677</v>
      </c>
      <c r="D8234" t="inlineStr">
        <is>
          <t>GÄVLEBORGS LÄN</t>
        </is>
      </c>
      <c r="E8234" t="inlineStr">
        <is>
          <t>LJUSDAL</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42336-2023</t>
        </is>
      </c>
      <c r="B8235" s="1" t="n">
        <v>45180</v>
      </c>
      <c r="C8235" s="1" t="n">
        <v>45677</v>
      </c>
      <c r="D8235" t="inlineStr">
        <is>
          <t>GÄVLEBORGS LÄN</t>
        </is>
      </c>
      <c r="E8235" t="inlineStr">
        <is>
          <t>SÖDERHAMN</t>
        </is>
      </c>
      <c r="F8235" t="inlineStr">
        <is>
          <t>Bergvik skog väst AB</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42555-2023</t>
        </is>
      </c>
      <c r="B8236" s="1" t="n">
        <v>45181</v>
      </c>
      <c r="C8236" s="1" t="n">
        <v>45677</v>
      </c>
      <c r="D8236" t="inlineStr">
        <is>
          <t>GÄVLEBORGS LÄN</t>
        </is>
      </c>
      <c r="E8236" t="inlineStr">
        <is>
          <t>HUDIKSVALL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42567-2023</t>
        </is>
      </c>
      <c r="B8237" s="1" t="n">
        <v>45181</v>
      </c>
      <c r="C8237" s="1" t="n">
        <v>45677</v>
      </c>
      <c r="D8237" t="inlineStr">
        <is>
          <t>GÄVLEBORGS LÄN</t>
        </is>
      </c>
      <c r="E8237" t="inlineStr">
        <is>
          <t>OVANÅKER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42576-2023</t>
        </is>
      </c>
      <c r="B8238" s="1" t="n">
        <v>45181</v>
      </c>
      <c r="C8238" s="1" t="n">
        <v>45677</v>
      </c>
      <c r="D8238" t="inlineStr">
        <is>
          <t>GÄVLEBORGS LÄN</t>
        </is>
      </c>
      <c r="E8238" t="inlineStr">
        <is>
          <t>OCKELBO</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42580-2023</t>
        </is>
      </c>
      <c r="B8239" s="1" t="n">
        <v>45181</v>
      </c>
      <c r="C8239" s="1" t="n">
        <v>45677</v>
      </c>
      <c r="D8239" t="inlineStr">
        <is>
          <t>GÄVLEBORGS LÄN</t>
        </is>
      </c>
      <c r="E8239" t="inlineStr">
        <is>
          <t>LJUSDAL</t>
        </is>
      </c>
      <c r="F8239" t="inlineStr">
        <is>
          <t>Bergvik skog väst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42599-2023</t>
        </is>
      </c>
      <c r="B8240" s="1" t="n">
        <v>45181</v>
      </c>
      <c r="C8240" s="1" t="n">
        <v>45677</v>
      </c>
      <c r="D8240" t="inlineStr">
        <is>
          <t>GÄVLEBORGS LÄN</t>
        </is>
      </c>
      <c r="E8240" t="inlineStr">
        <is>
          <t>OCKELBO</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42585-2023</t>
        </is>
      </c>
      <c r="B8241" s="1" t="n">
        <v>45181</v>
      </c>
      <c r="C8241" s="1" t="n">
        <v>45677</v>
      </c>
      <c r="D8241" t="inlineStr">
        <is>
          <t>GÄVLEBORGS LÄN</t>
        </is>
      </c>
      <c r="E8241" t="inlineStr">
        <is>
          <t>OCKELBO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42639-2023</t>
        </is>
      </c>
      <c r="B8242" s="1" t="n">
        <v>45181</v>
      </c>
      <c r="C8242" s="1" t="n">
        <v>45677</v>
      </c>
      <c r="D8242" t="inlineStr">
        <is>
          <t>GÄVLEBORGS LÄN</t>
        </is>
      </c>
      <c r="E8242" t="inlineStr">
        <is>
          <t>BOLLNÄS</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42660-2023</t>
        </is>
      </c>
      <c r="B8243" s="1" t="n">
        <v>45181</v>
      </c>
      <c r="C8243" s="1" t="n">
        <v>45677</v>
      </c>
      <c r="D8243" t="inlineStr">
        <is>
          <t>GÄVLEBORGS LÄN</t>
        </is>
      </c>
      <c r="E8243" t="inlineStr">
        <is>
          <t>SANDVIKEN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42732-2023</t>
        </is>
      </c>
      <c r="B8244" s="1" t="n">
        <v>45181</v>
      </c>
      <c r="C8244" s="1" t="n">
        <v>45677</v>
      </c>
      <c r="D8244" t="inlineStr">
        <is>
          <t>GÄVLEBORGS LÄN</t>
        </is>
      </c>
      <c r="E8244" t="inlineStr">
        <is>
          <t>LJUSDAL</t>
        </is>
      </c>
      <c r="F8244" t="inlineStr">
        <is>
          <t>Kommuner</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42572-2023</t>
        </is>
      </c>
      <c r="B8245" s="1" t="n">
        <v>45181</v>
      </c>
      <c r="C8245" s="1" t="n">
        <v>45677</v>
      </c>
      <c r="D8245" t="inlineStr">
        <is>
          <t>GÄVLEBORGS LÄN</t>
        </is>
      </c>
      <c r="E8245" t="inlineStr">
        <is>
          <t>LJUSDAL</t>
        </is>
      </c>
      <c r="F8245" t="inlineStr">
        <is>
          <t>Bergvik skog väst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42729-2023</t>
        </is>
      </c>
      <c r="B8246" s="1" t="n">
        <v>45181</v>
      </c>
      <c r="C8246" s="1" t="n">
        <v>45677</v>
      </c>
      <c r="D8246" t="inlineStr">
        <is>
          <t>GÄVLEBORGS LÄN</t>
        </is>
      </c>
      <c r="E8246" t="inlineStr">
        <is>
          <t>HUDIKSVALL</t>
        </is>
      </c>
      <c r="F8246" t="inlineStr">
        <is>
          <t>Holmen skog AB</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42596-2023</t>
        </is>
      </c>
      <c r="B8247" s="1" t="n">
        <v>45181</v>
      </c>
      <c r="C8247" s="1" t="n">
        <v>45677</v>
      </c>
      <c r="D8247" t="inlineStr">
        <is>
          <t>GÄVLEBORGS LÄN</t>
        </is>
      </c>
      <c r="E8247" t="inlineStr">
        <is>
          <t>LJUSDAL</t>
        </is>
      </c>
      <c r="F8247" t="inlineStr">
        <is>
          <t>Holmen skog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42685-2023</t>
        </is>
      </c>
      <c r="B8248" s="1" t="n">
        <v>45181</v>
      </c>
      <c r="C8248" s="1" t="n">
        <v>45677</v>
      </c>
      <c r="D8248" t="inlineStr">
        <is>
          <t>GÄVLEBORGS LÄN</t>
        </is>
      </c>
      <c r="E8248" t="inlineStr">
        <is>
          <t>LJUSDAL</t>
        </is>
      </c>
      <c r="F8248" t="inlineStr">
        <is>
          <t>Holmen skog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42934-2023</t>
        </is>
      </c>
      <c r="B8249" s="1" t="n">
        <v>45182</v>
      </c>
      <c r="C8249" s="1" t="n">
        <v>45677</v>
      </c>
      <c r="D8249" t="inlineStr">
        <is>
          <t>GÄVLEBORGS LÄN</t>
        </is>
      </c>
      <c r="E8249" t="inlineStr">
        <is>
          <t>GÄVLE</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42979-2023</t>
        </is>
      </c>
      <c r="B8250" s="1" t="n">
        <v>45182</v>
      </c>
      <c r="C8250" s="1" t="n">
        <v>45677</v>
      </c>
      <c r="D8250" t="inlineStr">
        <is>
          <t>GÄVLEBORGS LÄN</t>
        </is>
      </c>
      <c r="E8250" t="inlineStr">
        <is>
          <t>LJUSDAL</t>
        </is>
      </c>
      <c r="G8250" t="n">
        <v>13.2</v>
      </c>
      <c r="H8250" t="n">
        <v>0</v>
      </c>
      <c r="I8250" t="n">
        <v>0</v>
      </c>
      <c r="J8250" t="n">
        <v>0</v>
      </c>
      <c r="K8250" t="n">
        <v>0</v>
      </c>
      <c r="L8250" t="n">
        <v>0</v>
      </c>
      <c r="M8250" t="n">
        <v>0</v>
      </c>
      <c r="N8250" t="n">
        <v>0</v>
      </c>
      <c r="O8250" t="n">
        <v>0</v>
      </c>
      <c r="P8250" t="n">
        <v>0</v>
      </c>
      <c r="Q8250" t="n">
        <v>0</v>
      </c>
      <c r="R8250" s="2" t="inlineStr"/>
    </row>
    <row r="8251" ht="15" customHeight="1">
      <c r="A8251" t="inlineStr">
        <is>
          <t>A 43007-2023</t>
        </is>
      </c>
      <c r="B8251" s="1" t="n">
        <v>45182</v>
      </c>
      <c r="C8251" s="1" t="n">
        <v>45677</v>
      </c>
      <c r="D8251" t="inlineStr">
        <is>
          <t>GÄVLEBORGS LÄN</t>
        </is>
      </c>
      <c r="E8251" t="inlineStr">
        <is>
          <t>HUDIKSVALL</t>
        </is>
      </c>
      <c r="F8251" t="inlineStr">
        <is>
          <t>Holmen skog AB</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43021-2023</t>
        </is>
      </c>
      <c r="B8252" s="1" t="n">
        <v>45182</v>
      </c>
      <c r="C8252" s="1" t="n">
        <v>45677</v>
      </c>
      <c r="D8252" t="inlineStr">
        <is>
          <t>GÄVLEBORGS LÄN</t>
        </is>
      </c>
      <c r="E8252" t="inlineStr">
        <is>
          <t>OVANÅKER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42876-2023</t>
        </is>
      </c>
      <c r="B8253" s="1" t="n">
        <v>45182</v>
      </c>
      <c r="C8253" s="1" t="n">
        <v>45677</v>
      </c>
      <c r="D8253" t="inlineStr">
        <is>
          <t>GÄVLEBORGS LÄN</t>
        </is>
      </c>
      <c r="E8253" t="inlineStr">
        <is>
          <t>GÄVLE</t>
        </is>
      </c>
      <c r="F8253" t="inlineStr">
        <is>
          <t>Bergvik skog väst AB</t>
        </is>
      </c>
      <c r="G8253" t="n">
        <v>22.7</v>
      </c>
      <c r="H8253" t="n">
        <v>0</v>
      </c>
      <c r="I8253" t="n">
        <v>0</v>
      </c>
      <c r="J8253" t="n">
        <v>0</v>
      </c>
      <c r="K8253" t="n">
        <v>0</v>
      </c>
      <c r="L8253" t="n">
        <v>0</v>
      </c>
      <c r="M8253" t="n">
        <v>0</v>
      </c>
      <c r="N8253" t="n">
        <v>0</v>
      </c>
      <c r="O8253" t="n">
        <v>0</v>
      </c>
      <c r="P8253" t="n">
        <v>0</v>
      </c>
      <c r="Q8253" t="n">
        <v>0</v>
      </c>
      <c r="R8253" s="2" t="inlineStr"/>
    </row>
    <row r="8254" ht="15" customHeight="1">
      <c r="A8254" t="inlineStr">
        <is>
          <t>A 42841-2023</t>
        </is>
      </c>
      <c r="B8254" s="1" t="n">
        <v>45182</v>
      </c>
      <c r="C8254" s="1" t="n">
        <v>45677</v>
      </c>
      <c r="D8254" t="inlineStr">
        <is>
          <t>GÄVLEBORGS LÄN</t>
        </is>
      </c>
      <c r="E8254" t="inlineStr">
        <is>
          <t>LJUSDAL</t>
        </is>
      </c>
      <c r="F8254" t="inlineStr">
        <is>
          <t>Allmännings- och besparingsskogar</t>
        </is>
      </c>
      <c r="G8254" t="n">
        <v>28.8</v>
      </c>
      <c r="H8254" t="n">
        <v>0</v>
      </c>
      <c r="I8254" t="n">
        <v>0</v>
      </c>
      <c r="J8254" t="n">
        <v>0</v>
      </c>
      <c r="K8254" t="n">
        <v>0</v>
      </c>
      <c r="L8254" t="n">
        <v>0</v>
      </c>
      <c r="M8254" t="n">
        <v>0</v>
      </c>
      <c r="N8254" t="n">
        <v>0</v>
      </c>
      <c r="O8254" t="n">
        <v>0</v>
      </c>
      <c r="P8254" t="n">
        <v>0</v>
      </c>
      <c r="Q8254" t="n">
        <v>0</v>
      </c>
      <c r="R8254" s="2" t="inlineStr"/>
    </row>
    <row r="8255" ht="15" customHeight="1">
      <c r="A8255" t="inlineStr">
        <is>
          <t>A 42862-2023</t>
        </is>
      </c>
      <c r="B8255" s="1" t="n">
        <v>45182</v>
      </c>
      <c r="C8255" s="1" t="n">
        <v>45677</v>
      </c>
      <c r="D8255" t="inlineStr">
        <is>
          <t>GÄVLEBORGS LÄN</t>
        </is>
      </c>
      <c r="E8255" t="inlineStr">
        <is>
          <t>BOLLNÄS</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42949-2023</t>
        </is>
      </c>
      <c r="B8256" s="1" t="n">
        <v>45182</v>
      </c>
      <c r="C8256" s="1" t="n">
        <v>45677</v>
      </c>
      <c r="D8256" t="inlineStr">
        <is>
          <t>GÄVLEBORGS LÄN</t>
        </is>
      </c>
      <c r="E8256" t="inlineStr">
        <is>
          <t>LJUSDAL</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43090-2023</t>
        </is>
      </c>
      <c r="B8257" s="1" t="n">
        <v>45182</v>
      </c>
      <c r="C8257" s="1" t="n">
        <v>45677</v>
      </c>
      <c r="D8257" t="inlineStr">
        <is>
          <t>GÄVLEBORGS LÄN</t>
        </is>
      </c>
      <c r="E8257" t="inlineStr">
        <is>
          <t>SANDVIKEN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43087-2023</t>
        </is>
      </c>
      <c r="B8258" s="1" t="n">
        <v>45182</v>
      </c>
      <c r="C8258" s="1" t="n">
        <v>45677</v>
      </c>
      <c r="D8258" t="inlineStr">
        <is>
          <t>GÄVLEBORGS LÄN</t>
        </is>
      </c>
      <c r="E8258" t="inlineStr">
        <is>
          <t>SANDVIKEN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43018-2023</t>
        </is>
      </c>
      <c r="B8259" s="1" t="n">
        <v>45182</v>
      </c>
      <c r="C8259" s="1" t="n">
        <v>45677</v>
      </c>
      <c r="D8259" t="inlineStr">
        <is>
          <t>GÄVLEBORGS LÄN</t>
        </is>
      </c>
      <c r="E8259" t="inlineStr">
        <is>
          <t>LJUSDAL</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43023-2023</t>
        </is>
      </c>
      <c r="B8260" s="1" t="n">
        <v>45182</v>
      </c>
      <c r="C8260" s="1" t="n">
        <v>45677</v>
      </c>
      <c r="D8260" t="inlineStr">
        <is>
          <t>GÄVLEBORGS LÄN</t>
        </is>
      </c>
      <c r="E8260" t="inlineStr">
        <is>
          <t>OVANÅKER</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42926-2023</t>
        </is>
      </c>
      <c r="B8261" s="1" t="n">
        <v>45182</v>
      </c>
      <c r="C8261" s="1" t="n">
        <v>45677</v>
      </c>
      <c r="D8261" t="inlineStr">
        <is>
          <t>GÄVLEBORGS LÄN</t>
        </is>
      </c>
      <c r="E8261" t="inlineStr">
        <is>
          <t>NORDANSTIG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43080-2023</t>
        </is>
      </c>
      <c r="B8262" s="1" t="n">
        <v>45182</v>
      </c>
      <c r="C8262" s="1" t="n">
        <v>45677</v>
      </c>
      <c r="D8262" t="inlineStr">
        <is>
          <t>GÄVLEBORGS LÄN</t>
        </is>
      </c>
      <c r="E8262" t="inlineStr">
        <is>
          <t>NORDANSTIG</t>
        </is>
      </c>
      <c r="G8262" t="n">
        <v>11.6</v>
      </c>
      <c r="H8262" t="n">
        <v>0</v>
      </c>
      <c r="I8262" t="n">
        <v>0</v>
      </c>
      <c r="J8262" t="n">
        <v>0</v>
      </c>
      <c r="K8262" t="n">
        <v>0</v>
      </c>
      <c r="L8262" t="n">
        <v>0</v>
      </c>
      <c r="M8262" t="n">
        <v>0</v>
      </c>
      <c r="N8262" t="n">
        <v>0</v>
      </c>
      <c r="O8262" t="n">
        <v>0</v>
      </c>
      <c r="P8262" t="n">
        <v>0</v>
      </c>
      <c r="Q8262" t="n">
        <v>0</v>
      </c>
      <c r="R8262" s="2" t="inlineStr"/>
    </row>
    <row r="8263" ht="15" customHeight="1">
      <c r="A8263" t="inlineStr">
        <is>
          <t>A 43073-2023</t>
        </is>
      </c>
      <c r="B8263" s="1" t="n">
        <v>45182</v>
      </c>
      <c r="C8263" s="1" t="n">
        <v>45677</v>
      </c>
      <c r="D8263" t="inlineStr">
        <is>
          <t>GÄVLEBORGS LÄN</t>
        </is>
      </c>
      <c r="E8263" t="inlineStr">
        <is>
          <t>BOLLNÄS</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43089-2023</t>
        </is>
      </c>
      <c r="B8264" s="1" t="n">
        <v>45182</v>
      </c>
      <c r="C8264" s="1" t="n">
        <v>45677</v>
      </c>
      <c r="D8264" t="inlineStr">
        <is>
          <t>GÄVLEBORGS LÄN</t>
        </is>
      </c>
      <c r="E8264" t="inlineStr">
        <is>
          <t>SANDVIKEN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43121-2023</t>
        </is>
      </c>
      <c r="B8265" s="1" t="n">
        <v>45183</v>
      </c>
      <c r="C8265" s="1" t="n">
        <v>45677</v>
      </c>
      <c r="D8265" t="inlineStr">
        <is>
          <t>GÄVLEBORGS LÄN</t>
        </is>
      </c>
      <c r="E8265" t="inlineStr">
        <is>
          <t>LJUSDAL</t>
        </is>
      </c>
      <c r="F8265" t="inlineStr">
        <is>
          <t>SCA</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43152-2023</t>
        </is>
      </c>
      <c r="B8266" s="1" t="n">
        <v>45183</v>
      </c>
      <c r="C8266" s="1" t="n">
        <v>45677</v>
      </c>
      <c r="D8266" t="inlineStr">
        <is>
          <t>GÄVLEBORGS LÄN</t>
        </is>
      </c>
      <c r="E8266" t="inlineStr">
        <is>
          <t>BOLLNÄS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43145-2023</t>
        </is>
      </c>
      <c r="B8267" s="1" t="n">
        <v>45183</v>
      </c>
      <c r="C8267" s="1" t="n">
        <v>45677</v>
      </c>
      <c r="D8267" t="inlineStr">
        <is>
          <t>GÄVLEBORGS LÄN</t>
        </is>
      </c>
      <c r="E8267" t="inlineStr">
        <is>
          <t>OVANÅKER</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43149-2023</t>
        </is>
      </c>
      <c r="B8268" s="1" t="n">
        <v>45183</v>
      </c>
      <c r="C8268" s="1" t="n">
        <v>45677</v>
      </c>
      <c r="D8268" t="inlineStr">
        <is>
          <t>GÄVLEBORGS LÄN</t>
        </is>
      </c>
      <c r="E8268" t="inlineStr">
        <is>
          <t>BOLLNÄS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43169-2023</t>
        </is>
      </c>
      <c r="B8269" s="1" t="n">
        <v>45183</v>
      </c>
      <c r="C8269" s="1" t="n">
        <v>45677</v>
      </c>
      <c r="D8269" t="inlineStr">
        <is>
          <t>GÄVLEBORGS LÄN</t>
        </is>
      </c>
      <c r="E8269" t="inlineStr">
        <is>
          <t>OVANÅKER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43274-2023</t>
        </is>
      </c>
      <c r="B8270" s="1" t="n">
        <v>45183</v>
      </c>
      <c r="C8270" s="1" t="n">
        <v>45677</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43299-2023</t>
        </is>
      </c>
      <c r="B8271" s="1" t="n">
        <v>45183</v>
      </c>
      <c r="C8271" s="1" t="n">
        <v>45677</v>
      </c>
      <c r="D8271" t="inlineStr">
        <is>
          <t>GÄVLEBORGS LÄN</t>
        </is>
      </c>
      <c r="E8271" t="inlineStr">
        <is>
          <t>OVANÅKER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43381-2023</t>
        </is>
      </c>
      <c r="B8272" s="1" t="n">
        <v>45183</v>
      </c>
      <c r="C8272" s="1" t="n">
        <v>45677</v>
      </c>
      <c r="D8272" t="inlineStr">
        <is>
          <t>GÄVLEBORGS LÄN</t>
        </is>
      </c>
      <c r="E8272" t="inlineStr">
        <is>
          <t>NORDANSTIG</t>
        </is>
      </c>
      <c r="F8272" t="inlineStr">
        <is>
          <t>Holmen skog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43259-2023</t>
        </is>
      </c>
      <c r="B8273" s="1" t="n">
        <v>45183</v>
      </c>
      <c r="C8273" s="1" t="n">
        <v>45677</v>
      </c>
      <c r="D8273" t="inlineStr">
        <is>
          <t>GÄVLEBORGS LÄN</t>
        </is>
      </c>
      <c r="E8273" t="inlineStr">
        <is>
          <t>OVANÅKER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43395-2023</t>
        </is>
      </c>
      <c r="B8274" s="1" t="n">
        <v>45184</v>
      </c>
      <c r="C8274" s="1" t="n">
        <v>45677</v>
      </c>
      <c r="D8274" t="inlineStr">
        <is>
          <t>GÄVLEBORGS LÄN</t>
        </is>
      </c>
      <c r="E8274" t="inlineStr">
        <is>
          <t>SÖDERHAMN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43318-2023</t>
        </is>
      </c>
      <c r="B8275" s="1" t="n">
        <v>45183</v>
      </c>
      <c r="C8275" s="1" t="n">
        <v>45677</v>
      </c>
      <c r="D8275" t="inlineStr">
        <is>
          <t>GÄVLEBORGS LÄN</t>
        </is>
      </c>
      <c r="E8275" t="inlineStr">
        <is>
          <t>HOFORS</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43322-2023</t>
        </is>
      </c>
      <c r="B8276" s="1" t="n">
        <v>45183</v>
      </c>
      <c r="C8276" s="1" t="n">
        <v>45677</v>
      </c>
      <c r="D8276" t="inlineStr">
        <is>
          <t>GÄVLEBORGS LÄN</t>
        </is>
      </c>
      <c r="E8276" t="inlineStr">
        <is>
          <t>NORDANSTIG</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43400-2023</t>
        </is>
      </c>
      <c r="B8277" s="1" t="n">
        <v>45184</v>
      </c>
      <c r="C8277" s="1" t="n">
        <v>45677</v>
      </c>
      <c r="D8277" t="inlineStr">
        <is>
          <t>GÄVLEBORGS LÄN</t>
        </is>
      </c>
      <c r="E8277" t="inlineStr">
        <is>
          <t>NORDANSTIG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43378-2023</t>
        </is>
      </c>
      <c r="B8278" s="1" t="n">
        <v>45183</v>
      </c>
      <c r="C8278" s="1" t="n">
        <v>45677</v>
      </c>
      <c r="D8278" t="inlineStr">
        <is>
          <t>GÄVLEBORGS LÄN</t>
        </is>
      </c>
      <c r="E8278" t="inlineStr">
        <is>
          <t>NORDANSTIG</t>
        </is>
      </c>
      <c r="F8278" t="inlineStr">
        <is>
          <t>Holmen skog AB</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44576-2023</t>
        </is>
      </c>
      <c r="B8279" s="1" t="n">
        <v>45183</v>
      </c>
      <c r="C8279" s="1" t="n">
        <v>45677</v>
      </c>
      <c r="D8279" t="inlineStr">
        <is>
          <t>GÄVLEBORGS LÄN</t>
        </is>
      </c>
      <c r="E8279" t="inlineStr">
        <is>
          <t>BOLLNÄS</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44558-2023</t>
        </is>
      </c>
      <c r="B8280" s="1" t="n">
        <v>45183</v>
      </c>
      <c r="C8280" s="1" t="n">
        <v>45677</v>
      </c>
      <c r="D8280" t="inlineStr">
        <is>
          <t>GÄVLEBORGS LÄN</t>
        </is>
      </c>
      <c r="E8280" t="inlineStr">
        <is>
          <t>BOLLNÄS</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43453-2023</t>
        </is>
      </c>
      <c r="B8281" s="1" t="n">
        <v>45184</v>
      </c>
      <c r="C8281" s="1" t="n">
        <v>45677</v>
      </c>
      <c r="D8281" t="inlineStr">
        <is>
          <t>GÄVLEBORGS LÄN</t>
        </is>
      </c>
      <c r="E8281" t="inlineStr">
        <is>
          <t>SÖDERHAMN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43465-2023</t>
        </is>
      </c>
      <c r="B8282" s="1" t="n">
        <v>45184</v>
      </c>
      <c r="C8282" s="1" t="n">
        <v>45677</v>
      </c>
      <c r="D8282" t="inlineStr">
        <is>
          <t>GÄVLEBORGS LÄN</t>
        </is>
      </c>
      <c r="E8282" t="inlineStr">
        <is>
          <t>HUDIKSVALL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43469-2023</t>
        </is>
      </c>
      <c r="B8283" s="1" t="n">
        <v>45184</v>
      </c>
      <c r="C8283" s="1" t="n">
        <v>45677</v>
      </c>
      <c r="D8283" t="inlineStr">
        <is>
          <t>GÄVLEBORGS LÄN</t>
        </is>
      </c>
      <c r="E8283" t="inlineStr">
        <is>
          <t>HUDIKSVALL</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43480-2023</t>
        </is>
      </c>
      <c r="B8284" s="1" t="n">
        <v>45184</v>
      </c>
      <c r="C8284" s="1" t="n">
        <v>45677</v>
      </c>
      <c r="D8284" t="inlineStr">
        <is>
          <t>GÄVLEBORGS LÄN</t>
        </is>
      </c>
      <c r="E8284" t="inlineStr">
        <is>
          <t>OCKELBO</t>
        </is>
      </c>
      <c r="F8284" t="inlineStr">
        <is>
          <t>Bergvik skog väst AB</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43490-2023</t>
        </is>
      </c>
      <c r="B8285" s="1" t="n">
        <v>45184</v>
      </c>
      <c r="C8285" s="1" t="n">
        <v>45677</v>
      </c>
      <c r="D8285" t="inlineStr">
        <is>
          <t>GÄVLEBORGS LÄN</t>
        </is>
      </c>
      <c r="E8285" t="inlineStr">
        <is>
          <t>LJUSDAL</t>
        </is>
      </c>
      <c r="F8285" t="inlineStr">
        <is>
          <t>Allmännings- och besparingsskogar</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43537-2023</t>
        </is>
      </c>
      <c r="B8286" s="1" t="n">
        <v>45184</v>
      </c>
      <c r="C8286" s="1" t="n">
        <v>45677</v>
      </c>
      <c r="D8286" t="inlineStr">
        <is>
          <t>GÄVLEBORGS LÄN</t>
        </is>
      </c>
      <c r="E8286" t="inlineStr">
        <is>
          <t>BOLLNÄS</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43588-2023</t>
        </is>
      </c>
      <c r="B8287" s="1" t="n">
        <v>45184</v>
      </c>
      <c r="C8287" s="1" t="n">
        <v>45677</v>
      </c>
      <c r="D8287" t="inlineStr">
        <is>
          <t>GÄVLEBORGS LÄN</t>
        </is>
      </c>
      <c r="E8287" t="inlineStr">
        <is>
          <t>OCKELBO</t>
        </is>
      </c>
      <c r="F8287" t="inlineStr">
        <is>
          <t>Bergvik skog väst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43517-2023</t>
        </is>
      </c>
      <c r="B8288" s="1" t="n">
        <v>45184</v>
      </c>
      <c r="C8288" s="1" t="n">
        <v>45677</v>
      </c>
      <c r="D8288" t="inlineStr">
        <is>
          <t>GÄVLEBORGS LÄN</t>
        </is>
      </c>
      <c r="E8288" t="inlineStr">
        <is>
          <t>LJUSDAL</t>
        </is>
      </c>
      <c r="G8288" t="n">
        <v>23.5</v>
      </c>
      <c r="H8288" t="n">
        <v>0</v>
      </c>
      <c r="I8288" t="n">
        <v>0</v>
      </c>
      <c r="J8288" t="n">
        <v>0</v>
      </c>
      <c r="K8288" t="n">
        <v>0</v>
      </c>
      <c r="L8288" t="n">
        <v>0</v>
      </c>
      <c r="M8288" t="n">
        <v>0</v>
      </c>
      <c r="N8288" t="n">
        <v>0</v>
      </c>
      <c r="O8288" t="n">
        <v>0</v>
      </c>
      <c r="P8288" t="n">
        <v>0</v>
      </c>
      <c r="Q8288" t="n">
        <v>0</v>
      </c>
      <c r="R8288" s="2" t="inlineStr"/>
    </row>
    <row r="8289" ht="15" customHeight="1">
      <c r="A8289" t="inlineStr">
        <is>
          <t>A 43553-2023</t>
        </is>
      </c>
      <c r="B8289" s="1" t="n">
        <v>45184</v>
      </c>
      <c r="C8289" s="1" t="n">
        <v>45677</v>
      </c>
      <c r="D8289" t="inlineStr">
        <is>
          <t>GÄVLEBORGS LÄN</t>
        </is>
      </c>
      <c r="E8289" t="inlineStr">
        <is>
          <t>GÄVLE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43538-2023</t>
        </is>
      </c>
      <c r="B8290" s="1" t="n">
        <v>45184</v>
      </c>
      <c r="C8290" s="1" t="n">
        <v>45677</v>
      </c>
      <c r="D8290" t="inlineStr">
        <is>
          <t>GÄVLEBORGS LÄN</t>
        </is>
      </c>
      <c r="E8290" t="inlineStr">
        <is>
          <t>OCKELBO</t>
        </is>
      </c>
      <c r="F8290" t="inlineStr">
        <is>
          <t>Bergvik skog väst AB</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43539-2023</t>
        </is>
      </c>
      <c r="B8291" s="1" t="n">
        <v>45184</v>
      </c>
      <c r="C8291" s="1" t="n">
        <v>45677</v>
      </c>
      <c r="D8291" t="inlineStr">
        <is>
          <t>GÄVLEBORGS LÄN</t>
        </is>
      </c>
      <c r="E8291" t="inlineStr">
        <is>
          <t>NORDANSTIG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43550-2023</t>
        </is>
      </c>
      <c r="B8292" s="1" t="n">
        <v>45184</v>
      </c>
      <c r="C8292" s="1" t="n">
        <v>45677</v>
      </c>
      <c r="D8292" t="inlineStr">
        <is>
          <t>GÄVLEBORGS LÄN</t>
        </is>
      </c>
      <c r="E8292" t="inlineStr">
        <is>
          <t>OCKELBO</t>
        </is>
      </c>
      <c r="F8292" t="inlineStr">
        <is>
          <t>Bergvik skog väst AB</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43556-2023</t>
        </is>
      </c>
      <c r="B8293" s="1" t="n">
        <v>45184</v>
      </c>
      <c r="C8293" s="1" t="n">
        <v>45677</v>
      </c>
      <c r="D8293" t="inlineStr">
        <is>
          <t>GÄVLEBORGS LÄN</t>
        </is>
      </c>
      <c r="E8293" t="inlineStr">
        <is>
          <t>GÄVLE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43657-2023</t>
        </is>
      </c>
      <c r="B8294" s="1" t="n">
        <v>45187</v>
      </c>
      <c r="C8294" s="1" t="n">
        <v>45677</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43665-2023</t>
        </is>
      </c>
      <c r="B8295" s="1" t="n">
        <v>45187</v>
      </c>
      <c r="C8295" s="1" t="n">
        <v>45677</v>
      </c>
      <c r="D8295" t="inlineStr">
        <is>
          <t>GÄVLEBORGS LÄN</t>
        </is>
      </c>
      <c r="E8295" t="inlineStr">
        <is>
          <t>HUDIKSVALL</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43669-2023</t>
        </is>
      </c>
      <c r="B8296" s="1" t="n">
        <v>45187</v>
      </c>
      <c r="C8296" s="1" t="n">
        <v>45677</v>
      </c>
      <c r="D8296" t="inlineStr">
        <is>
          <t>GÄVLEBORGS LÄN</t>
        </is>
      </c>
      <c r="E8296" t="inlineStr">
        <is>
          <t>LJUSDAL</t>
        </is>
      </c>
      <c r="F8296" t="inlineStr">
        <is>
          <t>Bergvik skog väst AB</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43673-2023</t>
        </is>
      </c>
      <c r="B8297" s="1" t="n">
        <v>45187</v>
      </c>
      <c r="C8297" s="1" t="n">
        <v>45677</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43716-2023</t>
        </is>
      </c>
      <c r="B8298" s="1" t="n">
        <v>45187</v>
      </c>
      <c r="C8298" s="1" t="n">
        <v>45677</v>
      </c>
      <c r="D8298" t="inlineStr">
        <is>
          <t>GÄVLEBORGS LÄN</t>
        </is>
      </c>
      <c r="E8298" t="inlineStr">
        <is>
          <t>SANDVIKEN</t>
        </is>
      </c>
      <c r="F8298" t="inlineStr">
        <is>
          <t>Sveaskog</t>
        </is>
      </c>
      <c r="G8298" t="n">
        <v>1.6</v>
      </c>
      <c r="H8298" t="n">
        <v>0</v>
      </c>
      <c r="I8298" t="n">
        <v>0</v>
      </c>
      <c r="J8298" t="n">
        <v>0</v>
      </c>
      <c r="K8298" t="n">
        <v>0</v>
      </c>
      <c r="L8298" t="n">
        <v>0</v>
      </c>
      <c r="M8298" t="n">
        <v>0</v>
      </c>
      <c r="N8298" t="n">
        <v>0</v>
      </c>
      <c r="O8298" t="n">
        <v>0</v>
      </c>
      <c r="P8298" t="n">
        <v>0</v>
      </c>
      <c r="Q8298" t="n">
        <v>0</v>
      </c>
      <c r="R8298" s="2" t="inlineStr"/>
      <c r="U8298">
        <f>HYPERLINK("https://klasma.github.io/Logging_2181/knärot/A 43716-2023 karta knärot.png", "A 43716-2023")</f>
        <v/>
      </c>
      <c r="V8298">
        <f>HYPERLINK("https://klasma.github.io/Logging_2181/klagomål/A 43716-2023 FSC-klagomål.docx", "A 43716-2023")</f>
        <v/>
      </c>
      <c r="W8298">
        <f>HYPERLINK("https://klasma.github.io/Logging_2181/klagomålsmail/A 43716-2023 FSC-klagomål mail.docx", "A 43716-2023")</f>
        <v/>
      </c>
      <c r="X8298">
        <f>HYPERLINK("https://klasma.github.io/Logging_2181/tillsyn/A 43716-2023 tillsynsbegäran.docx", "A 43716-2023")</f>
        <v/>
      </c>
      <c r="Y8298">
        <f>HYPERLINK("https://klasma.github.io/Logging_2181/tillsynsmail/A 43716-2023 tillsynsbegäran mail.docx", "A 43716-2023")</f>
        <v/>
      </c>
    </row>
    <row r="8299" ht="15" customHeight="1">
      <c r="A8299" t="inlineStr">
        <is>
          <t>A 43721-2023</t>
        </is>
      </c>
      <c r="B8299" s="1" t="n">
        <v>45187</v>
      </c>
      <c r="C8299" s="1" t="n">
        <v>45677</v>
      </c>
      <c r="D8299" t="inlineStr">
        <is>
          <t>GÄVLEBORGS LÄN</t>
        </is>
      </c>
      <c r="E8299" t="inlineStr">
        <is>
          <t>NORDANSTIG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43798-2023</t>
        </is>
      </c>
      <c r="B8300" s="1" t="n">
        <v>45187</v>
      </c>
      <c r="C8300" s="1" t="n">
        <v>45677</v>
      </c>
      <c r="D8300" t="inlineStr">
        <is>
          <t>GÄVLEBORGS LÄN</t>
        </is>
      </c>
      <c r="E8300" t="inlineStr">
        <is>
          <t>SANDVIKEN</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43659-2023</t>
        </is>
      </c>
      <c r="B8301" s="1" t="n">
        <v>45187</v>
      </c>
      <c r="C8301" s="1" t="n">
        <v>45677</v>
      </c>
      <c r="D8301" t="inlineStr">
        <is>
          <t>GÄVLEBORGS LÄN</t>
        </is>
      </c>
      <c r="E8301" t="inlineStr">
        <is>
          <t>HUDIKSVALL</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43683-2023</t>
        </is>
      </c>
      <c r="B8302" s="1" t="n">
        <v>45187</v>
      </c>
      <c r="C8302" s="1" t="n">
        <v>45677</v>
      </c>
      <c r="D8302" t="inlineStr">
        <is>
          <t>GÄVLEBORGS LÄN</t>
        </is>
      </c>
      <c r="E8302" t="inlineStr">
        <is>
          <t>BOLLNÄS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43682-2023</t>
        </is>
      </c>
      <c r="B8303" s="1" t="n">
        <v>45187</v>
      </c>
      <c r="C8303" s="1" t="n">
        <v>45677</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43711-2023</t>
        </is>
      </c>
      <c r="B8304" s="1" t="n">
        <v>45187</v>
      </c>
      <c r="C8304" s="1" t="n">
        <v>45677</v>
      </c>
      <c r="D8304" t="inlineStr">
        <is>
          <t>GÄVLEBORGS LÄN</t>
        </is>
      </c>
      <c r="E8304" t="inlineStr">
        <is>
          <t>BOLLNÄS</t>
        </is>
      </c>
      <c r="F8304" t="inlineStr">
        <is>
          <t>Kyrkan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43715-2023</t>
        </is>
      </c>
      <c r="B8305" s="1" t="n">
        <v>45187</v>
      </c>
      <c r="C8305" s="1" t="n">
        <v>45677</v>
      </c>
      <c r="D8305" t="inlineStr">
        <is>
          <t>GÄVLEBORGS LÄN</t>
        </is>
      </c>
      <c r="E8305" t="inlineStr">
        <is>
          <t>NORDANSTIG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43741-2023</t>
        </is>
      </c>
      <c r="B8306" s="1" t="n">
        <v>45187</v>
      </c>
      <c r="C8306" s="1" t="n">
        <v>45677</v>
      </c>
      <c r="D8306" t="inlineStr">
        <is>
          <t>GÄVLEBORGS LÄN</t>
        </is>
      </c>
      <c r="E8306" t="inlineStr">
        <is>
          <t>SANDVIKEN</t>
        </is>
      </c>
      <c r="F8306" t="inlineStr">
        <is>
          <t>Sveaskog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43750-2023</t>
        </is>
      </c>
      <c r="B8307" s="1" t="n">
        <v>45187</v>
      </c>
      <c r="C8307" s="1" t="n">
        <v>45677</v>
      </c>
      <c r="D8307" t="inlineStr">
        <is>
          <t>GÄVLEBORGS LÄN</t>
        </is>
      </c>
      <c r="E8307" t="inlineStr">
        <is>
          <t>BOLLNÄS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43800-2023</t>
        </is>
      </c>
      <c r="B8308" s="1" t="n">
        <v>45187</v>
      </c>
      <c r="C8308" s="1" t="n">
        <v>45677</v>
      </c>
      <c r="D8308" t="inlineStr">
        <is>
          <t>GÄVLEBORGS LÄN</t>
        </is>
      </c>
      <c r="E8308" t="inlineStr">
        <is>
          <t>LJUSDAL</t>
        </is>
      </c>
      <c r="F8308" t="inlineStr">
        <is>
          <t>Bergvik skog väst AB</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43893-2023</t>
        </is>
      </c>
      <c r="B8309" s="1" t="n">
        <v>45187</v>
      </c>
      <c r="C8309" s="1" t="n">
        <v>45677</v>
      </c>
      <c r="D8309" t="inlineStr">
        <is>
          <t>GÄVLEBORGS LÄN</t>
        </is>
      </c>
      <c r="E8309" t="inlineStr">
        <is>
          <t>NORDANSTIG</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43930-2023</t>
        </is>
      </c>
      <c r="B8310" s="1" t="n">
        <v>45187</v>
      </c>
      <c r="C8310" s="1" t="n">
        <v>45677</v>
      </c>
      <c r="D8310" t="inlineStr">
        <is>
          <t>GÄVLEBORGS LÄN</t>
        </is>
      </c>
      <c r="E8310" t="inlineStr">
        <is>
          <t>HUDIKSVALL</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43718-2023</t>
        </is>
      </c>
      <c r="B8311" s="1" t="n">
        <v>45187</v>
      </c>
      <c r="C8311" s="1" t="n">
        <v>45677</v>
      </c>
      <c r="D8311" t="inlineStr">
        <is>
          <t>GÄVLEBORGS LÄN</t>
        </is>
      </c>
      <c r="E8311" t="inlineStr">
        <is>
          <t>LJUSDAL</t>
        </is>
      </c>
      <c r="F8311" t="inlineStr">
        <is>
          <t>Sveaskog</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43726-2023</t>
        </is>
      </c>
      <c r="B8312" s="1" t="n">
        <v>45187</v>
      </c>
      <c r="C8312" s="1" t="n">
        <v>45677</v>
      </c>
      <c r="D8312" t="inlineStr">
        <is>
          <t>GÄVLEBORGS LÄN</t>
        </is>
      </c>
      <c r="E8312" t="inlineStr">
        <is>
          <t>HOFORS</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43730-2023</t>
        </is>
      </c>
      <c r="B8313" s="1" t="n">
        <v>45187</v>
      </c>
      <c r="C8313" s="1" t="n">
        <v>45677</v>
      </c>
      <c r="D8313" t="inlineStr">
        <is>
          <t>GÄVLEBORGS LÄN</t>
        </is>
      </c>
      <c r="E8313" t="inlineStr">
        <is>
          <t>HOFORS</t>
        </is>
      </c>
      <c r="F8313" t="inlineStr">
        <is>
          <t>Sveaskog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43734-2023</t>
        </is>
      </c>
      <c r="B8314" s="1" t="n">
        <v>45187</v>
      </c>
      <c r="C8314" s="1" t="n">
        <v>45677</v>
      </c>
      <c r="D8314" t="inlineStr">
        <is>
          <t>GÄVLEBORGS LÄN</t>
        </is>
      </c>
      <c r="E8314" t="inlineStr">
        <is>
          <t>BOLLNÄS</t>
        </is>
      </c>
      <c r="F8314" t="inlineStr">
        <is>
          <t>Kyrkan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43739-2023</t>
        </is>
      </c>
      <c r="B8315" s="1" t="n">
        <v>45187</v>
      </c>
      <c r="C8315" s="1" t="n">
        <v>45677</v>
      </c>
      <c r="D8315" t="inlineStr">
        <is>
          <t>GÄVLEBORGS LÄN</t>
        </is>
      </c>
      <c r="E8315" t="inlineStr">
        <is>
          <t>SANDVIKEN</t>
        </is>
      </c>
      <c r="F8315" t="inlineStr">
        <is>
          <t>Sveaskog</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43782-2023</t>
        </is>
      </c>
      <c r="B8316" s="1" t="n">
        <v>45187</v>
      </c>
      <c r="C8316" s="1" t="n">
        <v>45677</v>
      </c>
      <c r="D8316" t="inlineStr">
        <is>
          <t>GÄVLEBORGS LÄN</t>
        </is>
      </c>
      <c r="E8316" t="inlineStr">
        <is>
          <t>HUDIKSVALL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43794-2023</t>
        </is>
      </c>
      <c r="B8317" s="1" t="n">
        <v>45187</v>
      </c>
      <c r="C8317" s="1" t="n">
        <v>45677</v>
      </c>
      <c r="D8317" t="inlineStr">
        <is>
          <t>GÄVLEBORGS LÄN</t>
        </is>
      </c>
      <c r="E8317" t="inlineStr">
        <is>
          <t>SANDVIKEN</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43799-2023</t>
        </is>
      </c>
      <c r="B8318" s="1" t="n">
        <v>45187</v>
      </c>
      <c r="C8318" s="1" t="n">
        <v>45677</v>
      </c>
      <c r="D8318" t="inlineStr">
        <is>
          <t>GÄVLEBORGS LÄN</t>
        </is>
      </c>
      <c r="E8318" t="inlineStr">
        <is>
          <t>LJUSDAL</t>
        </is>
      </c>
      <c r="F8318" t="inlineStr">
        <is>
          <t>Bergvik skog väst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43929-2023</t>
        </is>
      </c>
      <c r="B8319" s="1" t="n">
        <v>45187</v>
      </c>
      <c r="C8319" s="1" t="n">
        <v>45677</v>
      </c>
      <c r="D8319" t="inlineStr">
        <is>
          <t>GÄVLEBORGS LÄN</t>
        </is>
      </c>
      <c r="E8319" t="inlineStr">
        <is>
          <t>HUDIKSVALL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44009-2023</t>
        </is>
      </c>
      <c r="B8320" s="1" t="n">
        <v>45188</v>
      </c>
      <c r="C8320" s="1" t="n">
        <v>45677</v>
      </c>
      <c r="D8320" t="inlineStr">
        <is>
          <t>GÄVLEBORGS LÄN</t>
        </is>
      </c>
      <c r="E8320" t="inlineStr">
        <is>
          <t>NORDANSTIG</t>
        </is>
      </c>
      <c r="F8320" t="inlineStr">
        <is>
          <t>Holmen skog AB</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44089-2023</t>
        </is>
      </c>
      <c r="B8321" s="1" t="n">
        <v>45188</v>
      </c>
      <c r="C8321" s="1" t="n">
        <v>45677</v>
      </c>
      <c r="D8321" t="inlineStr">
        <is>
          <t>GÄVLEBORGS LÄN</t>
        </is>
      </c>
      <c r="E8321" t="inlineStr">
        <is>
          <t>OVANÅKER</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44058-2023</t>
        </is>
      </c>
      <c r="B8322" s="1" t="n">
        <v>45188</v>
      </c>
      <c r="C8322" s="1" t="n">
        <v>45677</v>
      </c>
      <c r="D8322" t="inlineStr">
        <is>
          <t>GÄVLEBORGS LÄN</t>
        </is>
      </c>
      <c r="E8322" t="inlineStr">
        <is>
          <t>BOLLNÄS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44020-2023</t>
        </is>
      </c>
      <c r="B8323" s="1" t="n">
        <v>45188</v>
      </c>
      <c r="C8323" s="1" t="n">
        <v>45677</v>
      </c>
      <c r="D8323" t="inlineStr">
        <is>
          <t>GÄVLEBORGS LÄN</t>
        </is>
      </c>
      <c r="E8323" t="inlineStr">
        <is>
          <t>LJUSDAL</t>
        </is>
      </c>
      <c r="F8323" t="inlineStr">
        <is>
          <t>Sveaskog</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44045-2023</t>
        </is>
      </c>
      <c r="B8324" s="1" t="n">
        <v>45188</v>
      </c>
      <c r="C8324" s="1" t="n">
        <v>45677</v>
      </c>
      <c r="D8324" t="inlineStr">
        <is>
          <t>GÄVLEBORGS LÄN</t>
        </is>
      </c>
      <c r="E8324" t="inlineStr">
        <is>
          <t>HUDIKSVALL</t>
        </is>
      </c>
      <c r="F8324" t="inlineStr">
        <is>
          <t>Holmen skog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44055-2023</t>
        </is>
      </c>
      <c r="B8325" s="1" t="n">
        <v>45188</v>
      </c>
      <c r="C8325" s="1" t="n">
        <v>45677</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44063-2023</t>
        </is>
      </c>
      <c r="B8326" s="1" t="n">
        <v>45188</v>
      </c>
      <c r="C8326" s="1" t="n">
        <v>45677</v>
      </c>
      <c r="D8326" t="inlineStr">
        <is>
          <t>GÄVLEBORGS LÄN</t>
        </is>
      </c>
      <c r="E8326" t="inlineStr">
        <is>
          <t>GÄVLE</t>
        </is>
      </c>
      <c r="F8326" t="inlineStr">
        <is>
          <t>Bergvik skog väst AB</t>
        </is>
      </c>
      <c r="G8326" t="n">
        <v>36.7</v>
      </c>
      <c r="H8326" t="n">
        <v>0</v>
      </c>
      <c r="I8326" t="n">
        <v>0</v>
      </c>
      <c r="J8326" t="n">
        <v>0</v>
      </c>
      <c r="K8326" t="n">
        <v>0</v>
      </c>
      <c r="L8326" t="n">
        <v>0</v>
      </c>
      <c r="M8326" t="n">
        <v>0</v>
      </c>
      <c r="N8326" t="n">
        <v>0</v>
      </c>
      <c r="O8326" t="n">
        <v>0</v>
      </c>
      <c r="P8326" t="n">
        <v>0</v>
      </c>
      <c r="Q8326" t="n">
        <v>0</v>
      </c>
      <c r="R8326" s="2" t="inlineStr"/>
    </row>
    <row r="8327" ht="15" customHeight="1">
      <c r="A8327" t="inlineStr">
        <is>
          <t>A 44135-2023</t>
        </is>
      </c>
      <c r="B8327" s="1" t="n">
        <v>45188</v>
      </c>
      <c r="C8327" s="1" t="n">
        <v>45677</v>
      </c>
      <c r="D8327" t="inlineStr">
        <is>
          <t>GÄVLEBORGS LÄN</t>
        </is>
      </c>
      <c r="E8327" t="inlineStr">
        <is>
          <t>NORDANSTIG</t>
        </is>
      </c>
      <c r="F8327" t="inlineStr">
        <is>
          <t>Holmen skog AB</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44071-2023</t>
        </is>
      </c>
      <c r="B8328" s="1" t="n">
        <v>45188</v>
      </c>
      <c r="C8328" s="1" t="n">
        <v>45677</v>
      </c>
      <c r="D8328" t="inlineStr">
        <is>
          <t>GÄVLEBORGS LÄN</t>
        </is>
      </c>
      <c r="E8328" t="inlineStr">
        <is>
          <t>SANDVIKEN</t>
        </is>
      </c>
      <c r="F8328" t="inlineStr">
        <is>
          <t>Bergvik skog öst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44084-2023</t>
        </is>
      </c>
      <c r="B8329" s="1" t="n">
        <v>45188</v>
      </c>
      <c r="C8329" s="1" t="n">
        <v>45677</v>
      </c>
      <c r="D8329" t="inlineStr">
        <is>
          <t>GÄVLEBORGS LÄN</t>
        </is>
      </c>
      <c r="E8329" t="inlineStr">
        <is>
          <t>HUDIKSVALL</t>
        </is>
      </c>
      <c r="F8329" t="inlineStr">
        <is>
          <t>Holmen skog AB</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44182-2023</t>
        </is>
      </c>
      <c r="B8330" s="1" t="n">
        <v>45188</v>
      </c>
      <c r="C8330" s="1" t="n">
        <v>45677</v>
      </c>
      <c r="D8330" t="inlineStr">
        <is>
          <t>GÄVLEBORGS LÄN</t>
        </is>
      </c>
      <c r="E8330" t="inlineStr">
        <is>
          <t>HUDIKSVALL</t>
        </is>
      </c>
      <c r="F8330" t="inlineStr">
        <is>
          <t>Holmen skog AB</t>
        </is>
      </c>
      <c r="G8330" t="n">
        <v>14.6</v>
      </c>
      <c r="H8330" t="n">
        <v>0</v>
      </c>
      <c r="I8330" t="n">
        <v>0</v>
      </c>
      <c r="J8330" t="n">
        <v>0</v>
      </c>
      <c r="K8330" t="n">
        <v>0</v>
      </c>
      <c r="L8330" t="n">
        <v>0</v>
      </c>
      <c r="M8330" t="n">
        <v>0</v>
      </c>
      <c r="N8330" t="n">
        <v>0</v>
      </c>
      <c r="O8330" t="n">
        <v>0</v>
      </c>
      <c r="P8330" t="n">
        <v>0</v>
      </c>
      <c r="Q8330" t="n">
        <v>0</v>
      </c>
      <c r="R8330" s="2" t="inlineStr"/>
    </row>
    <row r="8331" ht="15" customHeight="1">
      <c r="A8331" t="inlineStr">
        <is>
          <t>A 44214-2023</t>
        </is>
      </c>
      <c r="B8331" s="1" t="n">
        <v>45188</v>
      </c>
      <c r="C8331" s="1" t="n">
        <v>45677</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44066-2023</t>
        </is>
      </c>
      <c r="B8332" s="1" t="n">
        <v>45188</v>
      </c>
      <c r="C8332" s="1" t="n">
        <v>45677</v>
      </c>
      <c r="D8332" t="inlineStr">
        <is>
          <t>GÄVLEBORGS LÄN</t>
        </is>
      </c>
      <c r="E8332" t="inlineStr">
        <is>
          <t>SANDVIKEN</t>
        </is>
      </c>
      <c r="F8332" t="inlineStr">
        <is>
          <t>Bergvik skog öst AB</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44070-2023</t>
        </is>
      </c>
      <c r="B8333" s="1" t="n">
        <v>45188</v>
      </c>
      <c r="C8333" s="1" t="n">
        <v>45677</v>
      </c>
      <c r="D8333" t="inlineStr">
        <is>
          <t>GÄVLEBORGS LÄN</t>
        </is>
      </c>
      <c r="E8333" t="inlineStr">
        <is>
          <t>HUDIKSVALL</t>
        </is>
      </c>
      <c r="F8333" t="inlineStr">
        <is>
          <t>Holmen skog AB</t>
        </is>
      </c>
      <c r="G8333" t="n">
        <v>11.6</v>
      </c>
      <c r="H8333" t="n">
        <v>0</v>
      </c>
      <c r="I8333" t="n">
        <v>0</v>
      </c>
      <c r="J8333" t="n">
        <v>0</v>
      </c>
      <c r="K8333" t="n">
        <v>0</v>
      </c>
      <c r="L8333" t="n">
        <v>0</v>
      </c>
      <c r="M8333" t="n">
        <v>0</v>
      </c>
      <c r="N8333" t="n">
        <v>0</v>
      </c>
      <c r="O8333" t="n">
        <v>0</v>
      </c>
      <c r="P8333" t="n">
        <v>0</v>
      </c>
      <c r="Q8333" t="n">
        <v>0</v>
      </c>
      <c r="R8333" s="2" t="inlineStr"/>
    </row>
    <row r="8334" ht="15" customHeight="1">
      <c r="A8334" t="inlineStr">
        <is>
          <t>A 44289-2023</t>
        </is>
      </c>
      <c r="B8334" s="1" t="n">
        <v>45188</v>
      </c>
      <c r="C8334" s="1" t="n">
        <v>45677</v>
      </c>
      <c r="D8334" t="inlineStr">
        <is>
          <t>GÄVLEBORGS LÄN</t>
        </is>
      </c>
      <c r="E8334" t="inlineStr">
        <is>
          <t>SANDVIKEN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44114-2023</t>
        </is>
      </c>
      <c r="B8335" s="1" t="n">
        <v>45188</v>
      </c>
      <c r="C8335" s="1" t="n">
        <v>45677</v>
      </c>
      <c r="D8335" t="inlineStr">
        <is>
          <t>GÄVLEBORGS LÄN</t>
        </is>
      </c>
      <c r="E8335" t="inlineStr">
        <is>
          <t>SANDVIKEN</t>
        </is>
      </c>
      <c r="F8335" t="inlineStr">
        <is>
          <t>Bergvik skog öst AB</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44204-2023</t>
        </is>
      </c>
      <c r="B8336" s="1" t="n">
        <v>45188</v>
      </c>
      <c r="C8336" s="1" t="n">
        <v>45677</v>
      </c>
      <c r="D8336" t="inlineStr">
        <is>
          <t>GÄVLEBORGS LÄN</t>
        </is>
      </c>
      <c r="E8336" t="inlineStr">
        <is>
          <t>LJUSDAL</t>
        </is>
      </c>
      <c r="F8336" t="inlineStr">
        <is>
          <t>Bergvik skog väst AB</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44254-2023</t>
        </is>
      </c>
      <c r="B8337" s="1" t="n">
        <v>45188</v>
      </c>
      <c r="C8337" s="1" t="n">
        <v>45677</v>
      </c>
      <c r="D8337" t="inlineStr">
        <is>
          <t>GÄVLEBORGS LÄN</t>
        </is>
      </c>
      <c r="E8337" t="inlineStr">
        <is>
          <t>OCKELBO</t>
        </is>
      </c>
      <c r="F8337" t="inlineStr">
        <is>
          <t>Bergvik skog väst AB</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44291-2023</t>
        </is>
      </c>
      <c r="B8338" s="1" t="n">
        <v>45188</v>
      </c>
      <c r="C8338" s="1" t="n">
        <v>45677</v>
      </c>
      <c r="D8338" t="inlineStr">
        <is>
          <t>GÄVLEBORGS LÄN</t>
        </is>
      </c>
      <c r="E8338" t="inlineStr">
        <is>
          <t>LJUSDAL</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44081-2023</t>
        </is>
      </c>
      <c r="B8339" s="1" t="n">
        <v>45188</v>
      </c>
      <c r="C8339" s="1" t="n">
        <v>45677</v>
      </c>
      <c r="D8339" t="inlineStr">
        <is>
          <t>GÄVLEBORGS LÄN</t>
        </is>
      </c>
      <c r="E8339" t="inlineStr">
        <is>
          <t>SANDVIKEN</t>
        </is>
      </c>
      <c r="F8339" t="inlineStr">
        <is>
          <t>Bergvik skog öst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44101-2023</t>
        </is>
      </c>
      <c r="B8340" s="1" t="n">
        <v>45188</v>
      </c>
      <c r="C8340" s="1" t="n">
        <v>45677</v>
      </c>
      <c r="D8340" t="inlineStr">
        <is>
          <t>GÄVLEBORGS LÄN</t>
        </is>
      </c>
      <c r="E8340" t="inlineStr">
        <is>
          <t>SANDVIKEN</t>
        </is>
      </c>
      <c r="F8340" t="inlineStr">
        <is>
          <t>Bergvik skog öst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44109-2023</t>
        </is>
      </c>
      <c r="B8341" s="1" t="n">
        <v>45188</v>
      </c>
      <c r="C8341" s="1" t="n">
        <v>45677</v>
      </c>
      <c r="D8341" t="inlineStr">
        <is>
          <t>GÄVLEBORGS LÄN</t>
        </is>
      </c>
      <c r="E8341" t="inlineStr">
        <is>
          <t>HUDIKSVALL</t>
        </is>
      </c>
      <c r="F8341" t="inlineStr">
        <is>
          <t>Holmen skog AB</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44155-2023</t>
        </is>
      </c>
      <c r="B8342" s="1" t="n">
        <v>45188</v>
      </c>
      <c r="C8342" s="1" t="n">
        <v>45677</v>
      </c>
      <c r="D8342" t="inlineStr">
        <is>
          <t>GÄVLEBORGS LÄN</t>
        </is>
      </c>
      <c r="E8342" t="inlineStr">
        <is>
          <t>SANDVIKEN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44188-2023</t>
        </is>
      </c>
      <c r="B8343" s="1" t="n">
        <v>45188</v>
      </c>
      <c r="C8343" s="1" t="n">
        <v>45677</v>
      </c>
      <c r="D8343" t="inlineStr">
        <is>
          <t>GÄVLEBORGS LÄN</t>
        </is>
      </c>
      <c r="E8343" t="inlineStr">
        <is>
          <t>LJUSDAL</t>
        </is>
      </c>
      <c r="F8343" t="inlineStr">
        <is>
          <t>Bergvik skog väst AB</t>
        </is>
      </c>
      <c r="G8343" t="n">
        <v>29.6</v>
      </c>
      <c r="H8343" t="n">
        <v>0</v>
      </c>
      <c r="I8343" t="n">
        <v>0</v>
      </c>
      <c r="J8343" t="n">
        <v>0</v>
      </c>
      <c r="K8343" t="n">
        <v>0</v>
      </c>
      <c r="L8343" t="n">
        <v>0</v>
      </c>
      <c r="M8343" t="n">
        <v>0</v>
      </c>
      <c r="N8343" t="n">
        <v>0</v>
      </c>
      <c r="O8343" t="n">
        <v>0</v>
      </c>
      <c r="P8343" t="n">
        <v>0</v>
      </c>
      <c r="Q8343" t="n">
        <v>0</v>
      </c>
      <c r="R8343" s="2" t="inlineStr"/>
    </row>
    <row r="8344" ht="15" customHeight="1">
      <c r="A8344" t="inlineStr">
        <is>
          <t>A 44192-2023</t>
        </is>
      </c>
      <c r="B8344" s="1" t="n">
        <v>45188</v>
      </c>
      <c r="C8344" s="1" t="n">
        <v>45677</v>
      </c>
      <c r="D8344" t="inlineStr">
        <is>
          <t>GÄVLEBORGS LÄN</t>
        </is>
      </c>
      <c r="E8344" t="inlineStr">
        <is>
          <t>LJUSDAL</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44341-2023</t>
        </is>
      </c>
      <c r="B8345" s="1" t="n">
        <v>45188</v>
      </c>
      <c r="C8345" s="1" t="n">
        <v>45677</v>
      </c>
      <c r="D8345" t="inlineStr">
        <is>
          <t>GÄVLEBORGS LÄN</t>
        </is>
      </c>
      <c r="E8345" t="inlineStr">
        <is>
          <t>SÖDERHAMN</t>
        </is>
      </c>
      <c r="F8345" t="inlineStr">
        <is>
          <t>Kommuner</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44356-2023</t>
        </is>
      </c>
      <c r="B8346" s="1" t="n">
        <v>45188</v>
      </c>
      <c r="C8346" s="1" t="n">
        <v>45677</v>
      </c>
      <c r="D8346" t="inlineStr">
        <is>
          <t>GÄVLEBORGS LÄN</t>
        </is>
      </c>
      <c r="E8346" t="inlineStr">
        <is>
          <t>HOFORS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44376-2023</t>
        </is>
      </c>
      <c r="B8347" s="1" t="n">
        <v>45188</v>
      </c>
      <c r="C8347" s="1" t="n">
        <v>45677</v>
      </c>
      <c r="D8347" t="inlineStr">
        <is>
          <t>GÄVLEBORGS LÄN</t>
        </is>
      </c>
      <c r="E8347" t="inlineStr">
        <is>
          <t>HUDIKSVALL</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44239-2023</t>
        </is>
      </c>
      <c r="B8348" s="1" t="n">
        <v>45188</v>
      </c>
      <c r="C8348" s="1" t="n">
        <v>45677</v>
      </c>
      <c r="D8348" t="inlineStr">
        <is>
          <t>GÄVLEBORGS LÄN</t>
        </is>
      </c>
      <c r="E8348" t="inlineStr">
        <is>
          <t>NORDANSTIG</t>
        </is>
      </c>
      <c r="F8348" t="inlineStr">
        <is>
          <t>Holmen skog AB</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44344-2023</t>
        </is>
      </c>
      <c r="B8349" s="1" t="n">
        <v>45188</v>
      </c>
      <c r="C8349" s="1" t="n">
        <v>45677</v>
      </c>
      <c r="D8349" t="inlineStr">
        <is>
          <t>GÄVLEBORGS LÄN</t>
        </is>
      </c>
      <c r="E8349" t="inlineStr">
        <is>
          <t>OVANÅKER</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45558-2023</t>
        </is>
      </c>
      <c r="B8350" s="1" t="n">
        <v>45188</v>
      </c>
      <c r="C8350" s="1" t="n">
        <v>45677</v>
      </c>
      <c r="D8350" t="inlineStr">
        <is>
          <t>GÄVLEBORGS LÄN</t>
        </is>
      </c>
      <c r="E8350" t="inlineStr">
        <is>
          <t>HUDIKSVALL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44330-2023</t>
        </is>
      </c>
      <c r="B8351" s="1" t="n">
        <v>45188</v>
      </c>
      <c r="C8351" s="1" t="n">
        <v>45677</v>
      </c>
      <c r="D8351" t="inlineStr">
        <is>
          <t>GÄVLEBORGS LÄN</t>
        </is>
      </c>
      <c r="E8351" t="inlineStr">
        <is>
          <t>NORDANSTIG</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44343-2023</t>
        </is>
      </c>
      <c r="B8352" s="1" t="n">
        <v>45188</v>
      </c>
      <c r="C8352" s="1" t="n">
        <v>45677</v>
      </c>
      <c r="D8352" t="inlineStr">
        <is>
          <t>GÄVLEBORGS LÄN</t>
        </is>
      </c>
      <c r="E8352" t="inlineStr">
        <is>
          <t>OVANÅKER</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44347-2023</t>
        </is>
      </c>
      <c r="B8353" s="1" t="n">
        <v>45188</v>
      </c>
      <c r="C8353" s="1" t="n">
        <v>45677</v>
      </c>
      <c r="D8353" t="inlineStr">
        <is>
          <t>GÄVLEBORGS LÄN</t>
        </is>
      </c>
      <c r="E8353" t="inlineStr">
        <is>
          <t>OVANÅKER</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44338-2023</t>
        </is>
      </c>
      <c r="B8354" s="1" t="n">
        <v>45188</v>
      </c>
      <c r="C8354" s="1" t="n">
        <v>45677</v>
      </c>
      <c r="D8354" t="inlineStr">
        <is>
          <t>GÄVLEBORGS LÄN</t>
        </is>
      </c>
      <c r="E8354" t="inlineStr">
        <is>
          <t>SÖDERHAMN</t>
        </is>
      </c>
      <c r="F8354" t="inlineStr">
        <is>
          <t>Kommuner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44346-2023</t>
        </is>
      </c>
      <c r="B8355" s="1" t="n">
        <v>45188</v>
      </c>
      <c r="C8355" s="1" t="n">
        <v>45677</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44538-2023</t>
        </is>
      </c>
      <c r="B8356" s="1" t="n">
        <v>45189</v>
      </c>
      <c r="C8356" s="1" t="n">
        <v>45677</v>
      </c>
      <c r="D8356" t="inlineStr">
        <is>
          <t>GÄVLEBORGS LÄN</t>
        </is>
      </c>
      <c r="E8356" t="inlineStr">
        <is>
          <t>BOLLNÄS</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44617-2023</t>
        </is>
      </c>
      <c r="B8357" s="1" t="n">
        <v>45189</v>
      </c>
      <c r="C8357" s="1" t="n">
        <v>45677</v>
      </c>
      <c r="D8357" t="inlineStr">
        <is>
          <t>GÄVLEBORGS LÄN</t>
        </is>
      </c>
      <c r="E8357" t="inlineStr">
        <is>
          <t>BOLLNÄS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44620-2023</t>
        </is>
      </c>
      <c r="B8358" s="1" t="n">
        <v>45189</v>
      </c>
      <c r="C8358" s="1" t="n">
        <v>45677</v>
      </c>
      <c r="D8358" t="inlineStr">
        <is>
          <t>GÄVLEBORGS LÄN</t>
        </is>
      </c>
      <c r="E8358" t="inlineStr">
        <is>
          <t>BOLLNÄS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44644-2023</t>
        </is>
      </c>
      <c r="B8359" s="1" t="n">
        <v>45189</v>
      </c>
      <c r="C8359" s="1" t="n">
        <v>45677</v>
      </c>
      <c r="D8359" t="inlineStr">
        <is>
          <t>GÄVLEBORGS LÄN</t>
        </is>
      </c>
      <c r="E8359" t="inlineStr">
        <is>
          <t>SANDVIKEN</t>
        </is>
      </c>
      <c r="F8359" t="inlineStr">
        <is>
          <t>Bergvik skog öst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44665-2023</t>
        </is>
      </c>
      <c r="B8360" s="1" t="n">
        <v>45189</v>
      </c>
      <c r="C8360" s="1" t="n">
        <v>45677</v>
      </c>
      <c r="D8360" t="inlineStr">
        <is>
          <t>GÄVLEBORGS LÄN</t>
        </is>
      </c>
      <c r="E8360" t="inlineStr">
        <is>
          <t>LJUSDAL</t>
        </is>
      </c>
      <c r="F8360" t="inlineStr">
        <is>
          <t>Sveaskog</t>
        </is>
      </c>
      <c r="G8360" t="n">
        <v>25.1</v>
      </c>
      <c r="H8360" t="n">
        <v>0</v>
      </c>
      <c r="I8360" t="n">
        <v>0</v>
      </c>
      <c r="J8360" t="n">
        <v>0</v>
      </c>
      <c r="K8360" t="n">
        <v>0</v>
      </c>
      <c r="L8360" t="n">
        <v>0</v>
      </c>
      <c r="M8360" t="n">
        <v>0</v>
      </c>
      <c r="N8360" t="n">
        <v>0</v>
      </c>
      <c r="O8360" t="n">
        <v>0</v>
      </c>
      <c r="P8360" t="n">
        <v>0</v>
      </c>
      <c r="Q8360" t="n">
        <v>0</v>
      </c>
      <c r="R8360" s="2" t="inlineStr"/>
    </row>
    <row r="8361" ht="15" customHeight="1">
      <c r="A8361" t="inlineStr">
        <is>
          <t>A 44510-2023</t>
        </is>
      </c>
      <c r="B8361" s="1" t="n">
        <v>45189</v>
      </c>
      <c r="C8361" s="1" t="n">
        <v>45677</v>
      </c>
      <c r="D8361" t="inlineStr">
        <is>
          <t>GÄVLEBORGS LÄN</t>
        </is>
      </c>
      <c r="E8361" t="inlineStr">
        <is>
          <t>SANDVIKEN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44541-2023</t>
        </is>
      </c>
      <c r="B8362" s="1" t="n">
        <v>45189</v>
      </c>
      <c r="C8362" s="1" t="n">
        <v>45677</v>
      </c>
      <c r="D8362" t="inlineStr">
        <is>
          <t>GÄVLEBORGS LÄN</t>
        </is>
      </c>
      <c r="E8362" t="inlineStr">
        <is>
          <t>HUDIKSVALL</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44611-2023</t>
        </is>
      </c>
      <c r="B8363" s="1" t="n">
        <v>45189</v>
      </c>
      <c r="C8363" s="1" t="n">
        <v>45677</v>
      </c>
      <c r="D8363" t="inlineStr">
        <is>
          <t>GÄVLEBORGS LÄN</t>
        </is>
      </c>
      <c r="E8363" t="inlineStr">
        <is>
          <t>OVANÅKER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44625-2023</t>
        </is>
      </c>
      <c r="B8364" s="1" t="n">
        <v>45189</v>
      </c>
      <c r="C8364" s="1" t="n">
        <v>45677</v>
      </c>
      <c r="D8364" t="inlineStr">
        <is>
          <t>GÄVLEBORGS LÄN</t>
        </is>
      </c>
      <c r="E8364" t="inlineStr">
        <is>
          <t>BOLLNÄS</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44418-2023</t>
        </is>
      </c>
      <c r="B8365" s="1" t="n">
        <v>45189</v>
      </c>
      <c r="C8365" s="1" t="n">
        <v>45677</v>
      </c>
      <c r="D8365" t="inlineStr">
        <is>
          <t>GÄVLEBORGS LÄN</t>
        </is>
      </c>
      <c r="E8365" t="inlineStr">
        <is>
          <t>NORDANSTIG</t>
        </is>
      </c>
      <c r="F8365" t="inlineStr">
        <is>
          <t>Holmen skog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44446-2023</t>
        </is>
      </c>
      <c r="B8366" s="1" t="n">
        <v>45189</v>
      </c>
      <c r="C8366" s="1" t="n">
        <v>45677</v>
      </c>
      <c r="D8366" t="inlineStr">
        <is>
          <t>GÄVLEBORGS LÄN</t>
        </is>
      </c>
      <c r="E8366" t="inlineStr">
        <is>
          <t>NORDANSTIG</t>
        </is>
      </c>
      <c r="F8366" t="inlineStr">
        <is>
          <t>Holmen skog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44692-2023</t>
        </is>
      </c>
      <c r="B8367" s="1" t="n">
        <v>45190</v>
      </c>
      <c r="C8367" s="1" t="n">
        <v>45677</v>
      </c>
      <c r="D8367" t="inlineStr">
        <is>
          <t>GÄVLEBORGS LÄN</t>
        </is>
      </c>
      <c r="E8367" t="inlineStr">
        <is>
          <t>HUDIKSVALL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44699-2023</t>
        </is>
      </c>
      <c r="B8368" s="1" t="n">
        <v>45190</v>
      </c>
      <c r="C8368" s="1" t="n">
        <v>45677</v>
      </c>
      <c r="D8368" t="inlineStr">
        <is>
          <t>GÄVLEBORGS LÄN</t>
        </is>
      </c>
      <c r="E8368" t="inlineStr">
        <is>
          <t>LJUSDAL</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44920-2023</t>
        </is>
      </c>
      <c r="B8369" s="1" t="n">
        <v>45190</v>
      </c>
      <c r="C8369" s="1" t="n">
        <v>45677</v>
      </c>
      <c r="D8369" t="inlineStr">
        <is>
          <t>GÄVLEBORGS LÄN</t>
        </is>
      </c>
      <c r="E8369" t="inlineStr">
        <is>
          <t>SÖDERHAMN</t>
        </is>
      </c>
      <c r="F8369" t="inlineStr">
        <is>
          <t>Bergvik skog väst AB</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44802-2023</t>
        </is>
      </c>
      <c r="B8370" s="1" t="n">
        <v>45190</v>
      </c>
      <c r="C8370" s="1" t="n">
        <v>45677</v>
      </c>
      <c r="D8370" t="inlineStr">
        <is>
          <t>GÄVLEBORGS LÄN</t>
        </is>
      </c>
      <c r="E8370" t="inlineStr">
        <is>
          <t>OVANÅKER</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44967-2023</t>
        </is>
      </c>
      <c r="B8371" s="1" t="n">
        <v>45191</v>
      </c>
      <c r="C8371" s="1" t="n">
        <v>45677</v>
      </c>
      <c r="D8371" t="inlineStr">
        <is>
          <t>GÄVLEBORGS LÄN</t>
        </is>
      </c>
      <c r="E8371" t="inlineStr">
        <is>
          <t>LJUSDAL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45175-2023</t>
        </is>
      </c>
      <c r="B8372" s="1" t="n">
        <v>45191</v>
      </c>
      <c r="C8372" s="1" t="n">
        <v>45677</v>
      </c>
      <c r="D8372" t="inlineStr">
        <is>
          <t>GÄVLEBORGS LÄN</t>
        </is>
      </c>
      <c r="E8372" t="inlineStr">
        <is>
          <t>LJUSDAL</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45068-2023</t>
        </is>
      </c>
      <c r="B8373" s="1" t="n">
        <v>45191</v>
      </c>
      <c r="C8373" s="1" t="n">
        <v>45677</v>
      </c>
      <c r="D8373" t="inlineStr">
        <is>
          <t>GÄVLEBORGS LÄN</t>
        </is>
      </c>
      <c r="E8373" t="inlineStr">
        <is>
          <t>HUDIKSVALL</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45078-2023</t>
        </is>
      </c>
      <c r="B8374" s="1" t="n">
        <v>45191</v>
      </c>
      <c r="C8374" s="1" t="n">
        <v>45677</v>
      </c>
      <c r="D8374" t="inlineStr">
        <is>
          <t>GÄVLEBORGS LÄN</t>
        </is>
      </c>
      <c r="E8374" t="inlineStr">
        <is>
          <t>HUDIKSVALL</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45096-2023</t>
        </is>
      </c>
      <c r="B8375" s="1" t="n">
        <v>45191</v>
      </c>
      <c r="C8375" s="1" t="n">
        <v>45677</v>
      </c>
      <c r="D8375" t="inlineStr">
        <is>
          <t>GÄVLEBORGS LÄN</t>
        </is>
      </c>
      <c r="E8375" t="inlineStr">
        <is>
          <t>HUDIKSVALL</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45110-2023</t>
        </is>
      </c>
      <c r="B8376" s="1" t="n">
        <v>45191</v>
      </c>
      <c r="C8376" s="1" t="n">
        <v>45677</v>
      </c>
      <c r="D8376" t="inlineStr">
        <is>
          <t>GÄVLEBORGS LÄN</t>
        </is>
      </c>
      <c r="E8376" t="inlineStr">
        <is>
          <t>LJUSDAL</t>
        </is>
      </c>
      <c r="F8376" t="inlineStr">
        <is>
          <t>Bergvik skog väst AB</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45181-2023</t>
        </is>
      </c>
      <c r="B8377" s="1" t="n">
        <v>45191</v>
      </c>
      <c r="C8377" s="1" t="n">
        <v>45677</v>
      </c>
      <c r="D8377" t="inlineStr">
        <is>
          <t>GÄVLEBORGS LÄN</t>
        </is>
      </c>
      <c r="E8377" t="inlineStr">
        <is>
          <t>OCKELBO</t>
        </is>
      </c>
      <c r="F8377" t="inlineStr">
        <is>
          <t>Bergvik skog väst AB</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45212-2023</t>
        </is>
      </c>
      <c r="B8378" s="1" t="n">
        <v>45191</v>
      </c>
      <c r="C8378" s="1" t="n">
        <v>45677</v>
      </c>
      <c r="D8378" t="inlineStr">
        <is>
          <t>GÄVLEBORGS LÄN</t>
        </is>
      </c>
      <c r="E8378" t="inlineStr">
        <is>
          <t>NORDANSTIG</t>
        </is>
      </c>
      <c r="F8378" t="inlineStr">
        <is>
          <t>Holmen skog AB</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45259-2023</t>
        </is>
      </c>
      <c r="B8379" s="1" t="n">
        <v>45191</v>
      </c>
      <c r="C8379" s="1" t="n">
        <v>45677</v>
      </c>
      <c r="D8379" t="inlineStr">
        <is>
          <t>GÄVLEBORGS LÄN</t>
        </is>
      </c>
      <c r="E8379" t="inlineStr">
        <is>
          <t>SÖDERHAMN</t>
        </is>
      </c>
      <c r="F8379" t="inlineStr">
        <is>
          <t>Bergvik skog väst AB</t>
        </is>
      </c>
      <c r="G8379" t="n">
        <v>19.4</v>
      </c>
      <c r="H8379" t="n">
        <v>0</v>
      </c>
      <c r="I8379" t="n">
        <v>0</v>
      </c>
      <c r="J8379" t="n">
        <v>0</v>
      </c>
      <c r="K8379" t="n">
        <v>0</v>
      </c>
      <c r="L8379" t="n">
        <v>0</v>
      </c>
      <c r="M8379" t="n">
        <v>0</v>
      </c>
      <c r="N8379" t="n">
        <v>0</v>
      </c>
      <c r="O8379" t="n">
        <v>0</v>
      </c>
      <c r="P8379" t="n">
        <v>0</v>
      </c>
      <c r="Q8379" t="n">
        <v>0</v>
      </c>
      <c r="R8379" s="2" t="inlineStr"/>
    </row>
    <row r="8380" ht="15" customHeight="1">
      <c r="A8380" t="inlineStr">
        <is>
          <t>A 45286-2023</t>
        </is>
      </c>
      <c r="B8380" s="1" t="n">
        <v>45191</v>
      </c>
      <c r="C8380" s="1" t="n">
        <v>45677</v>
      </c>
      <c r="D8380" t="inlineStr">
        <is>
          <t>GÄVLEBORGS LÄN</t>
        </is>
      </c>
      <c r="E8380" t="inlineStr">
        <is>
          <t>SANDVIKEN</t>
        </is>
      </c>
      <c r="F8380" t="inlineStr">
        <is>
          <t>Bergvik skog öst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45221-2023</t>
        </is>
      </c>
      <c r="B8381" s="1" t="n">
        <v>45191</v>
      </c>
      <c r="C8381" s="1" t="n">
        <v>45677</v>
      </c>
      <c r="D8381" t="inlineStr">
        <is>
          <t>GÄVLEBORGS LÄN</t>
        </is>
      </c>
      <c r="E8381" t="inlineStr">
        <is>
          <t>HUDIKSVALL</t>
        </is>
      </c>
      <c r="F8381" t="inlineStr">
        <is>
          <t>Holmen skog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45248-2023</t>
        </is>
      </c>
      <c r="B8382" s="1" t="n">
        <v>45191</v>
      </c>
      <c r="C8382" s="1" t="n">
        <v>45677</v>
      </c>
      <c r="D8382" t="inlineStr">
        <is>
          <t>GÄVLEBORGS LÄN</t>
        </is>
      </c>
      <c r="E8382" t="inlineStr">
        <is>
          <t>BOLLNÄS</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45258-2023</t>
        </is>
      </c>
      <c r="B8383" s="1" t="n">
        <v>45191</v>
      </c>
      <c r="C8383" s="1" t="n">
        <v>45677</v>
      </c>
      <c r="D8383" t="inlineStr">
        <is>
          <t>GÄVLEBORGS LÄN</t>
        </is>
      </c>
      <c r="E8383" t="inlineStr">
        <is>
          <t>BOLLNÄS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45267-2023</t>
        </is>
      </c>
      <c r="B8384" s="1" t="n">
        <v>45191</v>
      </c>
      <c r="C8384" s="1" t="n">
        <v>45677</v>
      </c>
      <c r="D8384" t="inlineStr">
        <is>
          <t>GÄVLEBORGS LÄN</t>
        </is>
      </c>
      <c r="E8384" t="inlineStr">
        <is>
          <t>SANDVIKEN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45312-2023</t>
        </is>
      </c>
      <c r="B8385" s="1" t="n">
        <v>45191</v>
      </c>
      <c r="C8385" s="1" t="n">
        <v>45677</v>
      </c>
      <c r="D8385" t="inlineStr">
        <is>
          <t>GÄVLEBORGS LÄN</t>
        </is>
      </c>
      <c r="E8385" t="inlineStr">
        <is>
          <t>NORDANSTIG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45243-2023</t>
        </is>
      </c>
      <c r="B8386" s="1" t="n">
        <v>45191</v>
      </c>
      <c r="C8386" s="1" t="n">
        <v>45677</v>
      </c>
      <c r="D8386" t="inlineStr">
        <is>
          <t>GÄVLEBORGS LÄN</t>
        </is>
      </c>
      <c r="E8386" t="inlineStr">
        <is>
          <t>LJUSDAL</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45251-2023</t>
        </is>
      </c>
      <c r="B8387" s="1" t="n">
        <v>45191</v>
      </c>
      <c r="C8387" s="1" t="n">
        <v>45677</v>
      </c>
      <c r="D8387" t="inlineStr">
        <is>
          <t>GÄVLEBORGS LÄN</t>
        </is>
      </c>
      <c r="E8387" t="inlineStr">
        <is>
          <t>LJUSDAL</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45266-2023</t>
        </is>
      </c>
      <c r="B8388" s="1" t="n">
        <v>45191</v>
      </c>
      <c r="C8388" s="1" t="n">
        <v>45677</v>
      </c>
      <c r="D8388" t="inlineStr">
        <is>
          <t>GÄVLEBORGS LÄN</t>
        </is>
      </c>
      <c r="E8388" t="inlineStr">
        <is>
          <t>HUDIKSVALL</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45279-2023</t>
        </is>
      </c>
      <c r="B8389" s="1" t="n">
        <v>45191</v>
      </c>
      <c r="C8389" s="1" t="n">
        <v>45677</v>
      </c>
      <c r="D8389" t="inlineStr">
        <is>
          <t>GÄVLEBORGS LÄN</t>
        </is>
      </c>
      <c r="E8389" t="inlineStr">
        <is>
          <t>SANDVIKEN</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45284-2023</t>
        </is>
      </c>
      <c r="B8390" s="1" t="n">
        <v>45191</v>
      </c>
      <c r="C8390" s="1" t="n">
        <v>45677</v>
      </c>
      <c r="D8390" t="inlineStr">
        <is>
          <t>GÄVLEBORGS LÄN</t>
        </is>
      </c>
      <c r="E8390" t="inlineStr">
        <is>
          <t>SANDVIKEN</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45289-2023</t>
        </is>
      </c>
      <c r="B8391" s="1" t="n">
        <v>45191</v>
      </c>
      <c r="C8391" s="1" t="n">
        <v>45677</v>
      </c>
      <c r="D8391" t="inlineStr">
        <is>
          <t>GÄVLEBORGS LÄN</t>
        </is>
      </c>
      <c r="E8391" t="inlineStr">
        <is>
          <t>LJUSDAL</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45299-2023</t>
        </is>
      </c>
      <c r="B8392" s="1" t="n">
        <v>45191</v>
      </c>
      <c r="C8392" s="1" t="n">
        <v>45677</v>
      </c>
      <c r="D8392" t="inlineStr">
        <is>
          <t>GÄVLEBORGS LÄN</t>
        </is>
      </c>
      <c r="E8392" t="inlineStr">
        <is>
          <t>SANDVIKEN</t>
        </is>
      </c>
      <c r="F8392" t="inlineStr">
        <is>
          <t>Bergvik skog öst AB</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45089-2023</t>
        </is>
      </c>
      <c r="B8393" s="1" t="n">
        <v>45191</v>
      </c>
      <c r="C8393" s="1" t="n">
        <v>45677</v>
      </c>
      <c r="D8393" t="inlineStr">
        <is>
          <t>GÄVLEBORGS LÄN</t>
        </is>
      </c>
      <c r="E8393" t="inlineStr">
        <is>
          <t>LJUSDAL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45241-2023</t>
        </is>
      </c>
      <c r="B8394" s="1" t="n">
        <v>45191</v>
      </c>
      <c r="C8394" s="1" t="n">
        <v>45677</v>
      </c>
      <c r="D8394" t="inlineStr">
        <is>
          <t>GÄVLEBORGS LÄN</t>
        </is>
      </c>
      <c r="E8394" t="inlineStr">
        <is>
          <t>BOLLNÄS</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45250-2023</t>
        </is>
      </c>
      <c r="B8395" s="1" t="n">
        <v>45191</v>
      </c>
      <c r="C8395" s="1" t="n">
        <v>45677</v>
      </c>
      <c r="D8395" t="inlineStr">
        <is>
          <t>GÄVLEBORGS LÄN</t>
        </is>
      </c>
      <c r="E8395" t="inlineStr">
        <is>
          <t>LJUSDAL</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45255-2023</t>
        </is>
      </c>
      <c r="B8396" s="1" t="n">
        <v>45191</v>
      </c>
      <c r="C8396" s="1" t="n">
        <v>45677</v>
      </c>
      <c r="D8396" t="inlineStr">
        <is>
          <t>GÄVLEBORGS LÄN</t>
        </is>
      </c>
      <c r="E8396" t="inlineStr">
        <is>
          <t>LJUSDAL</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45260-2023</t>
        </is>
      </c>
      <c r="B8397" s="1" t="n">
        <v>45191</v>
      </c>
      <c r="C8397" s="1" t="n">
        <v>45677</v>
      </c>
      <c r="D8397" t="inlineStr">
        <is>
          <t>GÄVLEBORGS LÄN</t>
        </is>
      </c>
      <c r="E8397" t="inlineStr">
        <is>
          <t>LJUSDAL</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45278-2023</t>
        </is>
      </c>
      <c r="B8398" s="1" t="n">
        <v>45191</v>
      </c>
      <c r="C8398" s="1" t="n">
        <v>45677</v>
      </c>
      <c r="D8398" t="inlineStr">
        <is>
          <t>GÄVLEBORGS LÄN</t>
        </is>
      </c>
      <c r="E8398" t="inlineStr">
        <is>
          <t>LJUSDAL</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45302-2023</t>
        </is>
      </c>
      <c r="B8399" s="1" t="n">
        <v>45191</v>
      </c>
      <c r="C8399" s="1" t="n">
        <v>45677</v>
      </c>
      <c r="D8399" t="inlineStr">
        <is>
          <t>GÄVLEBORGS LÄN</t>
        </is>
      </c>
      <c r="E8399" t="inlineStr">
        <is>
          <t>SANDVIKEN</t>
        </is>
      </c>
      <c r="F8399" t="inlineStr">
        <is>
          <t>Sveaskog</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45318-2023</t>
        </is>
      </c>
      <c r="B8400" s="1" t="n">
        <v>45191</v>
      </c>
      <c r="C8400" s="1" t="n">
        <v>45677</v>
      </c>
      <c r="D8400" t="inlineStr">
        <is>
          <t>GÄVLEBORGS LÄN</t>
        </is>
      </c>
      <c r="E8400" t="inlineStr">
        <is>
          <t>HUDIKSVALL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46414-2023</t>
        </is>
      </c>
      <c r="B8401" s="1" t="n">
        <v>45191</v>
      </c>
      <c r="C8401" s="1" t="n">
        <v>45677</v>
      </c>
      <c r="D8401" t="inlineStr">
        <is>
          <t>GÄVLEBORGS LÄN</t>
        </is>
      </c>
      <c r="E8401" t="inlineStr">
        <is>
          <t>SANDVIKEN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45356-2023</t>
        </is>
      </c>
      <c r="B8402" s="1" t="n">
        <v>45192</v>
      </c>
      <c r="C8402" s="1" t="n">
        <v>45677</v>
      </c>
      <c r="D8402" t="inlineStr">
        <is>
          <t>GÄVLEBORGS LÄN</t>
        </is>
      </c>
      <c r="E8402" t="inlineStr">
        <is>
          <t>GÄVLE</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45360-2023</t>
        </is>
      </c>
      <c r="B8403" s="1" t="n">
        <v>45192</v>
      </c>
      <c r="C8403" s="1" t="n">
        <v>45677</v>
      </c>
      <c r="D8403" t="inlineStr">
        <is>
          <t>GÄVLEBORGS LÄN</t>
        </is>
      </c>
      <c r="E8403" t="inlineStr">
        <is>
          <t>GÄVLE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45418-2023</t>
        </is>
      </c>
      <c r="B8404" s="1" t="n">
        <v>45194</v>
      </c>
      <c r="C8404" s="1" t="n">
        <v>45677</v>
      </c>
      <c r="D8404" t="inlineStr">
        <is>
          <t>GÄVLEBORGS LÄN</t>
        </is>
      </c>
      <c r="E8404" t="inlineStr">
        <is>
          <t>SANDVIKEN</t>
        </is>
      </c>
      <c r="F8404" t="inlineStr">
        <is>
          <t>Bergvik skog öst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45536-2023</t>
        </is>
      </c>
      <c r="B8405" s="1" t="n">
        <v>45194</v>
      </c>
      <c r="C8405" s="1" t="n">
        <v>45677</v>
      </c>
      <c r="D8405" t="inlineStr">
        <is>
          <t>GÄVLEBORGS LÄN</t>
        </is>
      </c>
      <c r="E8405" t="inlineStr">
        <is>
          <t>LJUSDAL</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45557-2023</t>
        </is>
      </c>
      <c r="B8406" s="1" t="n">
        <v>45194</v>
      </c>
      <c r="C8406" s="1" t="n">
        <v>45677</v>
      </c>
      <c r="D8406" t="inlineStr">
        <is>
          <t>GÄVLEBORGS LÄN</t>
        </is>
      </c>
      <c r="E8406" t="inlineStr">
        <is>
          <t>BOLLNÄS</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45615-2023</t>
        </is>
      </c>
      <c r="B8407" s="1" t="n">
        <v>45194</v>
      </c>
      <c r="C8407" s="1" t="n">
        <v>45677</v>
      </c>
      <c r="D8407" t="inlineStr">
        <is>
          <t>GÄVLEBORGS LÄN</t>
        </is>
      </c>
      <c r="E8407" t="inlineStr">
        <is>
          <t>NORDANSTIG</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45645-2023</t>
        </is>
      </c>
      <c r="B8408" s="1" t="n">
        <v>45194</v>
      </c>
      <c r="C8408" s="1" t="n">
        <v>45677</v>
      </c>
      <c r="D8408" t="inlineStr">
        <is>
          <t>GÄVLEBORGS LÄN</t>
        </is>
      </c>
      <c r="E8408" t="inlineStr">
        <is>
          <t>LJUSDAL</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45569-2023</t>
        </is>
      </c>
      <c r="B8409" s="1" t="n">
        <v>45194</v>
      </c>
      <c r="C8409" s="1" t="n">
        <v>45677</v>
      </c>
      <c r="D8409" t="inlineStr">
        <is>
          <t>GÄVLEBORGS LÄN</t>
        </is>
      </c>
      <c r="E8409" t="inlineStr">
        <is>
          <t>GÄVLE</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45593-2023</t>
        </is>
      </c>
      <c r="B8410" s="1" t="n">
        <v>45194</v>
      </c>
      <c r="C8410" s="1" t="n">
        <v>45677</v>
      </c>
      <c r="D8410" t="inlineStr">
        <is>
          <t>GÄVLEBORGS LÄN</t>
        </is>
      </c>
      <c r="E8410" t="inlineStr">
        <is>
          <t>HUDIKSVALL</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45559-2023</t>
        </is>
      </c>
      <c r="B8411" s="1" t="n">
        <v>45194</v>
      </c>
      <c r="C8411" s="1" t="n">
        <v>45677</v>
      </c>
      <c r="D8411" t="inlineStr">
        <is>
          <t>GÄVLEBORGS LÄN</t>
        </is>
      </c>
      <c r="E8411" t="inlineStr">
        <is>
          <t>GÄVLE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45582-2023</t>
        </is>
      </c>
      <c r="B8412" s="1" t="n">
        <v>45194</v>
      </c>
      <c r="C8412" s="1" t="n">
        <v>45677</v>
      </c>
      <c r="D8412" t="inlineStr">
        <is>
          <t>GÄVLEBORGS LÄN</t>
        </is>
      </c>
      <c r="E8412" t="inlineStr">
        <is>
          <t>BOLLNÄS</t>
        </is>
      </c>
      <c r="G8412" t="n">
        <v>18.1</v>
      </c>
      <c r="H8412" t="n">
        <v>0</v>
      </c>
      <c r="I8412" t="n">
        <v>0</v>
      </c>
      <c r="J8412" t="n">
        <v>0</v>
      </c>
      <c r="K8412" t="n">
        <v>0</v>
      </c>
      <c r="L8412" t="n">
        <v>0</v>
      </c>
      <c r="M8412" t="n">
        <v>0</v>
      </c>
      <c r="N8412" t="n">
        <v>0</v>
      </c>
      <c r="O8412" t="n">
        <v>0</v>
      </c>
      <c r="P8412" t="n">
        <v>0</v>
      </c>
      <c r="Q8412" t="n">
        <v>0</v>
      </c>
      <c r="R8412" s="2" t="inlineStr"/>
    </row>
    <row r="8413" ht="15" customHeight="1">
      <c r="A8413" t="inlineStr">
        <is>
          <t>A 45629-2023</t>
        </is>
      </c>
      <c r="B8413" s="1" t="n">
        <v>45194</v>
      </c>
      <c r="C8413" s="1" t="n">
        <v>45677</v>
      </c>
      <c r="D8413" t="inlineStr">
        <is>
          <t>GÄVLEBORGS LÄN</t>
        </is>
      </c>
      <c r="E8413" t="inlineStr">
        <is>
          <t>BOLLNÄS</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45639-2023</t>
        </is>
      </c>
      <c r="B8414" s="1" t="n">
        <v>45194</v>
      </c>
      <c r="C8414" s="1" t="n">
        <v>45677</v>
      </c>
      <c r="D8414" t="inlineStr">
        <is>
          <t>GÄVLEBORGS LÄN</t>
        </is>
      </c>
      <c r="E8414" t="inlineStr">
        <is>
          <t>BOLLNÄS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45680-2023</t>
        </is>
      </c>
      <c r="B8415" s="1" t="n">
        <v>45195</v>
      </c>
      <c r="C8415" s="1" t="n">
        <v>45677</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45733-2023</t>
        </is>
      </c>
      <c r="B8416" s="1" t="n">
        <v>45195</v>
      </c>
      <c r="C8416" s="1" t="n">
        <v>45677</v>
      </c>
      <c r="D8416" t="inlineStr">
        <is>
          <t>GÄVLEBORGS LÄN</t>
        </is>
      </c>
      <c r="E8416" t="inlineStr">
        <is>
          <t>LJUSDAL</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45752-2023</t>
        </is>
      </c>
      <c r="B8417" s="1" t="n">
        <v>45195</v>
      </c>
      <c r="C8417" s="1" t="n">
        <v>45677</v>
      </c>
      <c r="D8417" t="inlineStr">
        <is>
          <t>GÄVLEBORGS LÄN</t>
        </is>
      </c>
      <c r="E8417" t="inlineStr">
        <is>
          <t>LJUSDAL</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45762-2023</t>
        </is>
      </c>
      <c r="B8418" s="1" t="n">
        <v>45195</v>
      </c>
      <c r="C8418" s="1" t="n">
        <v>45677</v>
      </c>
      <c r="D8418" t="inlineStr">
        <is>
          <t>GÄVLEBORGS LÄN</t>
        </is>
      </c>
      <c r="E8418" t="inlineStr">
        <is>
          <t>NORDANSTIG</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45763-2023</t>
        </is>
      </c>
      <c r="B8419" s="1" t="n">
        <v>45195</v>
      </c>
      <c r="C8419" s="1" t="n">
        <v>45677</v>
      </c>
      <c r="D8419" t="inlineStr">
        <is>
          <t>GÄVLEBORGS LÄN</t>
        </is>
      </c>
      <c r="E8419" t="inlineStr">
        <is>
          <t>LJUSDAL</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45877-2023</t>
        </is>
      </c>
      <c r="B8420" s="1" t="n">
        <v>45195</v>
      </c>
      <c r="C8420" s="1" t="n">
        <v>45677</v>
      </c>
      <c r="D8420" t="inlineStr">
        <is>
          <t>GÄVLEBORGS LÄN</t>
        </is>
      </c>
      <c r="E8420" t="inlineStr">
        <is>
          <t>SANDVIKEN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45842-2023</t>
        </is>
      </c>
      <c r="B8421" s="1" t="n">
        <v>45195</v>
      </c>
      <c r="C8421" s="1" t="n">
        <v>45677</v>
      </c>
      <c r="D8421" t="inlineStr">
        <is>
          <t>GÄVLEBORGS LÄN</t>
        </is>
      </c>
      <c r="E8421" t="inlineStr">
        <is>
          <t>BOLLNÄS</t>
        </is>
      </c>
      <c r="F8421" t="inlineStr">
        <is>
          <t>Bergvik skog väst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45909-2023</t>
        </is>
      </c>
      <c r="B8422" s="1" t="n">
        <v>45195</v>
      </c>
      <c r="C8422" s="1" t="n">
        <v>45677</v>
      </c>
      <c r="D8422" t="inlineStr">
        <is>
          <t>GÄVLEBORGS LÄN</t>
        </is>
      </c>
      <c r="E8422" t="inlineStr">
        <is>
          <t>SANDVIKEN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45703-2023</t>
        </is>
      </c>
      <c r="B8423" s="1" t="n">
        <v>45195</v>
      </c>
      <c r="C8423" s="1" t="n">
        <v>45677</v>
      </c>
      <c r="D8423" t="inlineStr">
        <is>
          <t>GÄVLEBORGS LÄN</t>
        </is>
      </c>
      <c r="E8423" t="inlineStr">
        <is>
          <t>LJUSDAL</t>
        </is>
      </c>
      <c r="F8423" t="inlineStr">
        <is>
          <t>Holmen skog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45709-2023</t>
        </is>
      </c>
      <c r="B8424" s="1" t="n">
        <v>45195</v>
      </c>
      <c r="C8424" s="1" t="n">
        <v>45677</v>
      </c>
      <c r="D8424" t="inlineStr">
        <is>
          <t>GÄVLEBORGS LÄN</t>
        </is>
      </c>
      <c r="E8424" t="inlineStr">
        <is>
          <t>LJUSDAL</t>
        </is>
      </c>
      <c r="F8424" t="inlineStr">
        <is>
          <t>Holmen skog AB</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45726-2023</t>
        </is>
      </c>
      <c r="B8425" s="1" t="n">
        <v>45195</v>
      </c>
      <c r="C8425" s="1" t="n">
        <v>45677</v>
      </c>
      <c r="D8425" t="inlineStr">
        <is>
          <t>GÄVLEBORGS LÄN</t>
        </is>
      </c>
      <c r="E8425" t="inlineStr">
        <is>
          <t>LJUSDAL</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45751-2023</t>
        </is>
      </c>
      <c r="B8426" s="1" t="n">
        <v>45195</v>
      </c>
      <c r="C8426" s="1" t="n">
        <v>45677</v>
      </c>
      <c r="D8426" t="inlineStr">
        <is>
          <t>GÄVLEBORGS LÄN</t>
        </is>
      </c>
      <c r="E8426" t="inlineStr">
        <is>
          <t>LJUSDAL</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45770-2023</t>
        </is>
      </c>
      <c r="B8427" s="1" t="n">
        <v>45195</v>
      </c>
      <c r="C8427" s="1" t="n">
        <v>45677</v>
      </c>
      <c r="D8427" t="inlineStr">
        <is>
          <t>GÄVLEBORGS LÄN</t>
        </is>
      </c>
      <c r="E8427" t="inlineStr">
        <is>
          <t>GÄVLE</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45802-2023</t>
        </is>
      </c>
      <c r="B8428" s="1" t="n">
        <v>45195</v>
      </c>
      <c r="C8428" s="1" t="n">
        <v>45677</v>
      </c>
      <c r="D8428" t="inlineStr">
        <is>
          <t>GÄVLEBORGS LÄN</t>
        </is>
      </c>
      <c r="E8428" t="inlineStr">
        <is>
          <t>HUDIKSVALL</t>
        </is>
      </c>
      <c r="F8428" t="inlineStr">
        <is>
          <t>Holmen skog AB</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45840-2023</t>
        </is>
      </c>
      <c r="B8429" s="1" t="n">
        <v>45195</v>
      </c>
      <c r="C8429" s="1" t="n">
        <v>45677</v>
      </c>
      <c r="D8429" t="inlineStr">
        <is>
          <t>GÄVLEBORGS LÄN</t>
        </is>
      </c>
      <c r="E8429" t="inlineStr">
        <is>
          <t>BOLLNÄS</t>
        </is>
      </c>
      <c r="F8429" t="inlineStr">
        <is>
          <t>Bergvik skog väst AB</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45844-2023</t>
        </is>
      </c>
      <c r="B8430" s="1" t="n">
        <v>45195</v>
      </c>
      <c r="C8430" s="1" t="n">
        <v>45677</v>
      </c>
      <c r="D8430" t="inlineStr">
        <is>
          <t>GÄVLEBORGS LÄN</t>
        </is>
      </c>
      <c r="E8430" t="inlineStr">
        <is>
          <t>NORDANSTIG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45725-2023</t>
        </is>
      </c>
      <c r="B8431" s="1" t="n">
        <v>45195</v>
      </c>
      <c r="C8431" s="1" t="n">
        <v>45677</v>
      </c>
      <c r="D8431" t="inlineStr">
        <is>
          <t>GÄVLEBORGS LÄN</t>
        </is>
      </c>
      <c r="E8431" t="inlineStr">
        <is>
          <t>HUDIKSVALL</t>
        </is>
      </c>
      <c r="F8431" t="inlineStr">
        <is>
          <t>Holmen skog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45730-2023</t>
        </is>
      </c>
      <c r="B8432" s="1" t="n">
        <v>45195</v>
      </c>
      <c r="C8432" s="1" t="n">
        <v>45677</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45745-2023</t>
        </is>
      </c>
      <c r="B8433" s="1" t="n">
        <v>45195</v>
      </c>
      <c r="C8433" s="1" t="n">
        <v>45677</v>
      </c>
      <c r="D8433" t="inlineStr">
        <is>
          <t>GÄVLEBORGS LÄN</t>
        </is>
      </c>
      <c r="E8433" t="inlineStr">
        <is>
          <t>GÄVLE</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45750-2023</t>
        </is>
      </c>
      <c r="B8434" s="1" t="n">
        <v>45195</v>
      </c>
      <c r="C8434" s="1" t="n">
        <v>45677</v>
      </c>
      <c r="D8434" t="inlineStr">
        <is>
          <t>GÄVLEBORGS LÄN</t>
        </is>
      </c>
      <c r="E8434" t="inlineStr">
        <is>
          <t>GÄVLE</t>
        </is>
      </c>
      <c r="F8434" t="inlineStr">
        <is>
          <t>Bergvik skog väst AB</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45883-2023</t>
        </is>
      </c>
      <c r="B8435" s="1" t="n">
        <v>45195</v>
      </c>
      <c r="C8435" s="1" t="n">
        <v>45677</v>
      </c>
      <c r="D8435" t="inlineStr">
        <is>
          <t>GÄVLEBORGS LÄN</t>
        </is>
      </c>
      <c r="E8435" t="inlineStr">
        <is>
          <t>SANDVIKEN</t>
        </is>
      </c>
      <c r="F8435" t="inlineStr">
        <is>
          <t>Bergvik skog öst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45989-2023</t>
        </is>
      </c>
      <c r="B8436" s="1" t="n">
        <v>45196</v>
      </c>
      <c r="C8436" s="1" t="n">
        <v>45677</v>
      </c>
      <c r="D8436" t="inlineStr">
        <is>
          <t>GÄVLEBORGS LÄN</t>
        </is>
      </c>
      <c r="E8436" t="inlineStr">
        <is>
          <t>SANDVIKEN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45994-2023</t>
        </is>
      </c>
      <c r="B8437" s="1" t="n">
        <v>45196</v>
      </c>
      <c r="C8437" s="1" t="n">
        <v>45677</v>
      </c>
      <c r="D8437" t="inlineStr">
        <is>
          <t>GÄVLEBORGS LÄN</t>
        </is>
      </c>
      <c r="E8437" t="inlineStr">
        <is>
          <t>OCKELBO</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46034-2023</t>
        </is>
      </c>
      <c r="B8438" s="1" t="n">
        <v>45196</v>
      </c>
      <c r="C8438" s="1" t="n">
        <v>45677</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46029-2023</t>
        </is>
      </c>
      <c r="B8439" s="1" t="n">
        <v>45196</v>
      </c>
      <c r="C8439" s="1" t="n">
        <v>45677</v>
      </c>
      <c r="D8439" t="inlineStr">
        <is>
          <t>GÄVLEBORGS LÄN</t>
        </is>
      </c>
      <c r="E8439" t="inlineStr">
        <is>
          <t>LJUSDAL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46031-2023</t>
        </is>
      </c>
      <c r="B8440" s="1" t="n">
        <v>45196</v>
      </c>
      <c r="C8440" s="1" t="n">
        <v>45677</v>
      </c>
      <c r="D8440" t="inlineStr">
        <is>
          <t>GÄVLEBORGS LÄN</t>
        </is>
      </c>
      <c r="E8440" t="inlineStr">
        <is>
          <t>GÄVLE</t>
        </is>
      </c>
      <c r="F8440" t="inlineStr">
        <is>
          <t>Bergvik skog väst AB</t>
        </is>
      </c>
      <c r="G8440" t="n">
        <v>26.8</v>
      </c>
      <c r="H8440" t="n">
        <v>0</v>
      </c>
      <c r="I8440" t="n">
        <v>0</v>
      </c>
      <c r="J8440" t="n">
        <v>0</v>
      </c>
      <c r="K8440" t="n">
        <v>0</v>
      </c>
      <c r="L8440" t="n">
        <v>0</v>
      </c>
      <c r="M8440" t="n">
        <v>0</v>
      </c>
      <c r="N8440" t="n">
        <v>0</v>
      </c>
      <c r="O8440" t="n">
        <v>0</v>
      </c>
      <c r="P8440" t="n">
        <v>0</v>
      </c>
      <c r="Q8440" t="n">
        <v>0</v>
      </c>
      <c r="R8440" s="2" t="inlineStr"/>
    </row>
    <row r="8441" ht="15" customHeight="1">
      <c r="A8441" t="inlineStr">
        <is>
          <t>A 46153-2023</t>
        </is>
      </c>
      <c r="B8441" s="1" t="n">
        <v>45196</v>
      </c>
      <c r="C8441" s="1" t="n">
        <v>45677</v>
      </c>
      <c r="D8441" t="inlineStr">
        <is>
          <t>GÄVLEBORGS LÄN</t>
        </is>
      </c>
      <c r="E8441" t="inlineStr">
        <is>
          <t>HUDIKSVALL</t>
        </is>
      </c>
      <c r="F8441" t="inlineStr">
        <is>
          <t>Holmen skog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46105-2023</t>
        </is>
      </c>
      <c r="B8442" s="1" t="n">
        <v>45196</v>
      </c>
      <c r="C8442" s="1" t="n">
        <v>45677</v>
      </c>
      <c r="D8442" t="inlineStr">
        <is>
          <t>GÄVLEBORGS LÄN</t>
        </is>
      </c>
      <c r="E8442" t="inlineStr">
        <is>
          <t>OVANÅKER</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46210-2023</t>
        </is>
      </c>
      <c r="B8443" s="1" t="n">
        <v>45196</v>
      </c>
      <c r="C8443" s="1" t="n">
        <v>45677</v>
      </c>
      <c r="D8443" t="inlineStr">
        <is>
          <t>GÄVLEBORGS LÄN</t>
        </is>
      </c>
      <c r="E8443" t="inlineStr">
        <is>
          <t>OVANÅKER</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46111-2023</t>
        </is>
      </c>
      <c r="B8444" s="1" t="n">
        <v>45196</v>
      </c>
      <c r="C8444" s="1" t="n">
        <v>45677</v>
      </c>
      <c r="D8444" t="inlineStr">
        <is>
          <t>GÄVLEBORGS LÄN</t>
        </is>
      </c>
      <c r="E8444" t="inlineStr">
        <is>
          <t>NORDANSTIG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46296-2023</t>
        </is>
      </c>
      <c r="B8445" s="1" t="n">
        <v>45197</v>
      </c>
      <c r="C8445" s="1" t="n">
        <v>45677</v>
      </c>
      <c r="D8445" t="inlineStr">
        <is>
          <t>GÄVLEBORGS LÄN</t>
        </is>
      </c>
      <c r="E8445" t="inlineStr">
        <is>
          <t>NORDANSTIG</t>
        </is>
      </c>
      <c r="F8445" t="inlineStr">
        <is>
          <t>Holmen skog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46300-2023</t>
        </is>
      </c>
      <c r="B8446" s="1" t="n">
        <v>45197</v>
      </c>
      <c r="C8446" s="1" t="n">
        <v>45677</v>
      </c>
      <c r="D8446" t="inlineStr">
        <is>
          <t>GÄVLEBORGS LÄN</t>
        </is>
      </c>
      <c r="E8446" t="inlineStr">
        <is>
          <t>OVANÅKER</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46413-2023</t>
        </is>
      </c>
      <c r="B8447" s="1" t="n">
        <v>45197</v>
      </c>
      <c r="C8447" s="1" t="n">
        <v>45677</v>
      </c>
      <c r="D8447" t="inlineStr">
        <is>
          <t>GÄVLEBORGS LÄN</t>
        </is>
      </c>
      <c r="E8447" t="inlineStr">
        <is>
          <t>LJUSDAL</t>
        </is>
      </c>
      <c r="F8447" t="inlineStr">
        <is>
          <t>Allmännings- och besparingsskogar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46482-2023</t>
        </is>
      </c>
      <c r="B8448" s="1" t="n">
        <v>45197</v>
      </c>
      <c r="C8448" s="1" t="n">
        <v>45677</v>
      </c>
      <c r="D8448" t="inlineStr">
        <is>
          <t>GÄVLEBORGS LÄN</t>
        </is>
      </c>
      <c r="E8448" t="inlineStr">
        <is>
          <t>SANDVIKEN</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46490-2023</t>
        </is>
      </c>
      <c r="B8449" s="1" t="n">
        <v>45197</v>
      </c>
      <c r="C8449" s="1" t="n">
        <v>45677</v>
      </c>
      <c r="D8449" t="inlineStr">
        <is>
          <t>GÄVLEBORGS LÄN</t>
        </is>
      </c>
      <c r="E8449" t="inlineStr">
        <is>
          <t>SANDVIKEN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46532-2023</t>
        </is>
      </c>
      <c r="B8450" s="1" t="n">
        <v>45197</v>
      </c>
      <c r="C8450" s="1" t="n">
        <v>45677</v>
      </c>
      <c r="D8450" t="inlineStr">
        <is>
          <t>GÄVLEBORGS LÄN</t>
        </is>
      </c>
      <c r="E8450" t="inlineStr">
        <is>
          <t>GÄVLE</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46286-2023</t>
        </is>
      </c>
      <c r="B8451" s="1" t="n">
        <v>45197</v>
      </c>
      <c r="C8451" s="1" t="n">
        <v>45677</v>
      </c>
      <c r="D8451" t="inlineStr">
        <is>
          <t>GÄVLEBORGS LÄN</t>
        </is>
      </c>
      <c r="E8451" t="inlineStr">
        <is>
          <t>OVANÅKER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46488-2023</t>
        </is>
      </c>
      <c r="B8452" s="1" t="n">
        <v>45197</v>
      </c>
      <c r="C8452" s="1" t="n">
        <v>45677</v>
      </c>
      <c r="D8452" t="inlineStr">
        <is>
          <t>GÄVLEBORGS LÄN</t>
        </is>
      </c>
      <c r="E8452" t="inlineStr">
        <is>
          <t>SANDVIKEN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46299-2023</t>
        </is>
      </c>
      <c r="B8453" s="1" t="n">
        <v>45197</v>
      </c>
      <c r="C8453" s="1" t="n">
        <v>45677</v>
      </c>
      <c r="D8453" t="inlineStr">
        <is>
          <t>GÄVLEBORGS LÄN</t>
        </is>
      </c>
      <c r="E8453" t="inlineStr">
        <is>
          <t>NORDANSTIG</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46567-2023</t>
        </is>
      </c>
      <c r="B8454" s="1" t="n">
        <v>45198</v>
      </c>
      <c r="C8454" s="1" t="n">
        <v>45677</v>
      </c>
      <c r="D8454" t="inlineStr">
        <is>
          <t>GÄVLEBORGS LÄN</t>
        </is>
      </c>
      <c r="E8454" t="inlineStr">
        <is>
          <t>LJUSDAL</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46586-2023</t>
        </is>
      </c>
      <c r="B8455" s="1" t="n">
        <v>45198</v>
      </c>
      <c r="C8455" s="1" t="n">
        <v>45677</v>
      </c>
      <c r="D8455" t="inlineStr">
        <is>
          <t>GÄVLEBORGS LÄN</t>
        </is>
      </c>
      <c r="E8455" t="inlineStr">
        <is>
          <t>HUDIKSVALL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46627-2023</t>
        </is>
      </c>
      <c r="B8456" s="1" t="n">
        <v>45198</v>
      </c>
      <c r="C8456" s="1" t="n">
        <v>45677</v>
      </c>
      <c r="D8456" t="inlineStr">
        <is>
          <t>GÄVLEBORGS LÄN</t>
        </is>
      </c>
      <c r="E8456" t="inlineStr">
        <is>
          <t>GÄVLE</t>
        </is>
      </c>
      <c r="F8456" t="inlineStr">
        <is>
          <t>Bergvik skog väst AB</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46715-2023</t>
        </is>
      </c>
      <c r="B8457" s="1" t="n">
        <v>45198</v>
      </c>
      <c r="C8457" s="1" t="n">
        <v>45677</v>
      </c>
      <c r="D8457" t="inlineStr">
        <is>
          <t>GÄVLEBORGS LÄN</t>
        </is>
      </c>
      <c r="E8457" t="inlineStr">
        <is>
          <t>OVANÅKER</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46781-2023</t>
        </is>
      </c>
      <c r="B8458" s="1" t="n">
        <v>45198</v>
      </c>
      <c r="C8458" s="1" t="n">
        <v>45677</v>
      </c>
      <c r="D8458" t="inlineStr">
        <is>
          <t>GÄVLEBORGS LÄN</t>
        </is>
      </c>
      <c r="E8458" t="inlineStr">
        <is>
          <t>LJUSDAL</t>
        </is>
      </c>
      <c r="F8458" t="inlineStr">
        <is>
          <t>Sveaskog</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46568-2023</t>
        </is>
      </c>
      <c r="B8459" s="1" t="n">
        <v>45198</v>
      </c>
      <c r="C8459" s="1" t="n">
        <v>45677</v>
      </c>
      <c r="D8459" t="inlineStr">
        <is>
          <t>GÄVLEBORGS LÄN</t>
        </is>
      </c>
      <c r="E8459" t="inlineStr">
        <is>
          <t>LJUSDAL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46588-2023</t>
        </is>
      </c>
      <c r="B8460" s="1" t="n">
        <v>45198</v>
      </c>
      <c r="C8460" s="1" t="n">
        <v>45677</v>
      </c>
      <c r="D8460" t="inlineStr">
        <is>
          <t>GÄVLEBORGS LÄN</t>
        </is>
      </c>
      <c r="E8460" t="inlineStr">
        <is>
          <t>HUDIKSVALL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46725-2023</t>
        </is>
      </c>
      <c r="B8461" s="1" t="n">
        <v>45198</v>
      </c>
      <c r="C8461" s="1" t="n">
        <v>45677</v>
      </c>
      <c r="D8461" t="inlineStr">
        <is>
          <t>GÄVLEBORGS LÄN</t>
        </is>
      </c>
      <c r="E8461" t="inlineStr">
        <is>
          <t>SÖDERHAMN</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46629-2023</t>
        </is>
      </c>
      <c r="B8462" s="1" t="n">
        <v>45198</v>
      </c>
      <c r="C8462" s="1" t="n">
        <v>45677</v>
      </c>
      <c r="D8462" t="inlineStr">
        <is>
          <t>GÄVLEBORGS LÄN</t>
        </is>
      </c>
      <c r="E8462" t="inlineStr">
        <is>
          <t>HUDIKSVALL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46652-2023</t>
        </is>
      </c>
      <c r="B8463" s="1" t="n">
        <v>45198</v>
      </c>
      <c r="C8463" s="1" t="n">
        <v>45677</v>
      </c>
      <c r="D8463" t="inlineStr">
        <is>
          <t>GÄVLEBORGS LÄN</t>
        </is>
      </c>
      <c r="E8463" t="inlineStr">
        <is>
          <t>OVANÅKER</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46699-2023</t>
        </is>
      </c>
      <c r="B8464" s="1" t="n">
        <v>45198</v>
      </c>
      <c r="C8464" s="1" t="n">
        <v>45677</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46706-2023</t>
        </is>
      </c>
      <c r="B8465" s="1" t="n">
        <v>45198</v>
      </c>
      <c r="C8465" s="1" t="n">
        <v>45677</v>
      </c>
      <c r="D8465" t="inlineStr">
        <is>
          <t>GÄVLEBORGS LÄN</t>
        </is>
      </c>
      <c r="E8465" t="inlineStr">
        <is>
          <t>OVANÅKER</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46713-2023</t>
        </is>
      </c>
      <c r="B8466" s="1" t="n">
        <v>45198</v>
      </c>
      <c r="C8466" s="1" t="n">
        <v>45677</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46844-2023</t>
        </is>
      </c>
      <c r="B8467" s="1" t="n">
        <v>45199</v>
      </c>
      <c r="C8467" s="1" t="n">
        <v>45677</v>
      </c>
      <c r="D8467" t="inlineStr">
        <is>
          <t>GÄVLEBORGS LÄN</t>
        </is>
      </c>
      <c r="E8467" t="inlineStr">
        <is>
          <t>SÖDERHAMN</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46847-2023</t>
        </is>
      </c>
      <c r="B8468" s="1" t="n">
        <v>45199</v>
      </c>
      <c r="C8468" s="1" t="n">
        <v>45677</v>
      </c>
      <c r="D8468" t="inlineStr">
        <is>
          <t>GÄVLEBORGS LÄN</t>
        </is>
      </c>
      <c r="E8468" t="inlineStr">
        <is>
          <t>SÖDERHAMN</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47122-2023</t>
        </is>
      </c>
      <c r="B8469" s="1" t="n">
        <v>45201</v>
      </c>
      <c r="C8469" s="1" t="n">
        <v>45677</v>
      </c>
      <c r="D8469" t="inlineStr">
        <is>
          <t>GÄVLEBORGS LÄN</t>
        </is>
      </c>
      <c r="E8469" t="inlineStr">
        <is>
          <t>OVANÅKER</t>
        </is>
      </c>
      <c r="G8469" t="n">
        <v>17.2</v>
      </c>
      <c r="H8469" t="n">
        <v>0</v>
      </c>
      <c r="I8469" t="n">
        <v>0</v>
      </c>
      <c r="J8469" t="n">
        <v>0</v>
      </c>
      <c r="K8469" t="n">
        <v>0</v>
      </c>
      <c r="L8469" t="n">
        <v>0</v>
      </c>
      <c r="M8469" t="n">
        <v>0</v>
      </c>
      <c r="N8469" t="n">
        <v>0</v>
      </c>
      <c r="O8469" t="n">
        <v>0</v>
      </c>
      <c r="P8469" t="n">
        <v>0</v>
      </c>
      <c r="Q8469" t="n">
        <v>0</v>
      </c>
      <c r="R8469" s="2" t="inlineStr"/>
    </row>
    <row r="8470" ht="15" customHeight="1">
      <c r="A8470" t="inlineStr">
        <is>
          <t>A 47133-2023</t>
        </is>
      </c>
      <c r="B8470" s="1" t="n">
        <v>45201</v>
      </c>
      <c r="C8470" s="1" t="n">
        <v>45677</v>
      </c>
      <c r="D8470" t="inlineStr">
        <is>
          <t>GÄVLEBORGS LÄN</t>
        </is>
      </c>
      <c r="E8470" t="inlineStr">
        <is>
          <t>HUDIKSVALL</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46892-2023</t>
        </is>
      </c>
      <c r="B8471" s="1" t="n">
        <v>45201</v>
      </c>
      <c r="C8471" s="1" t="n">
        <v>45677</v>
      </c>
      <c r="D8471" t="inlineStr">
        <is>
          <t>GÄVLEBORGS LÄN</t>
        </is>
      </c>
      <c r="E8471" t="inlineStr">
        <is>
          <t>LJUSDAL</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47026-2023</t>
        </is>
      </c>
      <c r="B8472" s="1" t="n">
        <v>45201</v>
      </c>
      <c r="C8472" s="1" t="n">
        <v>45677</v>
      </c>
      <c r="D8472" t="inlineStr">
        <is>
          <t>GÄVLEBORGS LÄN</t>
        </is>
      </c>
      <c r="E8472" t="inlineStr">
        <is>
          <t>LJUSDAL</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46890-2023</t>
        </is>
      </c>
      <c r="B8473" s="1" t="n">
        <v>45201</v>
      </c>
      <c r="C8473" s="1" t="n">
        <v>45677</v>
      </c>
      <c r="D8473" t="inlineStr">
        <is>
          <t>GÄVLEBORGS LÄN</t>
        </is>
      </c>
      <c r="E8473" t="inlineStr">
        <is>
          <t>HUDIKSVALL</t>
        </is>
      </c>
      <c r="F8473" t="inlineStr">
        <is>
          <t>Holmen skog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47009-2023</t>
        </is>
      </c>
      <c r="B8474" s="1" t="n">
        <v>45201</v>
      </c>
      <c r="C8474" s="1" t="n">
        <v>45677</v>
      </c>
      <c r="D8474" t="inlineStr">
        <is>
          <t>GÄVLEBORGS LÄN</t>
        </is>
      </c>
      <c r="E8474" t="inlineStr">
        <is>
          <t>SÖDERHAMN</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46962-2023</t>
        </is>
      </c>
      <c r="B8475" s="1" t="n">
        <v>45201</v>
      </c>
      <c r="C8475" s="1" t="n">
        <v>45677</v>
      </c>
      <c r="D8475" t="inlineStr">
        <is>
          <t>GÄVLEBORGS LÄN</t>
        </is>
      </c>
      <c r="E8475" t="inlineStr">
        <is>
          <t>OVANÅKER</t>
        </is>
      </c>
      <c r="F8475" t="inlineStr">
        <is>
          <t>Kyrkan</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47145-2023</t>
        </is>
      </c>
      <c r="B8476" s="1" t="n">
        <v>45201</v>
      </c>
      <c r="C8476" s="1" t="n">
        <v>45677</v>
      </c>
      <c r="D8476" t="inlineStr">
        <is>
          <t>GÄVLEBORGS LÄN</t>
        </is>
      </c>
      <c r="E8476" t="inlineStr">
        <is>
          <t>HUDIKSVALL</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46983-2023</t>
        </is>
      </c>
      <c r="B8477" s="1" t="n">
        <v>45201</v>
      </c>
      <c r="C8477" s="1" t="n">
        <v>45677</v>
      </c>
      <c r="D8477" t="inlineStr">
        <is>
          <t>GÄVLEBORGS LÄN</t>
        </is>
      </c>
      <c r="E8477" t="inlineStr">
        <is>
          <t>LJUSDAL</t>
        </is>
      </c>
      <c r="F8477" t="inlineStr">
        <is>
          <t>Allmännings- och besparingsskogar</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47046-2023</t>
        </is>
      </c>
      <c r="B8478" s="1" t="n">
        <v>45201</v>
      </c>
      <c r="C8478" s="1" t="n">
        <v>45677</v>
      </c>
      <c r="D8478" t="inlineStr">
        <is>
          <t>GÄVLEBORGS LÄN</t>
        </is>
      </c>
      <c r="E8478" t="inlineStr">
        <is>
          <t>SANDVIKEN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47192-2023</t>
        </is>
      </c>
      <c r="B8479" s="1" t="n">
        <v>45202</v>
      </c>
      <c r="C8479" s="1" t="n">
        <v>45677</v>
      </c>
      <c r="D8479" t="inlineStr">
        <is>
          <t>GÄVLEBORGS LÄN</t>
        </is>
      </c>
      <c r="E8479" t="inlineStr">
        <is>
          <t>NORDANSTIG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47197-2023</t>
        </is>
      </c>
      <c r="B8480" s="1" t="n">
        <v>45202</v>
      </c>
      <c r="C8480" s="1" t="n">
        <v>45677</v>
      </c>
      <c r="D8480" t="inlineStr">
        <is>
          <t>GÄVLEBORGS LÄN</t>
        </is>
      </c>
      <c r="E8480" t="inlineStr">
        <is>
          <t>SÖDERHAMN</t>
        </is>
      </c>
      <c r="F8480" t="inlineStr">
        <is>
          <t>Bergvik skog väst AB</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47189-2023</t>
        </is>
      </c>
      <c r="B8481" s="1" t="n">
        <v>45202</v>
      </c>
      <c r="C8481" s="1" t="n">
        <v>45677</v>
      </c>
      <c r="D8481" t="inlineStr">
        <is>
          <t>GÄVLEBORGS LÄN</t>
        </is>
      </c>
      <c r="E8481" t="inlineStr">
        <is>
          <t>LJUSDAL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47206-2023</t>
        </is>
      </c>
      <c r="B8482" s="1" t="n">
        <v>45202</v>
      </c>
      <c r="C8482" s="1" t="n">
        <v>45677</v>
      </c>
      <c r="D8482" t="inlineStr">
        <is>
          <t>GÄVLEBORGS LÄN</t>
        </is>
      </c>
      <c r="E8482" t="inlineStr">
        <is>
          <t>LJUSDAL</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47243-2023</t>
        </is>
      </c>
      <c r="B8483" s="1" t="n">
        <v>45202</v>
      </c>
      <c r="C8483" s="1" t="n">
        <v>45677</v>
      </c>
      <c r="D8483" t="inlineStr">
        <is>
          <t>GÄVLEBORGS LÄN</t>
        </is>
      </c>
      <c r="E8483" t="inlineStr">
        <is>
          <t>HUDIKSVALL</t>
        </is>
      </c>
      <c r="F8483" t="inlineStr">
        <is>
          <t>Holmen skog AB</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47246-2023</t>
        </is>
      </c>
      <c r="B8484" s="1" t="n">
        <v>45202</v>
      </c>
      <c r="C8484" s="1" t="n">
        <v>45677</v>
      </c>
      <c r="D8484" t="inlineStr">
        <is>
          <t>GÄVLEBORGS LÄN</t>
        </is>
      </c>
      <c r="E8484" t="inlineStr">
        <is>
          <t>HUDIKSVALL</t>
        </is>
      </c>
      <c r="F8484" t="inlineStr">
        <is>
          <t>Holmen skog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47274-2023</t>
        </is>
      </c>
      <c r="B8485" s="1" t="n">
        <v>45202</v>
      </c>
      <c r="C8485" s="1" t="n">
        <v>45677</v>
      </c>
      <c r="D8485" t="inlineStr">
        <is>
          <t>GÄVLEBORGS LÄN</t>
        </is>
      </c>
      <c r="E8485" t="inlineStr">
        <is>
          <t>HUDIKSVALL</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47278-2023</t>
        </is>
      </c>
      <c r="B8486" s="1" t="n">
        <v>45202</v>
      </c>
      <c r="C8486" s="1" t="n">
        <v>45677</v>
      </c>
      <c r="D8486" t="inlineStr">
        <is>
          <t>GÄVLEBORGS LÄN</t>
        </is>
      </c>
      <c r="E8486" t="inlineStr">
        <is>
          <t>HUDIKSVALL</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47284-2023</t>
        </is>
      </c>
      <c r="B8487" s="1" t="n">
        <v>45202</v>
      </c>
      <c r="C8487" s="1" t="n">
        <v>45677</v>
      </c>
      <c r="D8487" t="inlineStr">
        <is>
          <t>GÄVLEBORGS LÄN</t>
        </is>
      </c>
      <c r="E8487" t="inlineStr">
        <is>
          <t>HOFORS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47288-2023</t>
        </is>
      </c>
      <c r="B8488" s="1" t="n">
        <v>45202</v>
      </c>
      <c r="C8488" s="1" t="n">
        <v>45677</v>
      </c>
      <c r="D8488" t="inlineStr">
        <is>
          <t>GÄVLEBORGS LÄN</t>
        </is>
      </c>
      <c r="E8488" t="inlineStr">
        <is>
          <t>SÖDERHAMN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47292-2023</t>
        </is>
      </c>
      <c r="B8489" s="1" t="n">
        <v>45202</v>
      </c>
      <c r="C8489" s="1" t="n">
        <v>45677</v>
      </c>
      <c r="D8489" t="inlineStr">
        <is>
          <t>GÄVLEBORGS LÄN</t>
        </is>
      </c>
      <c r="E8489" t="inlineStr">
        <is>
          <t>LJUSDAL</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47335-2023</t>
        </is>
      </c>
      <c r="B8490" s="1" t="n">
        <v>45202</v>
      </c>
      <c r="C8490" s="1" t="n">
        <v>45677</v>
      </c>
      <c r="D8490" t="inlineStr">
        <is>
          <t>GÄVLEBORGS LÄN</t>
        </is>
      </c>
      <c r="E8490" t="inlineStr">
        <is>
          <t>HUDIKSVALL</t>
        </is>
      </c>
      <c r="F8490" t="inlineStr">
        <is>
          <t>Holmen skog AB</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47415-2023</t>
        </is>
      </c>
      <c r="B8491" s="1" t="n">
        <v>45202</v>
      </c>
      <c r="C8491" s="1" t="n">
        <v>45677</v>
      </c>
      <c r="D8491" t="inlineStr">
        <is>
          <t>GÄVLEBORGS LÄN</t>
        </is>
      </c>
      <c r="E8491" t="inlineStr">
        <is>
          <t>HUDIKSVALL</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47238-2023</t>
        </is>
      </c>
      <c r="B8492" s="1" t="n">
        <v>45202</v>
      </c>
      <c r="C8492" s="1" t="n">
        <v>45677</v>
      </c>
      <c r="D8492" t="inlineStr">
        <is>
          <t>GÄVLEBORGS LÄN</t>
        </is>
      </c>
      <c r="E8492" t="inlineStr">
        <is>
          <t>HUDIKSVALL</t>
        </is>
      </c>
      <c r="F8492" t="inlineStr">
        <is>
          <t>Holmen skog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47261-2023</t>
        </is>
      </c>
      <c r="B8493" s="1" t="n">
        <v>45202</v>
      </c>
      <c r="C8493" s="1" t="n">
        <v>45677</v>
      </c>
      <c r="D8493" t="inlineStr">
        <is>
          <t>GÄVLEBORGS LÄN</t>
        </is>
      </c>
      <c r="E8493" t="inlineStr">
        <is>
          <t>LJUSDAL</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47276-2023</t>
        </is>
      </c>
      <c r="B8494" s="1" t="n">
        <v>45202</v>
      </c>
      <c r="C8494" s="1" t="n">
        <v>45677</v>
      </c>
      <c r="D8494" t="inlineStr">
        <is>
          <t>GÄVLEBORGS LÄN</t>
        </is>
      </c>
      <c r="E8494" t="inlineStr">
        <is>
          <t>LJUSDAL</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47320-2023</t>
        </is>
      </c>
      <c r="B8495" s="1" t="n">
        <v>45202</v>
      </c>
      <c r="C8495" s="1" t="n">
        <v>45677</v>
      </c>
      <c r="D8495" t="inlineStr">
        <is>
          <t>GÄVLEBORGS LÄN</t>
        </is>
      </c>
      <c r="E8495" t="inlineStr">
        <is>
          <t>HUDIKSVALL</t>
        </is>
      </c>
      <c r="F8495" t="inlineStr">
        <is>
          <t>Holmen skog AB</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47358-2023</t>
        </is>
      </c>
      <c r="B8496" s="1" t="n">
        <v>45202</v>
      </c>
      <c r="C8496" s="1" t="n">
        <v>45677</v>
      </c>
      <c r="D8496" t="inlineStr">
        <is>
          <t>GÄVLEBORGS LÄN</t>
        </is>
      </c>
      <c r="E8496" t="inlineStr">
        <is>
          <t>NORDANSTIG</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47400-2023</t>
        </is>
      </c>
      <c r="B8497" s="1" t="n">
        <v>45202</v>
      </c>
      <c r="C8497" s="1" t="n">
        <v>45677</v>
      </c>
      <c r="D8497" t="inlineStr">
        <is>
          <t>GÄVLEBORGS LÄN</t>
        </is>
      </c>
      <c r="E8497" t="inlineStr">
        <is>
          <t>HUDIKSVALL</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47273-2023</t>
        </is>
      </c>
      <c r="B8498" s="1" t="n">
        <v>45202</v>
      </c>
      <c r="C8498" s="1" t="n">
        <v>45677</v>
      </c>
      <c r="D8498" t="inlineStr">
        <is>
          <t>GÄVLEBORGS LÄN</t>
        </is>
      </c>
      <c r="E8498" t="inlineStr">
        <is>
          <t>BOLLNÄS</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47346-2023</t>
        </is>
      </c>
      <c r="B8499" s="1" t="n">
        <v>45202</v>
      </c>
      <c r="C8499" s="1" t="n">
        <v>45677</v>
      </c>
      <c r="D8499" t="inlineStr">
        <is>
          <t>GÄVLEBORGS LÄN</t>
        </is>
      </c>
      <c r="E8499" t="inlineStr">
        <is>
          <t>HUDIKSVALL</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47397-2023</t>
        </is>
      </c>
      <c r="B8500" s="1" t="n">
        <v>45202</v>
      </c>
      <c r="C8500" s="1" t="n">
        <v>45677</v>
      </c>
      <c r="D8500" t="inlineStr">
        <is>
          <t>GÄVLEBORGS LÄN</t>
        </is>
      </c>
      <c r="E8500" t="inlineStr">
        <is>
          <t>OCKELBO</t>
        </is>
      </c>
      <c r="F8500" t="inlineStr">
        <is>
          <t>Bergvik skog väst AB</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47438-2023</t>
        </is>
      </c>
      <c r="B8501" s="1" t="n">
        <v>45202</v>
      </c>
      <c r="C8501" s="1" t="n">
        <v>45677</v>
      </c>
      <c r="D8501" t="inlineStr">
        <is>
          <t>GÄVLEBORGS LÄN</t>
        </is>
      </c>
      <c r="E8501" t="inlineStr">
        <is>
          <t>BOLLNÄS</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47473-2023</t>
        </is>
      </c>
      <c r="B8502" s="1" t="n">
        <v>45203</v>
      </c>
      <c r="C8502" s="1" t="n">
        <v>45677</v>
      </c>
      <c r="D8502" t="inlineStr">
        <is>
          <t>GÄVLEBORGS LÄN</t>
        </is>
      </c>
      <c r="E8502" t="inlineStr">
        <is>
          <t>HUDIKSVALL</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47472-2023</t>
        </is>
      </c>
      <c r="B8503" s="1" t="n">
        <v>45203</v>
      </c>
      <c r="C8503" s="1" t="n">
        <v>45677</v>
      </c>
      <c r="D8503" t="inlineStr">
        <is>
          <t>GÄVLEBORGS LÄN</t>
        </is>
      </c>
      <c r="E8503" t="inlineStr">
        <is>
          <t>HUDIKSVALL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47471-2023</t>
        </is>
      </c>
      <c r="B8504" s="1" t="n">
        <v>45203</v>
      </c>
      <c r="C8504" s="1" t="n">
        <v>45677</v>
      </c>
      <c r="D8504" t="inlineStr">
        <is>
          <t>GÄVLEBORGS LÄN</t>
        </is>
      </c>
      <c r="E8504" t="inlineStr">
        <is>
          <t>HUDIKSVALL</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47742-2023</t>
        </is>
      </c>
      <c r="B8505" s="1" t="n">
        <v>45203</v>
      </c>
      <c r="C8505" s="1" t="n">
        <v>45677</v>
      </c>
      <c r="D8505" t="inlineStr">
        <is>
          <t>GÄVLEBORGS LÄN</t>
        </is>
      </c>
      <c r="E8505" t="inlineStr">
        <is>
          <t>GÄVLE</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47746-2023</t>
        </is>
      </c>
      <c r="B8506" s="1" t="n">
        <v>45203</v>
      </c>
      <c r="C8506" s="1" t="n">
        <v>45677</v>
      </c>
      <c r="D8506" t="inlineStr">
        <is>
          <t>GÄVLEBORGS LÄN</t>
        </is>
      </c>
      <c r="E8506" t="inlineStr">
        <is>
          <t>GÄVLE</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47651-2023</t>
        </is>
      </c>
      <c r="B8507" s="1" t="n">
        <v>45203</v>
      </c>
      <c r="C8507" s="1" t="n">
        <v>45677</v>
      </c>
      <c r="D8507" t="inlineStr">
        <is>
          <t>GÄVLEBORGS LÄN</t>
        </is>
      </c>
      <c r="E8507" t="inlineStr">
        <is>
          <t>SANDVIKEN</t>
        </is>
      </c>
      <c r="F8507" t="inlineStr">
        <is>
          <t>Kommuner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47657-2023</t>
        </is>
      </c>
      <c r="B8508" s="1" t="n">
        <v>45203</v>
      </c>
      <c r="C8508" s="1" t="n">
        <v>45677</v>
      </c>
      <c r="D8508" t="inlineStr">
        <is>
          <t>GÄVLEBORGS LÄN</t>
        </is>
      </c>
      <c r="E8508" t="inlineStr">
        <is>
          <t>SANDVIKEN</t>
        </is>
      </c>
      <c r="F8508" t="inlineStr">
        <is>
          <t>Kommuner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47701-2023</t>
        </is>
      </c>
      <c r="B8509" s="1" t="n">
        <v>45203</v>
      </c>
      <c r="C8509" s="1" t="n">
        <v>45677</v>
      </c>
      <c r="D8509" t="inlineStr">
        <is>
          <t>GÄVLEBORGS LÄN</t>
        </is>
      </c>
      <c r="E8509" t="inlineStr">
        <is>
          <t>BOLLNÄS</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47743-2023</t>
        </is>
      </c>
      <c r="B8510" s="1" t="n">
        <v>45203</v>
      </c>
      <c r="C8510" s="1" t="n">
        <v>45677</v>
      </c>
      <c r="D8510" t="inlineStr">
        <is>
          <t>GÄVLEBORGS LÄN</t>
        </is>
      </c>
      <c r="E8510" t="inlineStr">
        <is>
          <t>GÄVLE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47747-2023</t>
        </is>
      </c>
      <c r="B8511" s="1" t="n">
        <v>45203</v>
      </c>
      <c r="C8511" s="1" t="n">
        <v>45677</v>
      </c>
      <c r="D8511" t="inlineStr">
        <is>
          <t>GÄVLEBORGS LÄN</t>
        </is>
      </c>
      <c r="E8511" t="inlineStr">
        <is>
          <t>GÄVLE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47530-2023</t>
        </is>
      </c>
      <c r="B8512" s="1" t="n">
        <v>45203</v>
      </c>
      <c r="C8512" s="1" t="n">
        <v>45677</v>
      </c>
      <c r="D8512" t="inlineStr">
        <is>
          <t>GÄVLEBORGS LÄN</t>
        </is>
      </c>
      <c r="E8512" t="inlineStr">
        <is>
          <t>HUDIKSVALL</t>
        </is>
      </c>
      <c r="F8512" t="inlineStr">
        <is>
          <t>Holmen skog AB</t>
        </is>
      </c>
      <c r="G8512" t="n">
        <v>37.8</v>
      </c>
      <c r="H8512" t="n">
        <v>0</v>
      </c>
      <c r="I8512" t="n">
        <v>0</v>
      </c>
      <c r="J8512" t="n">
        <v>0</v>
      </c>
      <c r="K8512" t="n">
        <v>0</v>
      </c>
      <c r="L8512" t="n">
        <v>0</v>
      </c>
      <c r="M8512" t="n">
        <v>0</v>
      </c>
      <c r="N8512" t="n">
        <v>0</v>
      </c>
      <c r="O8512" t="n">
        <v>0</v>
      </c>
      <c r="P8512" t="n">
        <v>0</v>
      </c>
      <c r="Q8512" t="n">
        <v>0</v>
      </c>
      <c r="R8512" s="2" t="inlineStr"/>
    </row>
    <row r="8513" ht="15" customHeight="1">
      <c r="A8513" t="inlineStr">
        <is>
          <t>A 47575-2023</t>
        </is>
      </c>
      <c r="B8513" s="1" t="n">
        <v>45203</v>
      </c>
      <c r="C8513" s="1" t="n">
        <v>45677</v>
      </c>
      <c r="D8513" t="inlineStr">
        <is>
          <t>GÄVLEBORGS LÄN</t>
        </is>
      </c>
      <c r="E8513" t="inlineStr">
        <is>
          <t>BOLLNÄS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47674-2023</t>
        </is>
      </c>
      <c r="B8514" s="1" t="n">
        <v>45203</v>
      </c>
      <c r="C8514" s="1" t="n">
        <v>45677</v>
      </c>
      <c r="D8514" t="inlineStr">
        <is>
          <t>GÄVLEBORGS LÄN</t>
        </is>
      </c>
      <c r="E8514" t="inlineStr">
        <is>
          <t>OCKELBO</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47678-2023</t>
        </is>
      </c>
      <c r="B8515" s="1" t="n">
        <v>45203</v>
      </c>
      <c r="C8515" s="1" t="n">
        <v>45677</v>
      </c>
      <c r="D8515" t="inlineStr">
        <is>
          <t>GÄVLEBORGS LÄN</t>
        </is>
      </c>
      <c r="E8515" t="inlineStr">
        <is>
          <t>OCKELBO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47723-2023</t>
        </is>
      </c>
      <c r="B8516" s="1" t="n">
        <v>45203</v>
      </c>
      <c r="C8516" s="1" t="n">
        <v>45677</v>
      </c>
      <c r="D8516" t="inlineStr">
        <is>
          <t>GÄVLEBORGS LÄN</t>
        </is>
      </c>
      <c r="E8516" t="inlineStr">
        <is>
          <t>OCKELBO</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47739-2023</t>
        </is>
      </c>
      <c r="B8517" s="1" t="n">
        <v>45203</v>
      </c>
      <c r="C8517" s="1" t="n">
        <v>45677</v>
      </c>
      <c r="D8517" t="inlineStr">
        <is>
          <t>GÄVLEBORGS LÄN</t>
        </is>
      </c>
      <c r="E8517" t="inlineStr">
        <is>
          <t>GÄVLE</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47823-2023</t>
        </is>
      </c>
      <c r="B8518" s="1" t="n">
        <v>45204</v>
      </c>
      <c r="C8518" s="1" t="n">
        <v>45677</v>
      </c>
      <c r="D8518" t="inlineStr">
        <is>
          <t>GÄVLEBORGS LÄN</t>
        </is>
      </c>
      <c r="E8518" t="inlineStr">
        <is>
          <t>LJUSDAL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47827-2023</t>
        </is>
      </c>
      <c r="B8519" s="1" t="n">
        <v>45204</v>
      </c>
      <c r="C8519" s="1" t="n">
        <v>45677</v>
      </c>
      <c r="D8519" t="inlineStr">
        <is>
          <t>GÄVLEBORGS LÄN</t>
        </is>
      </c>
      <c r="E8519" t="inlineStr">
        <is>
          <t>LJUSDAL</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47841-2023</t>
        </is>
      </c>
      <c r="B8520" s="1" t="n">
        <v>45204</v>
      </c>
      <c r="C8520" s="1" t="n">
        <v>45677</v>
      </c>
      <c r="D8520" t="inlineStr">
        <is>
          <t>GÄVLEBORGS LÄN</t>
        </is>
      </c>
      <c r="E8520" t="inlineStr">
        <is>
          <t>OCKELBO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47864-2023</t>
        </is>
      </c>
      <c r="B8521" s="1" t="n">
        <v>45204</v>
      </c>
      <c r="C8521" s="1" t="n">
        <v>45677</v>
      </c>
      <c r="D8521" t="inlineStr">
        <is>
          <t>GÄVLEBORGS LÄN</t>
        </is>
      </c>
      <c r="E8521" t="inlineStr">
        <is>
          <t>LJUSDAL</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47875-2023</t>
        </is>
      </c>
      <c r="B8522" s="1" t="n">
        <v>45204</v>
      </c>
      <c r="C8522" s="1" t="n">
        <v>45677</v>
      </c>
      <c r="D8522" t="inlineStr">
        <is>
          <t>GÄVLEBORGS LÄN</t>
        </is>
      </c>
      <c r="E8522" t="inlineStr">
        <is>
          <t>LJUSDAL</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47970-2023</t>
        </is>
      </c>
      <c r="B8523" s="1" t="n">
        <v>45204</v>
      </c>
      <c r="C8523" s="1" t="n">
        <v>45677</v>
      </c>
      <c r="D8523" t="inlineStr">
        <is>
          <t>GÄVLEBORGS LÄN</t>
        </is>
      </c>
      <c r="E8523" t="inlineStr">
        <is>
          <t>GÄVLE</t>
        </is>
      </c>
      <c r="F8523" t="inlineStr">
        <is>
          <t>Bergvik skog väst AB</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48012-2023</t>
        </is>
      </c>
      <c r="B8524" s="1" t="n">
        <v>45204</v>
      </c>
      <c r="C8524" s="1" t="n">
        <v>45677</v>
      </c>
      <c r="D8524" t="inlineStr">
        <is>
          <t>GÄVLEBORGS LÄN</t>
        </is>
      </c>
      <c r="E8524" t="inlineStr">
        <is>
          <t>GÄVLE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48015-2023</t>
        </is>
      </c>
      <c r="B8525" s="1" t="n">
        <v>45204</v>
      </c>
      <c r="C8525" s="1" t="n">
        <v>45677</v>
      </c>
      <c r="D8525" t="inlineStr">
        <is>
          <t>GÄVLEBORGS LÄN</t>
        </is>
      </c>
      <c r="E8525" t="inlineStr">
        <is>
          <t>LJUSDAL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47852-2023</t>
        </is>
      </c>
      <c r="B8526" s="1" t="n">
        <v>45204</v>
      </c>
      <c r="C8526" s="1" t="n">
        <v>45677</v>
      </c>
      <c r="D8526" t="inlineStr">
        <is>
          <t>GÄVLEBORGS LÄN</t>
        </is>
      </c>
      <c r="E8526" t="inlineStr">
        <is>
          <t>BOLLNÄS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47876-2023</t>
        </is>
      </c>
      <c r="B8527" s="1" t="n">
        <v>45204</v>
      </c>
      <c r="C8527" s="1" t="n">
        <v>45677</v>
      </c>
      <c r="D8527" t="inlineStr">
        <is>
          <t>GÄVLEBORGS LÄN</t>
        </is>
      </c>
      <c r="E8527" t="inlineStr">
        <is>
          <t>NORDANSTIG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47895-2023</t>
        </is>
      </c>
      <c r="B8528" s="1" t="n">
        <v>45204</v>
      </c>
      <c r="C8528" s="1" t="n">
        <v>45677</v>
      </c>
      <c r="D8528" t="inlineStr">
        <is>
          <t>GÄVLEBORGS LÄN</t>
        </is>
      </c>
      <c r="E8528" t="inlineStr">
        <is>
          <t>SANDVIKEN</t>
        </is>
      </c>
      <c r="F8528" t="inlineStr">
        <is>
          <t>Bergvik skog öst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48023-2023</t>
        </is>
      </c>
      <c r="B8529" s="1" t="n">
        <v>45204</v>
      </c>
      <c r="C8529" s="1" t="n">
        <v>45677</v>
      </c>
      <c r="D8529" t="inlineStr">
        <is>
          <t>GÄVLEBORGS LÄN</t>
        </is>
      </c>
      <c r="E8529" t="inlineStr">
        <is>
          <t>NORDANSTIG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48104-2023</t>
        </is>
      </c>
      <c r="B8530" s="1" t="n">
        <v>45205</v>
      </c>
      <c r="C8530" s="1" t="n">
        <v>45677</v>
      </c>
      <c r="D8530" t="inlineStr">
        <is>
          <t>GÄVLEBORGS LÄN</t>
        </is>
      </c>
      <c r="E8530" t="inlineStr">
        <is>
          <t>OCKELBO</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48094-2023</t>
        </is>
      </c>
      <c r="B8531" s="1" t="n">
        <v>45205</v>
      </c>
      <c r="C8531" s="1" t="n">
        <v>45677</v>
      </c>
      <c r="D8531" t="inlineStr">
        <is>
          <t>GÄVLEBORGS LÄN</t>
        </is>
      </c>
      <c r="E8531" t="inlineStr">
        <is>
          <t>SANDVIKEN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48136-2023</t>
        </is>
      </c>
      <c r="B8532" s="1" t="n">
        <v>45205</v>
      </c>
      <c r="C8532" s="1" t="n">
        <v>45677</v>
      </c>
      <c r="D8532" t="inlineStr">
        <is>
          <t>GÄVLEBORGS LÄN</t>
        </is>
      </c>
      <c r="E8532" t="inlineStr">
        <is>
          <t>SÖDERHAMN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48196-2023</t>
        </is>
      </c>
      <c r="B8533" s="1" t="n">
        <v>45205</v>
      </c>
      <c r="C8533" s="1" t="n">
        <v>45677</v>
      </c>
      <c r="D8533" t="inlineStr">
        <is>
          <t>GÄVLEBORGS LÄN</t>
        </is>
      </c>
      <c r="E8533" t="inlineStr">
        <is>
          <t>OVANÅKER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48188-2023</t>
        </is>
      </c>
      <c r="B8534" s="1" t="n">
        <v>45205</v>
      </c>
      <c r="C8534" s="1" t="n">
        <v>45677</v>
      </c>
      <c r="D8534" t="inlineStr">
        <is>
          <t>GÄVLEBORGS LÄN</t>
        </is>
      </c>
      <c r="E8534" t="inlineStr">
        <is>
          <t>LJUSDAL</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48137-2023</t>
        </is>
      </c>
      <c r="B8535" s="1" t="n">
        <v>45205</v>
      </c>
      <c r="C8535" s="1" t="n">
        <v>45677</v>
      </c>
      <c r="D8535" t="inlineStr">
        <is>
          <t>GÄVLEBORGS LÄN</t>
        </is>
      </c>
      <c r="E8535" t="inlineStr">
        <is>
          <t>OCKELBO</t>
        </is>
      </c>
      <c r="F8535" t="inlineStr">
        <is>
          <t>Bergvik skog väst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48251-2023</t>
        </is>
      </c>
      <c r="B8536" s="1" t="n">
        <v>45205</v>
      </c>
      <c r="C8536" s="1" t="n">
        <v>45677</v>
      </c>
      <c r="D8536" t="inlineStr">
        <is>
          <t>GÄVLEBORGS LÄN</t>
        </is>
      </c>
      <c r="E8536" t="inlineStr">
        <is>
          <t>SÖDERHAMN</t>
        </is>
      </c>
      <c r="F8536" t="inlineStr">
        <is>
          <t>Bergvik skog väst AB</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48256-2023</t>
        </is>
      </c>
      <c r="B8537" s="1" t="n">
        <v>45205</v>
      </c>
      <c r="C8537" s="1" t="n">
        <v>45677</v>
      </c>
      <c r="D8537" t="inlineStr">
        <is>
          <t>GÄVLEBORGS LÄN</t>
        </is>
      </c>
      <c r="E8537" t="inlineStr">
        <is>
          <t>SANDVIKEN</t>
        </is>
      </c>
      <c r="F8537" t="inlineStr">
        <is>
          <t>Sveaskog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48280-2023</t>
        </is>
      </c>
      <c r="B8538" s="1" t="n">
        <v>45205</v>
      </c>
      <c r="C8538" s="1" t="n">
        <v>45677</v>
      </c>
      <c r="D8538" t="inlineStr">
        <is>
          <t>GÄVLEBORGS LÄN</t>
        </is>
      </c>
      <c r="E8538" t="inlineStr">
        <is>
          <t>GÄVLE</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48303-2023</t>
        </is>
      </c>
      <c r="B8539" s="1" t="n">
        <v>45205</v>
      </c>
      <c r="C8539" s="1" t="n">
        <v>45677</v>
      </c>
      <c r="D8539" t="inlineStr">
        <is>
          <t>GÄVLEBORGS LÄN</t>
        </is>
      </c>
      <c r="E8539" t="inlineStr">
        <is>
          <t>SANDVIKEN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48249-2023</t>
        </is>
      </c>
      <c r="B8540" s="1" t="n">
        <v>45205</v>
      </c>
      <c r="C8540" s="1" t="n">
        <v>45677</v>
      </c>
      <c r="D8540" t="inlineStr">
        <is>
          <t>GÄVLEBORGS LÄN</t>
        </is>
      </c>
      <c r="E8540" t="inlineStr">
        <is>
          <t>HUDIKSVALL</t>
        </is>
      </c>
      <c r="F8540" t="inlineStr">
        <is>
          <t>Holmen skog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48253-2023</t>
        </is>
      </c>
      <c r="B8541" s="1" t="n">
        <v>45205</v>
      </c>
      <c r="C8541" s="1" t="n">
        <v>45677</v>
      </c>
      <c r="D8541" t="inlineStr">
        <is>
          <t>GÄVLEBORGS LÄN</t>
        </is>
      </c>
      <c r="E8541" t="inlineStr">
        <is>
          <t>SÖDERHAMN</t>
        </is>
      </c>
      <c r="F8541" t="inlineStr">
        <is>
          <t>Bergvik skog väst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48258-2023</t>
        </is>
      </c>
      <c r="B8542" s="1" t="n">
        <v>45205</v>
      </c>
      <c r="C8542" s="1" t="n">
        <v>45677</v>
      </c>
      <c r="D8542" t="inlineStr">
        <is>
          <t>GÄVLEBORGS LÄN</t>
        </is>
      </c>
      <c r="E8542" t="inlineStr">
        <is>
          <t>SANDVIKEN</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48268-2023</t>
        </is>
      </c>
      <c r="B8543" s="1" t="n">
        <v>45205</v>
      </c>
      <c r="C8543" s="1" t="n">
        <v>45677</v>
      </c>
      <c r="D8543" t="inlineStr">
        <is>
          <t>GÄVLEBORGS LÄN</t>
        </is>
      </c>
      <c r="E8543" t="inlineStr">
        <is>
          <t>OVANÅKER</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48195-2023</t>
        </is>
      </c>
      <c r="B8544" s="1" t="n">
        <v>45205</v>
      </c>
      <c r="C8544" s="1" t="n">
        <v>45677</v>
      </c>
      <c r="D8544" t="inlineStr">
        <is>
          <t>GÄVLEBORGS LÄN</t>
        </is>
      </c>
      <c r="E8544" t="inlineStr">
        <is>
          <t>LJUSDAL</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48355-2023</t>
        </is>
      </c>
      <c r="B8545" s="1" t="n">
        <v>45205</v>
      </c>
      <c r="C8545" s="1" t="n">
        <v>45677</v>
      </c>
      <c r="D8545" t="inlineStr">
        <is>
          <t>GÄVLEBORGS LÄN</t>
        </is>
      </c>
      <c r="E8545" t="inlineStr">
        <is>
          <t>LJUSDAL</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48360-2023</t>
        </is>
      </c>
      <c r="B8546" s="1" t="n">
        <v>45205</v>
      </c>
      <c r="C8546" s="1" t="n">
        <v>45677</v>
      </c>
      <c r="D8546" t="inlineStr">
        <is>
          <t>GÄVLEBORGS LÄN</t>
        </is>
      </c>
      <c r="E8546" t="inlineStr">
        <is>
          <t>LJUSDAL</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48282-2023</t>
        </is>
      </c>
      <c r="B8547" s="1" t="n">
        <v>45205</v>
      </c>
      <c r="C8547" s="1" t="n">
        <v>45677</v>
      </c>
      <c r="D8547" t="inlineStr">
        <is>
          <t>GÄVLEBORGS LÄN</t>
        </is>
      </c>
      <c r="E8547" t="inlineStr">
        <is>
          <t>OVANÅKER</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48293-2023</t>
        </is>
      </c>
      <c r="B8548" s="1" t="n">
        <v>45205</v>
      </c>
      <c r="C8548" s="1" t="n">
        <v>45677</v>
      </c>
      <c r="D8548" t="inlineStr">
        <is>
          <t>GÄVLEBORGS LÄN</t>
        </is>
      </c>
      <c r="E8548" t="inlineStr">
        <is>
          <t>BOLLNÄS</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48301-2023</t>
        </is>
      </c>
      <c r="B8549" s="1" t="n">
        <v>45205</v>
      </c>
      <c r="C8549" s="1" t="n">
        <v>45677</v>
      </c>
      <c r="D8549" t="inlineStr">
        <is>
          <t>GÄVLEBORGS LÄN</t>
        </is>
      </c>
      <c r="E8549" t="inlineStr">
        <is>
          <t>BOLLNÄS</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48305-2023</t>
        </is>
      </c>
      <c r="B8550" s="1" t="n">
        <v>45205</v>
      </c>
      <c r="C8550" s="1" t="n">
        <v>45677</v>
      </c>
      <c r="D8550" t="inlineStr">
        <is>
          <t>GÄVLEBORGS LÄN</t>
        </is>
      </c>
      <c r="E8550" t="inlineStr">
        <is>
          <t>SANDVIKEN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48139-2023</t>
        </is>
      </c>
      <c r="B8551" s="1" t="n">
        <v>45205</v>
      </c>
      <c r="C8551" s="1" t="n">
        <v>45677</v>
      </c>
      <c r="D8551" t="inlineStr">
        <is>
          <t>GÄVLEBORGS LÄN</t>
        </is>
      </c>
      <c r="E8551" t="inlineStr">
        <is>
          <t>SÖDERHAMN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48148-2023</t>
        </is>
      </c>
      <c r="B8552" s="1" t="n">
        <v>45205</v>
      </c>
      <c r="C8552" s="1" t="n">
        <v>45677</v>
      </c>
      <c r="D8552" t="inlineStr">
        <is>
          <t>GÄVLEBORGS LÄN</t>
        </is>
      </c>
      <c r="E8552" t="inlineStr">
        <is>
          <t>OCKELBO</t>
        </is>
      </c>
      <c r="F8552" t="inlineStr">
        <is>
          <t>Kyrkan</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48400-2023</t>
        </is>
      </c>
      <c r="B8553" s="1" t="n">
        <v>45205</v>
      </c>
      <c r="C8553" s="1" t="n">
        <v>45677</v>
      </c>
      <c r="D8553" t="inlineStr">
        <is>
          <t>GÄVLEBORGS LÄN</t>
        </is>
      </c>
      <c r="E8553" t="inlineStr">
        <is>
          <t>LJUSDAL</t>
        </is>
      </c>
      <c r="F8553" t="inlineStr">
        <is>
          <t>Sveaskog</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48274-2023</t>
        </is>
      </c>
      <c r="B8554" s="1" t="n">
        <v>45205</v>
      </c>
      <c r="C8554" s="1" t="n">
        <v>45677</v>
      </c>
      <c r="D8554" t="inlineStr">
        <is>
          <t>GÄVLEBORGS LÄN</t>
        </is>
      </c>
      <c r="E8554" t="inlineStr">
        <is>
          <t>OVANÅKER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48416-2023</t>
        </is>
      </c>
      <c r="B8555" s="1" t="n">
        <v>45206</v>
      </c>
      <c r="C8555" s="1" t="n">
        <v>45677</v>
      </c>
      <c r="D8555" t="inlineStr">
        <is>
          <t>GÄVLEBORGS LÄN</t>
        </is>
      </c>
      <c r="E8555" t="inlineStr">
        <is>
          <t>HUDIKSVALL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48289-2023</t>
        </is>
      </c>
      <c r="B8556" s="1" t="n">
        <v>45205</v>
      </c>
      <c r="C8556" s="1" t="n">
        <v>45677</v>
      </c>
      <c r="D8556" t="inlineStr">
        <is>
          <t>GÄVLEBORGS LÄN</t>
        </is>
      </c>
      <c r="E8556" t="inlineStr">
        <is>
          <t>SANDVIKEN</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48298-2023</t>
        </is>
      </c>
      <c r="B8557" s="1" t="n">
        <v>45205</v>
      </c>
      <c r="C8557" s="1" t="n">
        <v>45677</v>
      </c>
      <c r="D8557" t="inlineStr">
        <is>
          <t>GÄVLEBORGS LÄN</t>
        </is>
      </c>
      <c r="E8557" t="inlineStr">
        <is>
          <t>OVANÅKER</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48307-2023</t>
        </is>
      </c>
      <c r="B8558" s="1" t="n">
        <v>45205</v>
      </c>
      <c r="C8558" s="1" t="n">
        <v>45677</v>
      </c>
      <c r="D8558" t="inlineStr">
        <is>
          <t>GÄVLEBORGS LÄN</t>
        </is>
      </c>
      <c r="E8558" t="inlineStr">
        <is>
          <t>BOLLNÄS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48312-2023</t>
        </is>
      </c>
      <c r="B8559" s="1" t="n">
        <v>45205</v>
      </c>
      <c r="C8559" s="1" t="n">
        <v>45677</v>
      </c>
      <c r="D8559" t="inlineStr">
        <is>
          <t>GÄVLEBORGS LÄN</t>
        </is>
      </c>
      <c r="E8559" t="inlineStr">
        <is>
          <t>OVANÅKER</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48163-2023</t>
        </is>
      </c>
      <c r="B8560" s="1" t="n">
        <v>45205</v>
      </c>
      <c r="C8560" s="1" t="n">
        <v>45677</v>
      </c>
      <c r="D8560" t="inlineStr">
        <is>
          <t>GÄVLEBORGS LÄN</t>
        </is>
      </c>
      <c r="E8560" t="inlineStr">
        <is>
          <t>OCKELBO</t>
        </is>
      </c>
      <c r="F8560" t="inlineStr">
        <is>
          <t>Bergvik skog väst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48257-2023</t>
        </is>
      </c>
      <c r="B8561" s="1" t="n">
        <v>45205</v>
      </c>
      <c r="C8561" s="1" t="n">
        <v>45677</v>
      </c>
      <c r="D8561" t="inlineStr">
        <is>
          <t>GÄVLEBORGS LÄN</t>
        </is>
      </c>
      <c r="E8561" t="inlineStr">
        <is>
          <t>SANDVIKEN</t>
        </is>
      </c>
      <c r="F8561" t="inlineStr">
        <is>
          <t>Sveaskog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48261-2023</t>
        </is>
      </c>
      <c r="B8562" s="1" t="n">
        <v>45205</v>
      </c>
      <c r="C8562" s="1" t="n">
        <v>45677</v>
      </c>
      <c r="D8562" t="inlineStr">
        <is>
          <t>GÄVLEBORGS LÄN</t>
        </is>
      </c>
      <c r="E8562" t="inlineStr">
        <is>
          <t>SÖDERHAMN</t>
        </is>
      </c>
      <c r="F8562" t="inlineStr">
        <is>
          <t>Bergvik skog väst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48267-2023</t>
        </is>
      </c>
      <c r="B8563" s="1" t="n">
        <v>45205</v>
      </c>
      <c r="C8563" s="1" t="n">
        <v>45677</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48296-2023</t>
        </is>
      </c>
      <c r="B8564" s="1" t="n">
        <v>45205</v>
      </c>
      <c r="C8564" s="1" t="n">
        <v>45677</v>
      </c>
      <c r="D8564" t="inlineStr">
        <is>
          <t>GÄVLEBORGS LÄN</t>
        </is>
      </c>
      <c r="E8564" t="inlineStr">
        <is>
          <t>SANDVIKEN</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48300-2023</t>
        </is>
      </c>
      <c r="B8565" s="1" t="n">
        <v>45205</v>
      </c>
      <c r="C8565" s="1" t="n">
        <v>45677</v>
      </c>
      <c r="D8565" t="inlineStr">
        <is>
          <t>GÄVLEBORGS LÄN</t>
        </is>
      </c>
      <c r="E8565" t="inlineStr">
        <is>
          <t>SANDVIKEN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48310-2023</t>
        </is>
      </c>
      <c r="B8566" s="1" t="n">
        <v>45205</v>
      </c>
      <c r="C8566" s="1" t="n">
        <v>45677</v>
      </c>
      <c r="D8566" t="inlineStr">
        <is>
          <t>GÄVLEBORGS LÄN</t>
        </is>
      </c>
      <c r="E8566" t="inlineStr">
        <is>
          <t>BOLLNÄS</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48314-2023</t>
        </is>
      </c>
      <c r="B8567" s="1" t="n">
        <v>45205</v>
      </c>
      <c r="C8567" s="1" t="n">
        <v>45677</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48319-2023</t>
        </is>
      </c>
      <c r="B8568" s="1" t="n">
        <v>45205</v>
      </c>
      <c r="C8568" s="1" t="n">
        <v>45677</v>
      </c>
      <c r="D8568" t="inlineStr">
        <is>
          <t>GÄVLEBORGS LÄN</t>
        </is>
      </c>
      <c r="E8568" t="inlineStr">
        <is>
          <t>SANDVIKEN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48336-2023</t>
        </is>
      </c>
      <c r="B8569" s="1" t="n">
        <v>45205</v>
      </c>
      <c r="C8569" s="1" t="n">
        <v>45677</v>
      </c>
      <c r="D8569" t="inlineStr">
        <is>
          <t>GÄVLEBORGS LÄN</t>
        </is>
      </c>
      <c r="E8569" t="inlineStr">
        <is>
          <t>BOLLNÄS</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49117-2023</t>
        </is>
      </c>
      <c r="B8570" s="1" t="n">
        <v>45205</v>
      </c>
      <c r="C8570" s="1" t="n">
        <v>45677</v>
      </c>
      <c r="D8570" t="inlineStr">
        <is>
          <t>GÄVLEBORGS LÄN</t>
        </is>
      </c>
      <c r="E8570" t="inlineStr">
        <is>
          <t>SÖDERHAMN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48519-2023</t>
        </is>
      </c>
      <c r="B8571" s="1" t="n">
        <v>45208</v>
      </c>
      <c r="C8571" s="1" t="n">
        <v>45677</v>
      </c>
      <c r="D8571" t="inlineStr">
        <is>
          <t>GÄVLEBORGS LÄN</t>
        </is>
      </c>
      <c r="E8571" t="inlineStr">
        <is>
          <t>GÄVLE</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48597-2023</t>
        </is>
      </c>
      <c r="B8572" s="1" t="n">
        <v>45208</v>
      </c>
      <c r="C8572" s="1" t="n">
        <v>45677</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48591-2023</t>
        </is>
      </c>
      <c r="B8573" s="1" t="n">
        <v>45208</v>
      </c>
      <c r="C8573" s="1" t="n">
        <v>45677</v>
      </c>
      <c r="D8573" t="inlineStr">
        <is>
          <t>GÄVLEBORGS LÄN</t>
        </is>
      </c>
      <c r="E8573" t="inlineStr">
        <is>
          <t>BOLLNÄS</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48605-2023</t>
        </is>
      </c>
      <c r="B8574" s="1" t="n">
        <v>45208</v>
      </c>
      <c r="C8574" s="1" t="n">
        <v>45677</v>
      </c>
      <c r="D8574" t="inlineStr">
        <is>
          <t>GÄVLEBORGS LÄN</t>
        </is>
      </c>
      <c r="E8574" t="inlineStr">
        <is>
          <t>BOLLNÄS</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48607-2023</t>
        </is>
      </c>
      <c r="B8575" s="1" t="n">
        <v>45208</v>
      </c>
      <c r="C8575" s="1" t="n">
        <v>45677</v>
      </c>
      <c r="D8575" t="inlineStr">
        <is>
          <t>GÄVLEBORGS LÄN</t>
        </is>
      </c>
      <c r="E8575" t="inlineStr">
        <is>
          <t>NORDANSTIG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48567-2023</t>
        </is>
      </c>
      <c r="B8576" s="1" t="n">
        <v>45208</v>
      </c>
      <c r="C8576" s="1" t="n">
        <v>45677</v>
      </c>
      <c r="D8576" t="inlineStr">
        <is>
          <t>GÄVLEBORGS LÄN</t>
        </is>
      </c>
      <c r="E8576" t="inlineStr">
        <is>
          <t>LJUSDAL</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48712-2023</t>
        </is>
      </c>
      <c r="B8577" s="1" t="n">
        <v>45208</v>
      </c>
      <c r="C8577" s="1" t="n">
        <v>45677</v>
      </c>
      <c r="D8577" t="inlineStr">
        <is>
          <t>GÄVLEBORGS LÄN</t>
        </is>
      </c>
      <c r="E8577" t="inlineStr">
        <is>
          <t>BOLLNÄS</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48581-2023</t>
        </is>
      </c>
      <c r="B8578" s="1" t="n">
        <v>45208</v>
      </c>
      <c r="C8578" s="1" t="n">
        <v>45677</v>
      </c>
      <c r="D8578" t="inlineStr">
        <is>
          <t>GÄVLEBORGS LÄN</t>
        </is>
      </c>
      <c r="E8578" t="inlineStr">
        <is>
          <t>NORDANSTIG</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48603-2023</t>
        </is>
      </c>
      <c r="B8579" s="1" t="n">
        <v>45208</v>
      </c>
      <c r="C8579" s="1" t="n">
        <v>45677</v>
      </c>
      <c r="D8579" t="inlineStr">
        <is>
          <t>GÄVLEBORGS LÄN</t>
        </is>
      </c>
      <c r="E8579" t="inlineStr">
        <is>
          <t>BOLLNÄS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48622-2023</t>
        </is>
      </c>
      <c r="B8580" s="1" t="n">
        <v>45208</v>
      </c>
      <c r="C8580" s="1" t="n">
        <v>45677</v>
      </c>
      <c r="D8580" t="inlineStr">
        <is>
          <t>GÄVLEBORGS LÄN</t>
        </is>
      </c>
      <c r="E8580" t="inlineStr">
        <is>
          <t>SANDVIKEN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48799-2023</t>
        </is>
      </c>
      <c r="B8581" s="1" t="n">
        <v>45209</v>
      </c>
      <c r="C8581" s="1" t="n">
        <v>45677</v>
      </c>
      <c r="D8581" t="inlineStr">
        <is>
          <t>GÄVLEBORGS LÄN</t>
        </is>
      </c>
      <c r="E8581" t="inlineStr">
        <is>
          <t>SANDVIKEN</t>
        </is>
      </c>
      <c r="F8581" t="inlineStr">
        <is>
          <t>Bergvik skog öst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48803-2023</t>
        </is>
      </c>
      <c r="B8582" s="1" t="n">
        <v>45209</v>
      </c>
      <c r="C8582" s="1" t="n">
        <v>45677</v>
      </c>
      <c r="D8582" t="inlineStr">
        <is>
          <t>GÄVLEBORGS LÄN</t>
        </is>
      </c>
      <c r="E8582" t="inlineStr">
        <is>
          <t>SANDVIKEN</t>
        </is>
      </c>
      <c r="F8582" t="inlineStr">
        <is>
          <t>Bergvik skog öst AB</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48800-2023</t>
        </is>
      </c>
      <c r="B8583" s="1" t="n">
        <v>45209</v>
      </c>
      <c r="C8583" s="1" t="n">
        <v>45677</v>
      </c>
      <c r="D8583" t="inlineStr">
        <is>
          <t>GÄVLEBORGS LÄN</t>
        </is>
      </c>
      <c r="E8583" t="inlineStr">
        <is>
          <t>SANDVIKEN</t>
        </is>
      </c>
      <c r="F8583" t="inlineStr">
        <is>
          <t>Bergvik skog öst AB</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48808-2023</t>
        </is>
      </c>
      <c r="B8584" s="1" t="n">
        <v>45209</v>
      </c>
      <c r="C8584" s="1" t="n">
        <v>45677</v>
      </c>
      <c r="D8584" t="inlineStr">
        <is>
          <t>GÄVLEBORGS LÄN</t>
        </is>
      </c>
      <c r="E8584" t="inlineStr">
        <is>
          <t>BOLLNÄS</t>
        </is>
      </c>
      <c r="G8584" t="n">
        <v>18.7</v>
      </c>
      <c r="H8584" t="n">
        <v>0</v>
      </c>
      <c r="I8584" t="n">
        <v>0</v>
      </c>
      <c r="J8584" t="n">
        <v>0</v>
      </c>
      <c r="K8584" t="n">
        <v>0</v>
      </c>
      <c r="L8584" t="n">
        <v>0</v>
      </c>
      <c r="M8584" t="n">
        <v>0</v>
      </c>
      <c r="N8584" t="n">
        <v>0</v>
      </c>
      <c r="O8584" t="n">
        <v>0</v>
      </c>
      <c r="P8584" t="n">
        <v>0</v>
      </c>
      <c r="Q8584" t="n">
        <v>0</v>
      </c>
      <c r="R8584" s="2" t="inlineStr"/>
    </row>
    <row r="8585" ht="15" customHeight="1">
      <c r="A8585" t="inlineStr">
        <is>
          <t>A 48813-2023</t>
        </is>
      </c>
      <c r="B8585" s="1" t="n">
        <v>45209</v>
      </c>
      <c r="C8585" s="1" t="n">
        <v>45677</v>
      </c>
      <c r="D8585" t="inlineStr">
        <is>
          <t>GÄVLEBORGS LÄN</t>
        </is>
      </c>
      <c r="E8585" t="inlineStr">
        <is>
          <t>LJUSDAL</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48818-2023</t>
        </is>
      </c>
      <c r="B8586" s="1" t="n">
        <v>45209</v>
      </c>
      <c r="C8586" s="1" t="n">
        <v>45677</v>
      </c>
      <c r="D8586" t="inlineStr">
        <is>
          <t>GÄVLEBORGS LÄN</t>
        </is>
      </c>
      <c r="E8586" t="inlineStr">
        <is>
          <t>GÄVLE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48869-2023</t>
        </is>
      </c>
      <c r="B8587" s="1" t="n">
        <v>45209</v>
      </c>
      <c r="C8587" s="1" t="n">
        <v>45677</v>
      </c>
      <c r="D8587" t="inlineStr">
        <is>
          <t>GÄVLEBORGS LÄN</t>
        </is>
      </c>
      <c r="E8587" t="inlineStr">
        <is>
          <t>LJUSDAL</t>
        </is>
      </c>
      <c r="F8587" t="inlineStr">
        <is>
          <t>Bergvik skog väst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48861-2023</t>
        </is>
      </c>
      <c r="B8588" s="1" t="n">
        <v>45209</v>
      </c>
      <c r="C8588" s="1" t="n">
        <v>45677</v>
      </c>
      <c r="D8588" t="inlineStr">
        <is>
          <t>GÄVLEBORGS LÄN</t>
        </is>
      </c>
      <c r="E8588" t="inlineStr">
        <is>
          <t>GÄVLE</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48870-2023</t>
        </is>
      </c>
      <c r="B8589" s="1" t="n">
        <v>45209</v>
      </c>
      <c r="C8589" s="1" t="n">
        <v>45677</v>
      </c>
      <c r="D8589" t="inlineStr">
        <is>
          <t>GÄVLEBORGS LÄN</t>
        </is>
      </c>
      <c r="E8589" t="inlineStr">
        <is>
          <t>LJUSDAL</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48856-2023</t>
        </is>
      </c>
      <c r="B8590" s="1" t="n">
        <v>45209</v>
      </c>
      <c r="C8590" s="1" t="n">
        <v>45677</v>
      </c>
      <c r="D8590" t="inlineStr">
        <is>
          <t>GÄVLEBORGS LÄN</t>
        </is>
      </c>
      <c r="E8590" t="inlineStr">
        <is>
          <t>LJUSDAL</t>
        </is>
      </c>
      <c r="F8590" t="inlineStr">
        <is>
          <t>Bergvik skog väst AB</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48904-2023</t>
        </is>
      </c>
      <c r="B8591" s="1" t="n">
        <v>45209</v>
      </c>
      <c r="C8591" s="1" t="n">
        <v>45677</v>
      </c>
      <c r="D8591" t="inlineStr">
        <is>
          <t>GÄVLEBORGS LÄN</t>
        </is>
      </c>
      <c r="E8591" t="inlineStr">
        <is>
          <t>LJUSDAL</t>
        </is>
      </c>
      <c r="F8591" t="inlineStr">
        <is>
          <t>Bergvik skog väst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48921-2023</t>
        </is>
      </c>
      <c r="B8592" s="1" t="n">
        <v>45209</v>
      </c>
      <c r="C8592" s="1" t="n">
        <v>45677</v>
      </c>
      <c r="D8592" t="inlineStr">
        <is>
          <t>GÄVLEBORGS LÄN</t>
        </is>
      </c>
      <c r="E8592" t="inlineStr">
        <is>
          <t>LJUSDAL</t>
        </is>
      </c>
      <c r="F8592" t="inlineStr">
        <is>
          <t>Bergvik skog väst AB</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48925-2023</t>
        </is>
      </c>
      <c r="B8593" s="1" t="n">
        <v>45209</v>
      </c>
      <c r="C8593" s="1" t="n">
        <v>45677</v>
      </c>
      <c r="D8593" t="inlineStr">
        <is>
          <t>GÄVLEBORGS LÄN</t>
        </is>
      </c>
      <c r="E8593" t="inlineStr">
        <is>
          <t>LJUSDAL</t>
        </is>
      </c>
      <c r="F8593" t="inlineStr">
        <is>
          <t>Bergvik skog väst AB</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48955-2023</t>
        </is>
      </c>
      <c r="B8594" s="1" t="n">
        <v>45209</v>
      </c>
      <c r="C8594" s="1" t="n">
        <v>45677</v>
      </c>
      <c r="D8594" t="inlineStr">
        <is>
          <t>GÄVLEBORGS LÄN</t>
        </is>
      </c>
      <c r="E8594" t="inlineStr">
        <is>
          <t>LJUSDAL</t>
        </is>
      </c>
      <c r="F8594" t="inlineStr">
        <is>
          <t>Bergvik skog väst AB</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48879-2023</t>
        </is>
      </c>
      <c r="B8595" s="1" t="n">
        <v>45209</v>
      </c>
      <c r="C8595" s="1" t="n">
        <v>45677</v>
      </c>
      <c r="D8595" t="inlineStr">
        <is>
          <t>GÄVLEBORGS LÄN</t>
        </is>
      </c>
      <c r="E8595" t="inlineStr">
        <is>
          <t>LJUSDAL</t>
        </is>
      </c>
      <c r="F8595" t="inlineStr">
        <is>
          <t>Bergvik skog väst AB</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48919-2023</t>
        </is>
      </c>
      <c r="B8596" s="1" t="n">
        <v>45209</v>
      </c>
      <c r="C8596" s="1" t="n">
        <v>45677</v>
      </c>
      <c r="D8596" t="inlineStr">
        <is>
          <t>GÄVLEBORGS LÄN</t>
        </is>
      </c>
      <c r="E8596" t="inlineStr">
        <is>
          <t>LJUSDAL</t>
        </is>
      </c>
      <c r="F8596" t="inlineStr">
        <is>
          <t>Bergvik skog väst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48945-2023</t>
        </is>
      </c>
      <c r="B8597" s="1" t="n">
        <v>45209</v>
      </c>
      <c r="C8597" s="1" t="n">
        <v>45677</v>
      </c>
      <c r="D8597" t="inlineStr">
        <is>
          <t>GÄVLEBORGS LÄN</t>
        </is>
      </c>
      <c r="E8597" t="inlineStr">
        <is>
          <t>LJUSDAL</t>
        </is>
      </c>
      <c r="F8597" t="inlineStr">
        <is>
          <t>Bergvik skog väst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48959-2023</t>
        </is>
      </c>
      <c r="B8598" s="1" t="n">
        <v>45209</v>
      </c>
      <c r="C8598" s="1" t="n">
        <v>45677</v>
      </c>
      <c r="D8598" t="inlineStr">
        <is>
          <t>GÄVLEBORGS LÄN</t>
        </is>
      </c>
      <c r="E8598" t="inlineStr">
        <is>
          <t>LJUSDAL</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48971-2023</t>
        </is>
      </c>
      <c r="B8599" s="1" t="n">
        <v>45209</v>
      </c>
      <c r="C8599" s="1" t="n">
        <v>45677</v>
      </c>
      <c r="D8599" t="inlineStr">
        <is>
          <t>GÄVLEBORGS LÄN</t>
        </is>
      </c>
      <c r="E8599" t="inlineStr">
        <is>
          <t>LJUSDAL</t>
        </is>
      </c>
      <c r="F8599" t="inlineStr">
        <is>
          <t>Bergvik skog väst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50329-2023</t>
        </is>
      </c>
      <c r="B8600" s="1" t="n">
        <v>45209</v>
      </c>
      <c r="C8600" s="1" t="n">
        <v>45677</v>
      </c>
      <c r="D8600" t="inlineStr">
        <is>
          <t>GÄVLEBORGS LÄN</t>
        </is>
      </c>
      <c r="E8600" t="inlineStr">
        <is>
          <t>BOLLNÄS</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48871-2023</t>
        </is>
      </c>
      <c r="B8601" s="1" t="n">
        <v>45209</v>
      </c>
      <c r="C8601" s="1" t="n">
        <v>45677</v>
      </c>
      <c r="D8601" t="inlineStr">
        <is>
          <t>GÄVLEBORGS LÄN</t>
        </is>
      </c>
      <c r="E8601" t="inlineStr">
        <is>
          <t>GÄVLE</t>
        </is>
      </c>
      <c r="F8601" t="inlineStr">
        <is>
          <t>Bergvik skog väst AB</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48968-2023</t>
        </is>
      </c>
      <c r="B8602" s="1" t="n">
        <v>45209</v>
      </c>
      <c r="C8602" s="1" t="n">
        <v>45677</v>
      </c>
      <c r="D8602" t="inlineStr">
        <is>
          <t>GÄVLEBORGS LÄN</t>
        </is>
      </c>
      <c r="E8602" t="inlineStr">
        <is>
          <t>LJUSDAL</t>
        </is>
      </c>
      <c r="F8602" t="inlineStr">
        <is>
          <t>Bergvik skog väst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49019-2023</t>
        </is>
      </c>
      <c r="B8603" s="1" t="n">
        <v>45209</v>
      </c>
      <c r="C8603" s="1" t="n">
        <v>45677</v>
      </c>
      <c r="D8603" t="inlineStr">
        <is>
          <t>GÄVLEBORGS LÄN</t>
        </is>
      </c>
      <c r="E8603" t="inlineStr">
        <is>
          <t>LJUSDAL</t>
        </is>
      </c>
      <c r="G8603" t="n">
        <v>27.3</v>
      </c>
      <c r="H8603" t="n">
        <v>0</v>
      </c>
      <c r="I8603" t="n">
        <v>0</v>
      </c>
      <c r="J8603" t="n">
        <v>0</v>
      </c>
      <c r="K8603" t="n">
        <v>0</v>
      </c>
      <c r="L8603" t="n">
        <v>0</v>
      </c>
      <c r="M8603" t="n">
        <v>0</v>
      </c>
      <c r="N8603" t="n">
        <v>0</v>
      </c>
      <c r="O8603" t="n">
        <v>0</v>
      </c>
      <c r="P8603" t="n">
        <v>0</v>
      </c>
      <c r="Q8603" t="n">
        <v>0</v>
      </c>
      <c r="R8603" s="2" t="inlineStr"/>
    </row>
    <row r="8604" ht="15" customHeight="1">
      <c r="A8604" t="inlineStr">
        <is>
          <t>A 49118-2023</t>
        </is>
      </c>
      <c r="B8604" s="1" t="n">
        <v>45210</v>
      </c>
      <c r="C8604" s="1" t="n">
        <v>45677</v>
      </c>
      <c r="D8604" t="inlineStr">
        <is>
          <t>GÄVLEBORGS LÄN</t>
        </is>
      </c>
      <c r="E8604" t="inlineStr">
        <is>
          <t>SANDVIKEN</t>
        </is>
      </c>
      <c r="F8604" t="inlineStr">
        <is>
          <t>Bergvik skog öst AB</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49165-2023</t>
        </is>
      </c>
      <c r="B8605" s="1" t="n">
        <v>45210</v>
      </c>
      <c r="C8605" s="1" t="n">
        <v>45677</v>
      </c>
      <c r="D8605" t="inlineStr">
        <is>
          <t>GÄVLEBORGS LÄN</t>
        </is>
      </c>
      <c r="E8605" t="inlineStr">
        <is>
          <t>HUDIKSVALL</t>
        </is>
      </c>
      <c r="F8605" t="inlineStr">
        <is>
          <t>Holmen skog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49178-2023</t>
        </is>
      </c>
      <c r="B8606" s="1" t="n">
        <v>45210</v>
      </c>
      <c r="C8606" s="1" t="n">
        <v>45677</v>
      </c>
      <c r="D8606" t="inlineStr">
        <is>
          <t>GÄVLEBORGS LÄN</t>
        </is>
      </c>
      <c r="E8606" t="inlineStr">
        <is>
          <t>OVANÅKER</t>
        </is>
      </c>
      <c r="F8606" t="inlineStr">
        <is>
          <t>Bergvik skog öst AB</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49125-2023</t>
        </is>
      </c>
      <c r="B8607" s="1" t="n">
        <v>45210</v>
      </c>
      <c r="C8607" s="1" t="n">
        <v>45677</v>
      </c>
      <c r="D8607" t="inlineStr">
        <is>
          <t>GÄVLEBORGS LÄN</t>
        </is>
      </c>
      <c r="E8607" t="inlineStr">
        <is>
          <t>OVANÅKER</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49139-2023</t>
        </is>
      </c>
      <c r="B8608" s="1" t="n">
        <v>45210</v>
      </c>
      <c r="C8608" s="1" t="n">
        <v>45677</v>
      </c>
      <c r="D8608" t="inlineStr">
        <is>
          <t>GÄVLEBORGS LÄN</t>
        </is>
      </c>
      <c r="E8608" t="inlineStr">
        <is>
          <t>LJUSDAL</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49171-2023</t>
        </is>
      </c>
      <c r="B8609" s="1" t="n">
        <v>45210</v>
      </c>
      <c r="C8609" s="1" t="n">
        <v>45677</v>
      </c>
      <c r="D8609" t="inlineStr">
        <is>
          <t>GÄVLEBORGS LÄN</t>
        </is>
      </c>
      <c r="E8609" t="inlineStr">
        <is>
          <t>LJUSDAL</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49204-2023</t>
        </is>
      </c>
      <c r="B8610" s="1" t="n">
        <v>45210</v>
      </c>
      <c r="C8610" s="1" t="n">
        <v>45677</v>
      </c>
      <c r="D8610" t="inlineStr">
        <is>
          <t>GÄVLEBORGS LÄN</t>
        </is>
      </c>
      <c r="E8610" t="inlineStr">
        <is>
          <t>OVANÅKER</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49273-2023</t>
        </is>
      </c>
      <c r="B8611" s="1" t="n">
        <v>45210</v>
      </c>
      <c r="C8611" s="1" t="n">
        <v>45677</v>
      </c>
      <c r="D8611" t="inlineStr">
        <is>
          <t>GÄVLEBORGS LÄN</t>
        </is>
      </c>
      <c r="E8611" t="inlineStr">
        <is>
          <t>BOLLNÄS</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49277-2023</t>
        </is>
      </c>
      <c r="B8612" s="1" t="n">
        <v>45210</v>
      </c>
      <c r="C8612" s="1" t="n">
        <v>45677</v>
      </c>
      <c r="D8612" t="inlineStr">
        <is>
          <t>GÄVLEBORGS LÄN</t>
        </is>
      </c>
      <c r="E8612" t="inlineStr">
        <is>
          <t>BOLLNÄS</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49121-2023</t>
        </is>
      </c>
      <c r="B8613" s="1" t="n">
        <v>45210</v>
      </c>
      <c r="C8613" s="1" t="n">
        <v>45677</v>
      </c>
      <c r="D8613" t="inlineStr">
        <is>
          <t>GÄVLEBORGS LÄN</t>
        </is>
      </c>
      <c r="E8613" t="inlineStr">
        <is>
          <t>LJUSDAL</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49133-2023</t>
        </is>
      </c>
      <c r="B8614" s="1" t="n">
        <v>45210</v>
      </c>
      <c r="C8614" s="1" t="n">
        <v>45677</v>
      </c>
      <c r="D8614" t="inlineStr">
        <is>
          <t>GÄVLEBORGS LÄN</t>
        </is>
      </c>
      <c r="E8614" t="inlineStr">
        <is>
          <t>OCKELBO</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49237-2023</t>
        </is>
      </c>
      <c r="B8615" s="1" t="n">
        <v>45210</v>
      </c>
      <c r="C8615" s="1" t="n">
        <v>45677</v>
      </c>
      <c r="D8615" t="inlineStr">
        <is>
          <t>GÄVLEBORGS LÄN</t>
        </is>
      </c>
      <c r="E8615" t="inlineStr">
        <is>
          <t>OVANÅKER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49190-2023</t>
        </is>
      </c>
      <c r="B8616" s="1" t="n">
        <v>45210</v>
      </c>
      <c r="C8616" s="1" t="n">
        <v>45677</v>
      </c>
      <c r="D8616" t="inlineStr">
        <is>
          <t>GÄVLEBORGS LÄN</t>
        </is>
      </c>
      <c r="E8616" t="inlineStr">
        <is>
          <t>OVANÅKER</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49194-2023</t>
        </is>
      </c>
      <c r="B8617" s="1" t="n">
        <v>45210</v>
      </c>
      <c r="C8617" s="1" t="n">
        <v>45677</v>
      </c>
      <c r="D8617" t="inlineStr">
        <is>
          <t>GÄVLEBORGS LÄN</t>
        </is>
      </c>
      <c r="E8617" t="inlineStr">
        <is>
          <t>OVANÅKER</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49199-2023</t>
        </is>
      </c>
      <c r="B8618" s="1" t="n">
        <v>45210</v>
      </c>
      <c r="C8618" s="1" t="n">
        <v>45677</v>
      </c>
      <c r="D8618" t="inlineStr">
        <is>
          <t>GÄVLEBORGS LÄN</t>
        </is>
      </c>
      <c r="E8618" t="inlineStr">
        <is>
          <t>OCKELBO</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49207-2023</t>
        </is>
      </c>
      <c r="B8619" s="1" t="n">
        <v>45210</v>
      </c>
      <c r="C8619" s="1" t="n">
        <v>45677</v>
      </c>
      <c r="D8619" t="inlineStr">
        <is>
          <t>GÄVLEBORGS LÄN</t>
        </is>
      </c>
      <c r="E8619" t="inlineStr">
        <is>
          <t>OCKELBO</t>
        </is>
      </c>
      <c r="G8619" t="n">
        <v>0.1</v>
      </c>
      <c r="H8619" t="n">
        <v>0</v>
      </c>
      <c r="I8619" t="n">
        <v>0</v>
      </c>
      <c r="J8619" t="n">
        <v>0</v>
      </c>
      <c r="K8619" t="n">
        <v>0</v>
      </c>
      <c r="L8619" t="n">
        <v>0</v>
      </c>
      <c r="M8619" t="n">
        <v>0</v>
      </c>
      <c r="N8619" t="n">
        <v>0</v>
      </c>
      <c r="O8619" t="n">
        <v>0</v>
      </c>
      <c r="P8619" t="n">
        <v>0</v>
      </c>
      <c r="Q8619" t="n">
        <v>0</v>
      </c>
      <c r="R8619" s="2" t="inlineStr"/>
    </row>
    <row r="8620" ht="15" customHeight="1">
      <c r="A8620" t="inlineStr">
        <is>
          <t>A 49211-2023</t>
        </is>
      </c>
      <c r="B8620" s="1" t="n">
        <v>45210</v>
      </c>
      <c r="C8620" s="1" t="n">
        <v>45677</v>
      </c>
      <c r="D8620" t="inlineStr">
        <is>
          <t>GÄVLEBORGS LÄN</t>
        </is>
      </c>
      <c r="E8620" t="inlineStr">
        <is>
          <t>SANDVIKEN</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49305-2023</t>
        </is>
      </c>
      <c r="B8621" s="1" t="n">
        <v>45210</v>
      </c>
      <c r="C8621" s="1" t="n">
        <v>45677</v>
      </c>
      <c r="D8621" t="inlineStr">
        <is>
          <t>GÄVLEBORGS LÄN</t>
        </is>
      </c>
      <c r="E8621" t="inlineStr">
        <is>
          <t>SÖDERHAMN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49306-2023</t>
        </is>
      </c>
      <c r="B8622" s="1" t="n">
        <v>45210</v>
      </c>
      <c r="C8622" s="1" t="n">
        <v>45677</v>
      </c>
      <c r="D8622" t="inlineStr">
        <is>
          <t>GÄVLEBORGS LÄN</t>
        </is>
      </c>
      <c r="E8622" t="inlineStr">
        <is>
          <t>SÖDERHAMN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49304-2023</t>
        </is>
      </c>
      <c r="B8623" s="1" t="n">
        <v>45210</v>
      </c>
      <c r="C8623" s="1" t="n">
        <v>45677</v>
      </c>
      <c r="D8623" t="inlineStr">
        <is>
          <t>GÄVLEBORGS LÄN</t>
        </is>
      </c>
      <c r="E8623" t="inlineStr">
        <is>
          <t>HUDIKSVALL</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49401-2023</t>
        </is>
      </c>
      <c r="B8624" s="1" t="n">
        <v>45211</v>
      </c>
      <c r="C8624" s="1" t="n">
        <v>45677</v>
      </c>
      <c r="D8624" t="inlineStr">
        <is>
          <t>GÄVLEBORGS LÄN</t>
        </is>
      </c>
      <c r="E8624" t="inlineStr">
        <is>
          <t>BOLLNÄS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49375-2023</t>
        </is>
      </c>
      <c r="B8625" s="1" t="n">
        <v>45211</v>
      </c>
      <c r="C8625" s="1" t="n">
        <v>45677</v>
      </c>
      <c r="D8625" t="inlineStr">
        <is>
          <t>GÄVLEBORGS LÄN</t>
        </is>
      </c>
      <c r="E8625" t="inlineStr">
        <is>
          <t>SANDVIKEN</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49392-2023</t>
        </is>
      </c>
      <c r="B8626" s="1" t="n">
        <v>45211</v>
      </c>
      <c r="C8626" s="1" t="n">
        <v>45677</v>
      </c>
      <c r="D8626" t="inlineStr">
        <is>
          <t>GÄVLEBORGS LÄN</t>
        </is>
      </c>
      <c r="E8626" t="inlineStr">
        <is>
          <t>BOLLNÄS</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49413-2023</t>
        </is>
      </c>
      <c r="B8627" s="1" t="n">
        <v>45211</v>
      </c>
      <c r="C8627" s="1" t="n">
        <v>45677</v>
      </c>
      <c r="D8627" t="inlineStr">
        <is>
          <t>GÄVLEBORGS LÄN</t>
        </is>
      </c>
      <c r="E8627" t="inlineStr">
        <is>
          <t>BOLLNÄS</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49445-2023</t>
        </is>
      </c>
      <c r="B8628" s="1" t="n">
        <v>45211</v>
      </c>
      <c r="C8628" s="1" t="n">
        <v>45677</v>
      </c>
      <c r="D8628" t="inlineStr">
        <is>
          <t>GÄVLEBORGS LÄN</t>
        </is>
      </c>
      <c r="E8628" t="inlineStr">
        <is>
          <t>OCKELBO</t>
        </is>
      </c>
      <c r="F8628" t="inlineStr">
        <is>
          <t>Bergvik skog väst AB</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49414-2023</t>
        </is>
      </c>
      <c r="B8629" s="1" t="n">
        <v>45211</v>
      </c>
      <c r="C8629" s="1" t="n">
        <v>45677</v>
      </c>
      <c r="D8629" t="inlineStr">
        <is>
          <t>GÄVLEBORGS LÄN</t>
        </is>
      </c>
      <c r="E8629" t="inlineStr">
        <is>
          <t>GÄVLE</t>
        </is>
      </c>
      <c r="F8629" t="inlineStr">
        <is>
          <t>Bergvik skog väst AB</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49448-2023</t>
        </is>
      </c>
      <c r="B8630" s="1" t="n">
        <v>45211</v>
      </c>
      <c r="C8630" s="1" t="n">
        <v>45677</v>
      </c>
      <c r="D8630" t="inlineStr">
        <is>
          <t>GÄVLEBORGS LÄN</t>
        </is>
      </c>
      <c r="E8630" t="inlineStr">
        <is>
          <t>OCKELBO</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49508-2023</t>
        </is>
      </c>
      <c r="B8631" s="1" t="n">
        <v>45211</v>
      </c>
      <c r="C8631" s="1" t="n">
        <v>45677</v>
      </c>
      <c r="D8631" t="inlineStr">
        <is>
          <t>GÄVLEBORGS LÄN</t>
        </is>
      </c>
      <c r="E8631" t="inlineStr">
        <is>
          <t>SANDVIKEN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49527-2023</t>
        </is>
      </c>
      <c r="B8632" s="1" t="n">
        <v>45211</v>
      </c>
      <c r="C8632" s="1" t="n">
        <v>45677</v>
      </c>
      <c r="D8632" t="inlineStr">
        <is>
          <t>GÄVLEBORGS LÄN</t>
        </is>
      </c>
      <c r="E8632" t="inlineStr">
        <is>
          <t>SANDVIKEN</t>
        </is>
      </c>
      <c r="G8632" t="n">
        <v>10.6</v>
      </c>
      <c r="H8632" t="n">
        <v>0</v>
      </c>
      <c r="I8632" t="n">
        <v>0</v>
      </c>
      <c r="J8632" t="n">
        <v>0</v>
      </c>
      <c r="K8632" t="n">
        <v>0</v>
      </c>
      <c r="L8632" t="n">
        <v>0</v>
      </c>
      <c r="M8632" t="n">
        <v>0</v>
      </c>
      <c r="N8632" t="n">
        <v>0</v>
      </c>
      <c r="O8632" t="n">
        <v>0</v>
      </c>
      <c r="P8632" t="n">
        <v>0</v>
      </c>
      <c r="Q8632" t="n">
        <v>0</v>
      </c>
      <c r="R8632" s="2" t="inlineStr"/>
    </row>
    <row r="8633" ht="15" customHeight="1">
      <c r="A8633" t="inlineStr">
        <is>
          <t>A 49548-2023</t>
        </is>
      </c>
      <c r="B8633" s="1" t="n">
        <v>45211</v>
      </c>
      <c r="C8633" s="1" t="n">
        <v>45677</v>
      </c>
      <c r="D8633" t="inlineStr">
        <is>
          <t>GÄVLEBORGS LÄN</t>
        </is>
      </c>
      <c r="E8633" t="inlineStr">
        <is>
          <t>OVANÅKER</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49511-2023</t>
        </is>
      </c>
      <c r="B8634" s="1" t="n">
        <v>45211</v>
      </c>
      <c r="C8634" s="1" t="n">
        <v>45677</v>
      </c>
      <c r="D8634" t="inlineStr">
        <is>
          <t>GÄVLEBORGS LÄN</t>
        </is>
      </c>
      <c r="E8634" t="inlineStr">
        <is>
          <t>OVANÅKER</t>
        </is>
      </c>
      <c r="F8634" t="inlineStr">
        <is>
          <t>Holmen skog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49546-2023</t>
        </is>
      </c>
      <c r="B8635" s="1" t="n">
        <v>45211</v>
      </c>
      <c r="C8635" s="1" t="n">
        <v>45677</v>
      </c>
      <c r="D8635" t="inlineStr">
        <is>
          <t>GÄVLEBORGS LÄN</t>
        </is>
      </c>
      <c r="E8635" t="inlineStr">
        <is>
          <t>SÖDERHAMN</t>
        </is>
      </c>
      <c r="F8635" t="inlineStr">
        <is>
          <t>Bergvik skog väst AB</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49512-2023</t>
        </is>
      </c>
      <c r="B8636" s="1" t="n">
        <v>45211</v>
      </c>
      <c r="C8636" s="1" t="n">
        <v>45677</v>
      </c>
      <c r="D8636" t="inlineStr">
        <is>
          <t>GÄVLEBORGS LÄN</t>
        </is>
      </c>
      <c r="E8636" t="inlineStr">
        <is>
          <t>SANDVIKEN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49391-2023</t>
        </is>
      </c>
      <c r="B8637" s="1" t="n">
        <v>45211</v>
      </c>
      <c r="C8637" s="1" t="n">
        <v>45677</v>
      </c>
      <c r="D8637" t="inlineStr">
        <is>
          <t>GÄVLEBORGS LÄN</t>
        </is>
      </c>
      <c r="E8637" t="inlineStr">
        <is>
          <t>SÖDERHAMN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49518-2023</t>
        </is>
      </c>
      <c r="B8638" s="1" t="n">
        <v>45211</v>
      </c>
      <c r="C8638" s="1" t="n">
        <v>45677</v>
      </c>
      <c r="D8638" t="inlineStr">
        <is>
          <t>GÄVLEBORGS LÄN</t>
        </is>
      </c>
      <c r="E8638" t="inlineStr">
        <is>
          <t>SANDVIKEN</t>
        </is>
      </c>
      <c r="G8638" t="n">
        <v>7.4</v>
      </c>
      <c r="H8638" t="n">
        <v>0</v>
      </c>
      <c r="I8638" t="n">
        <v>0</v>
      </c>
      <c r="J8638" t="n">
        <v>0</v>
      </c>
      <c r="K8638" t="n">
        <v>0</v>
      </c>
      <c r="L8638" t="n">
        <v>0</v>
      </c>
      <c r="M8638" t="n">
        <v>0</v>
      </c>
      <c r="N8638" t="n">
        <v>0</v>
      </c>
      <c r="O8638" t="n">
        <v>0</v>
      </c>
      <c r="P8638" t="n">
        <v>0</v>
      </c>
      <c r="Q8638" t="n">
        <v>0</v>
      </c>
      <c r="R8638" s="2" t="inlineStr"/>
    </row>
    <row r="8639" ht="15" customHeight="1">
      <c r="A8639" t="inlineStr">
        <is>
          <t>A 49554-2023</t>
        </is>
      </c>
      <c r="B8639" s="1" t="n">
        <v>45211</v>
      </c>
      <c r="C8639" s="1" t="n">
        <v>45677</v>
      </c>
      <c r="D8639" t="inlineStr">
        <is>
          <t>GÄVLEBORGS LÄN</t>
        </is>
      </c>
      <c r="E8639" t="inlineStr">
        <is>
          <t>OVANÅKER</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49635-2023</t>
        </is>
      </c>
      <c r="B8640" s="1" t="n">
        <v>45211</v>
      </c>
      <c r="C8640" s="1" t="n">
        <v>45677</v>
      </c>
      <c r="D8640" t="inlineStr">
        <is>
          <t>GÄVLEBORGS LÄN</t>
        </is>
      </c>
      <c r="E8640" t="inlineStr">
        <is>
          <t>SÖDERHAMN</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49703-2023</t>
        </is>
      </c>
      <c r="B8641" s="1" t="n">
        <v>45212</v>
      </c>
      <c r="C8641" s="1" t="n">
        <v>45677</v>
      </c>
      <c r="D8641" t="inlineStr">
        <is>
          <t>GÄVLEBORGS LÄN</t>
        </is>
      </c>
      <c r="E8641" t="inlineStr">
        <is>
          <t>SÖDERHAMN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49706-2023</t>
        </is>
      </c>
      <c r="B8642" s="1" t="n">
        <v>45212</v>
      </c>
      <c r="C8642" s="1" t="n">
        <v>45677</v>
      </c>
      <c r="D8642" t="inlineStr">
        <is>
          <t>GÄVLEBORGS LÄN</t>
        </is>
      </c>
      <c r="E8642" t="inlineStr">
        <is>
          <t>SANDVIKEN</t>
        </is>
      </c>
      <c r="F8642" t="inlineStr">
        <is>
          <t>Sveaskog</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49836-2023</t>
        </is>
      </c>
      <c r="B8643" s="1" t="n">
        <v>45212</v>
      </c>
      <c r="C8643" s="1" t="n">
        <v>45677</v>
      </c>
      <c r="D8643" t="inlineStr">
        <is>
          <t>GÄVLEBORGS LÄN</t>
        </is>
      </c>
      <c r="E8643" t="inlineStr">
        <is>
          <t>GÄVLE</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49704-2023</t>
        </is>
      </c>
      <c r="B8644" s="1" t="n">
        <v>45212</v>
      </c>
      <c r="C8644" s="1" t="n">
        <v>45677</v>
      </c>
      <c r="D8644" t="inlineStr">
        <is>
          <t>GÄVLEBORGS LÄN</t>
        </is>
      </c>
      <c r="E8644" t="inlineStr">
        <is>
          <t>SANDVIKEN</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49713-2023</t>
        </is>
      </c>
      <c r="B8645" s="1" t="n">
        <v>45212</v>
      </c>
      <c r="C8645" s="1" t="n">
        <v>45677</v>
      </c>
      <c r="D8645" t="inlineStr">
        <is>
          <t>GÄVLEBORGS LÄN</t>
        </is>
      </c>
      <c r="E8645" t="inlineStr">
        <is>
          <t>BOLLNÄS</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49855-2023</t>
        </is>
      </c>
      <c r="B8646" s="1" t="n">
        <v>45213</v>
      </c>
      <c r="C8646" s="1" t="n">
        <v>45677</v>
      </c>
      <c r="D8646" t="inlineStr">
        <is>
          <t>GÄVLEBORGS LÄN</t>
        </is>
      </c>
      <c r="E8646" t="inlineStr">
        <is>
          <t>LJUSDAL</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51156-2023</t>
        </is>
      </c>
      <c r="B8647" s="1" t="n">
        <v>45212</v>
      </c>
      <c r="C8647" s="1" t="n">
        <v>45677</v>
      </c>
      <c r="D8647" t="inlineStr">
        <is>
          <t>GÄVLEBORGS LÄN</t>
        </is>
      </c>
      <c r="E8647" t="inlineStr">
        <is>
          <t>BOLLNÄS</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51149-2023</t>
        </is>
      </c>
      <c r="B8648" s="1" t="n">
        <v>45212</v>
      </c>
      <c r="C8648" s="1" t="n">
        <v>45677</v>
      </c>
      <c r="D8648" t="inlineStr">
        <is>
          <t>GÄVLEBORGS LÄN</t>
        </is>
      </c>
      <c r="E8648" t="inlineStr">
        <is>
          <t>BOLLNÄS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49824-2023</t>
        </is>
      </c>
      <c r="B8649" s="1" t="n">
        <v>45212</v>
      </c>
      <c r="C8649" s="1" t="n">
        <v>45677</v>
      </c>
      <c r="D8649" t="inlineStr">
        <is>
          <t>GÄVLEBORGS LÄN</t>
        </is>
      </c>
      <c r="E8649" t="inlineStr">
        <is>
          <t>GÄVLE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49832-2023</t>
        </is>
      </c>
      <c r="B8650" s="1" t="n">
        <v>45212</v>
      </c>
      <c r="C8650" s="1" t="n">
        <v>45677</v>
      </c>
      <c r="D8650" t="inlineStr">
        <is>
          <t>GÄVLEBORGS LÄN</t>
        </is>
      </c>
      <c r="E8650" t="inlineStr">
        <is>
          <t>GÄVLE</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51158-2023</t>
        </is>
      </c>
      <c r="B8651" s="1" t="n">
        <v>45212</v>
      </c>
      <c r="C8651" s="1" t="n">
        <v>45677</v>
      </c>
      <c r="D8651" t="inlineStr">
        <is>
          <t>GÄVLEBORGS LÄN</t>
        </is>
      </c>
      <c r="E8651" t="inlineStr">
        <is>
          <t>BOLLNÄS</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49883-2023</t>
        </is>
      </c>
      <c r="B8652" s="1" t="n">
        <v>45213</v>
      </c>
      <c r="C8652" s="1" t="n">
        <v>45677</v>
      </c>
      <c r="D8652" t="inlineStr">
        <is>
          <t>GÄVLEBORGS LÄN</t>
        </is>
      </c>
      <c r="E8652" t="inlineStr">
        <is>
          <t>BOLLNÄS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49916-2023</t>
        </is>
      </c>
      <c r="B8653" s="1" t="n">
        <v>45214</v>
      </c>
      <c r="C8653" s="1" t="n">
        <v>45677</v>
      </c>
      <c r="D8653" t="inlineStr">
        <is>
          <t>GÄVLEBORGS LÄN</t>
        </is>
      </c>
      <c r="E8653" t="inlineStr">
        <is>
          <t>HUDIKSVALL</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49931-2023</t>
        </is>
      </c>
      <c r="B8654" s="1" t="n">
        <v>45215</v>
      </c>
      <c r="C8654" s="1" t="n">
        <v>45677</v>
      </c>
      <c r="D8654" t="inlineStr">
        <is>
          <t>GÄVLEBORGS LÄN</t>
        </is>
      </c>
      <c r="E8654" t="inlineStr">
        <is>
          <t>BOLLNÄS</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49935-2023</t>
        </is>
      </c>
      <c r="B8655" s="1" t="n">
        <v>45215</v>
      </c>
      <c r="C8655" s="1" t="n">
        <v>45677</v>
      </c>
      <c r="D8655" t="inlineStr">
        <is>
          <t>GÄVLEBORGS LÄN</t>
        </is>
      </c>
      <c r="E8655" t="inlineStr">
        <is>
          <t>LJUSDAL</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49939-2023</t>
        </is>
      </c>
      <c r="B8656" s="1" t="n">
        <v>45215</v>
      </c>
      <c r="C8656" s="1" t="n">
        <v>45677</v>
      </c>
      <c r="D8656" t="inlineStr">
        <is>
          <t>GÄVLEBORGS LÄN</t>
        </is>
      </c>
      <c r="E8656" t="inlineStr">
        <is>
          <t>NORDANSTIG</t>
        </is>
      </c>
      <c r="F8656" t="inlineStr">
        <is>
          <t>Holmen skog AB</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49930-2023</t>
        </is>
      </c>
      <c r="B8657" s="1" t="n">
        <v>45215</v>
      </c>
      <c r="C8657" s="1" t="n">
        <v>45677</v>
      </c>
      <c r="D8657" t="inlineStr">
        <is>
          <t>GÄVLEBORGS LÄN</t>
        </is>
      </c>
      <c r="E8657" t="inlineStr">
        <is>
          <t>BOLLNÄS</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50059-2023</t>
        </is>
      </c>
      <c r="B8658" s="1" t="n">
        <v>45215</v>
      </c>
      <c r="C8658" s="1" t="n">
        <v>45677</v>
      </c>
      <c r="D8658" t="inlineStr">
        <is>
          <t>GÄVLEBORGS LÄN</t>
        </is>
      </c>
      <c r="E8658" t="inlineStr">
        <is>
          <t>SÖDERHAMN</t>
        </is>
      </c>
      <c r="G8658" t="n">
        <v>11.2</v>
      </c>
      <c r="H8658" t="n">
        <v>0</v>
      </c>
      <c r="I8658" t="n">
        <v>0</v>
      </c>
      <c r="J8658" t="n">
        <v>0</v>
      </c>
      <c r="K8658" t="n">
        <v>0</v>
      </c>
      <c r="L8658" t="n">
        <v>0</v>
      </c>
      <c r="M8658" t="n">
        <v>0</v>
      </c>
      <c r="N8658" t="n">
        <v>0</v>
      </c>
      <c r="O8658" t="n">
        <v>0</v>
      </c>
      <c r="P8658" t="n">
        <v>0</v>
      </c>
      <c r="Q8658" t="n">
        <v>0</v>
      </c>
      <c r="R8658" s="2" t="inlineStr"/>
    </row>
    <row r="8659" ht="15" customHeight="1">
      <c r="A8659" t="inlineStr">
        <is>
          <t>A 50063-2023</t>
        </is>
      </c>
      <c r="B8659" s="1" t="n">
        <v>45215</v>
      </c>
      <c r="C8659" s="1" t="n">
        <v>45677</v>
      </c>
      <c r="D8659" t="inlineStr">
        <is>
          <t>GÄVLEBORGS LÄN</t>
        </is>
      </c>
      <c r="E8659" t="inlineStr">
        <is>
          <t>SÖDERHAMN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50153-2023</t>
        </is>
      </c>
      <c r="B8660" s="1" t="n">
        <v>45215</v>
      </c>
      <c r="C8660" s="1" t="n">
        <v>45677</v>
      </c>
      <c r="D8660" t="inlineStr">
        <is>
          <t>GÄVLEBORGS LÄN</t>
        </is>
      </c>
      <c r="E8660" t="inlineStr">
        <is>
          <t>HUDIKSVALL</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50175-2023</t>
        </is>
      </c>
      <c r="B8661" s="1" t="n">
        <v>45215</v>
      </c>
      <c r="C8661" s="1" t="n">
        <v>45677</v>
      </c>
      <c r="D8661" t="inlineStr">
        <is>
          <t>GÄVLEBORGS LÄN</t>
        </is>
      </c>
      <c r="E8661" t="inlineStr">
        <is>
          <t>HUDIKSVALL</t>
        </is>
      </c>
      <c r="G8661" t="n">
        <v>16.7</v>
      </c>
      <c r="H8661" t="n">
        <v>0</v>
      </c>
      <c r="I8661" t="n">
        <v>0</v>
      </c>
      <c r="J8661" t="n">
        <v>0</v>
      </c>
      <c r="K8661" t="n">
        <v>0</v>
      </c>
      <c r="L8661" t="n">
        <v>0</v>
      </c>
      <c r="M8661" t="n">
        <v>0</v>
      </c>
      <c r="N8661" t="n">
        <v>0</v>
      </c>
      <c r="O8661" t="n">
        <v>0</v>
      </c>
      <c r="P8661" t="n">
        <v>0</v>
      </c>
      <c r="Q8661" t="n">
        <v>0</v>
      </c>
      <c r="R8661" s="2" t="inlineStr"/>
    </row>
    <row r="8662" ht="15" customHeight="1">
      <c r="A8662" t="inlineStr">
        <is>
          <t>A 50206-2023</t>
        </is>
      </c>
      <c r="B8662" s="1" t="n">
        <v>45216</v>
      </c>
      <c r="C8662" s="1" t="n">
        <v>45677</v>
      </c>
      <c r="D8662" t="inlineStr">
        <is>
          <t>GÄVLEBORGS LÄN</t>
        </is>
      </c>
      <c r="E8662" t="inlineStr">
        <is>
          <t>HUDIKSVALL</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50207-2023</t>
        </is>
      </c>
      <c r="B8663" s="1" t="n">
        <v>45216</v>
      </c>
      <c r="C8663" s="1" t="n">
        <v>45677</v>
      </c>
      <c r="D8663" t="inlineStr">
        <is>
          <t>GÄVLEBORGS LÄN</t>
        </is>
      </c>
      <c r="E8663" t="inlineStr">
        <is>
          <t>HUDIKSVALL</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50219-2023</t>
        </is>
      </c>
      <c r="B8664" s="1" t="n">
        <v>45215</v>
      </c>
      <c r="C8664" s="1" t="n">
        <v>45677</v>
      </c>
      <c r="D8664" t="inlineStr">
        <is>
          <t>GÄVLEBORGS LÄN</t>
        </is>
      </c>
      <c r="E8664" t="inlineStr">
        <is>
          <t>SÖDERHAMN</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50066-2023</t>
        </is>
      </c>
      <c r="B8665" s="1" t="n">
        <v>45215</v>
      </c>
      <c r="C8665" s="1" t="n">
        <v>45677</v>
      </c>
      <c r="D8665" t="inlineStr">
        <is>
          <t>GÄVLEBORGS LÄN</t>
        </is>
      </c>
      <c r="E8665" t="inlineStr">
        <is>
          <t>SÖDERHAMN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50090-2023</t>
        </is>
      </c>
      <c r="B8666" s="1" t="n">
        <v>45215</v>
      </c>
      <c r="C8666" s="1" t="n">
        <v>45677</v>
      </c>
      <c r="D8666" t="inlineStr">
        <is>
          <t>GÄVLEBORGS LÄN</t>
        </is>
      </c>
      <c r="E8666" t="inlineStr">
        <is>
          <t>SÖDERHAMN</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50158-2023</t>
        </is>
      </c>
      <c r="B8667" s="1" t="n">
        <v>45215</v>
      </c>
      <c r="C8667" s="1" t="n">
        <v>45677</v>
      </c>
      <c r="D8667" t="inlineStr">
        <is>
          <t>GÄVLEBORGS LÄN</t>
        </is>
      </c>
      <c r="E8667" t="inlineStr">
        <is>
          <t>HUDIKSVALL</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50286-2023</t>
        </is>
      </c>
      <c r="B8668" s="1" t="n">
        <v>45216</v>
      </c>
      <c r="C8668" s="1" t="n">
        <v>45677</v>
      </c>
      <c r="D8668" t="inlineStr">
        <is>
          <t>GÄVLEBORGS LÄN</t>
        </is>
      </c>
      <c r="E8668" t="inlineStr">
        <is>
          <t>NORDANSTIG</t>
        </is>
      </c>
      <c r="F8668" t="inlineStr">
        <is>
          <t>Holmen skog AB</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50305-2023</t>
        </is>
      </c>
      <c r="B8669" s="1" t="n">
        <v>45216</v>
      </c>
      <c r="C8669" s="1" t="n">
        <v>45677</v>
      </c>
      <c r="D8669" t="inlineStr">
        <is>
          <t>GÄVLEBORGS LÄN</t>
        </is>
      </c>
      <c r="E8669" t="inlineStr">
        <is>
          <t>NORDANSTIG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50271-2023</t>
        </is>
      </c>
      <c r="B8670" s="1" t="n">
        <v>45216</v>
      </c>
      <c r="C8670" s="1" t="n">
        <v>45677</v>
      </c>
      <c r="D8670" t="inlineStr">
        <is>
          <t>GÄVLEBORGS LÄN</t>
        </is>
      </c>
      <c r="E8670" t="inlineStr">
        <is>
          <t>LJUSDAL</t>
        </is>
      </c>
      <c r="G8670" t="n">
        <v>27.4</v>
      </c>
      <c r="H8670" t="n">
        <v>0</v>
      </c>
      <c r="I8670" t="n">
        <v>0</v>
      </c>
      <c r="J8670" t="n">
        <v>0</v>
      </c>
      <c r="K8670" t="n">
        <v>0</v>
      </c>
      <c r="L8670" t="n">
        <v>0</v>
      </c>
      <c r="M8670" t="n">
        <v>0</v>
      </c>
      <c r="N8670" t="n">
        <v>0</v>
      </c>
      <c r="O8670" t="n">
        <v>0</v>
      </c>
      <c r="P8670" t="n">
        <v>0</v>
      </c>
      <c r="Q8670" t="n">
        <v>0</v>
      </c>
      <c r="R8670" s="2" t="inlineStr"/>
    </row>
    <row r="8671" ht="15" customHeight="1">
      <c r="A8671" t="inlineStr">
        <is>
          <t>A 50373-2023</t>
        </is>
      </c>
      <c r="B8671" s="1" t="n">
        <v>45216</v>
      </c>
      <c r="C8671" s="1" t="n">
        <v>45677</v>
      </c>
      <c r="D8671" t="inlineStr">
        <is>
          <t>GÄVLEBORGS LÄN</t>
        </is>
      </c>
      <c r="E8671" t="inlineStr">
        <is>
          <t>LJUSDAL</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50237-2023</t>
        </is>
      </c>
      <c r="B8672" s="1" t="n">
        <v>45216</v>
      </c>
      <c r="C8672" s="1" t="n">
        <v>45677</v>
      </c>
      <c r="D8672" t="inlineStr">
        <is>
          <t>GÄVLEBORGS LÄN</t>
        </is>
      </c>
      <c r="E8672" t="inlineStr">
        <is>
          <t>OVANÅKER</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50326-2023</t>
        </is>
      </c>
      <c r="B8673" s="1" t="n">
        <v>45216</v>
      </c>
      <c r="C8673" s="1" t="n">
        <v>45677</v>
      </c>
      <c r="D8673" t="inlineStr">
        <is>
          <t>GÄVLEBORGS LÄN</t>
        </is>
      </c>
      <c r="E8673" t="inlineStr">
        <is>
          <t>NORDANSTIG</t>
        </is>
      </c>
      <c r="F8673" t="inlineStr">
        <is>
          <t>Holmen skog AB</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50433-2023</t>
        </is>
      </c>
      <c r="B8674" s="1" t="n">
        <v>45216</v>
      </c>
      <c r="C8674" s="1" t="n">
        <v>45677</v>
      </c>
      <c r="D8674" t="inlineStr">
        <is>
          <t>GÄVLEBORGS LÄN</t>
        </is>
      </c>
      <c r="E8674" t="inlineStr">
        <is>
          <t>NORDANSTIG</t>
        </is>
      </c>
      <c r="F8674" t="inlineStr">
        <is>
          <t>Holmen skog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50417-2023</t>
        </is>
      </c>
      <c r="B8675" s="1" t="n">
        <v>45216</v>
      </c>
      <c r="C8675" s="1" t="n">
        <v>45677</v>
      </c>
      <c r="D8675" t="inlineStr">
        <is>
          <t>GÄVLEBORGS LÄN</t>
        </is>
      </c>
      <c r="E8675" t="inlineStr">
        <is>
          <t>SANDVIKEN</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50413-2023</t>
        </is>
      </c>
      <c r="B8676" s="1" t="n">
        <v>45216</v>
      </c>
      <c r="C8676" s="1" t="n">
        <v>45677</v>
      </c>
      <c r="D8676" t="inlineStr">
        <is>
          <t>GÄVLEBORGS LÄN</t>
        </is>
      </c>
      <c r="E8676" t="inlineStr">
        <is>
          <t>NORDANSTIG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50365-2023</t>
        </is>
      </c>
      <c r="B8677" s="1" t="n">
        <v>45216</v>
      </c>
      <c r="C8677" s="1" t="n">
        <v>45677</v>
      </c>
      <c r="D8677" t="inlineStr">
        <is>
          <t>GÄVLEBORGS LÄN</t>
        </is>
      </c>
      <c r="E8677" t="inlineStr">
        <is>
          <t>NORDANSTIG</t>
        </is>
      </c>
      <c r="F8677" t="inlineStr">
        <is>
          <t>Holmen skog AB</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50238-2023</t>
        </is>
      </c>
      <c r="B8678" s="1" t="n">
        <v>45216</v>
      </c>
      <c r="C8678" s="1" t="n">
        <v>45677</v>
      </c>
      <c r="D8678" t="inlineStr">
        <is>
          <t>GÄVLEBORGS LÄN</t>
        </is>
      </c>
      <c r="E8678" t="inlineStr">
        <is>
          <t>OCKELBO</t>
        </is>
      </c>
      <c r="F8678" t="inlineStr">
        <is>
          <t>Bergvik skog väst AB</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50391-2023</t>
        </is>
      </c>
      <c r="B8679" s="1" t="n">
        <v>45216</v>
      </c>
      <c r="C8679" s="1" t="n">
        <v>45677</v>
      </c>
      <c r="D8679" t="inlineStr">
        <is>
          <t>GÄVLEBORGS LÄN</t>
        </is>
      </c>
      <c r="E8679" t="inlineStr">
        <is>
          <t>NORDANSTIG</t>
        </is>
      </c>
      <c r="F8679" t="inlineStr">
        <is>
          <t>Holmen skog AB</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50385-2023</t>
        </is>
      </c>
      <c r="B8680" s="1" t="n">
        <v>45216</v>
      </c>
      <c r="C8680" s="1" t="n">
        <v>45677</v>
      </c>
      <c r="D8680" t="inlineStr">
        <is>
          <t>GÄVLEBORGS LÄN</t>
        </is>
      </c>
      <c r="E8680" t="inlineStr">
        <is>
          <t>LJUSDAL</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50340-2023</t>
        </is>
      </c>
      <c r="B8681" s="1" t="n">
        <v>45216</v>
      </c>
      <c r="C8681" s="1" t="n">
        <v>45677</v>
      </c>
      <c r="D8681" t="inlineStr">
        <is>
          <t>GÄVLEBORGS LÄN</t>
        </is>
      </c>
      <c r="E8681" t="inlineStr">
        <is>
          <t>OVANÅKER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50336-2023</t>
        </is>
      </c>
      <c r="B8682" s="1" t="n">
        <v>45216</v>
      </c>
      <c r="C8682" s="1" t="n">
        <v>45677</v>
      </c>
      <c r="D8682" t="inlineStr">
        <is>
          <t>GÄVLEBORGS LÄN</t>
        </is>
      </c>
      <c r="E8682" t="inlineStr">
        <is>
          <t>NORDANSTIG</t>
        </is>
      </c>
      <c r="F8682" t="inlineStr">
        <is>
          <t>Holmen skog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50273-2023</t>
        </is>
      </c>
      <c r="B8683" s="1" t="n">
        <v>45216</v>
      </c>
      <c r="C8683" s="1" t="n">
        <v>45677</v>
      </c>
      <c r="D8683" t="inlineStr">
        <is>
          <t>GÄVLEBORGS LÄN</t>
        </is>
      </c>
      <c r="E8683" t="inlineStr">
        <is>
          <t>LJUSDAL</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50239-2023</t>
        </is>
      </c>
      <c r="B8684" s="1" t="n">
        <v>45216</v>
      </c>
      <c r="C8684" s="1" t="n">
        <v>45677</v>
      </c>
      <c r="D8684" t="inlineStr">
        <is>
          <t>GÄVLEBORGS LÄN</t>
        </is>
      </c>
      <c r="E8684" t="inlineStr">
        <is>
          <t>OVANÅKER</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50235-2023</t>
        </is>
      </c>
      <c r="B8685" s="1" t="n">
        <v>45216</v>
      </c>
      <c r="C8685" s="1" t="n">
        <v>45677</v>
      </c>
      <c r="D8685" t="inlineStr">
        <is>
          <t>GÄVLEBORGS LÄN</t>
        </is>
      </c>
      <c r="E8685" t="inlineStr">
        <is>
          <t>OCKELBO</t>
        </is>
      </c>
      <c r="F8685" t="inlineStr">
        <is>
          <t>Bergvik skog väst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50236-2023</t>
        </is>
      </c>
      <c r="B8686" s="1" t="n">
        <v>45216</v>
      </c>
      <c r="C8686" s="1" t="n">
        <v>45677</v>
      </c>
      <c r="D8686" t="inlineStr">
        <is>
          <t>GÄVLEBORGS LÄN</t>
        </is>
      </c>
      <c r="E8686" t="inlineStr">
        <is>
          <t>OVANÅKER</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50444-2023</t>
        </is>
      </c>
      <c r="B8687" s="1" t="n">
        <v>45216</v>
      </c>
      <c r="C8687" s="1" t="n">
        <v>45677</v>
      </c>
      <c r="D8687" t="inlineStr">
        <is>
          <t>GÄVLEBORGS LÄN</t>
        </is>
      </c>
      <c r="E8687" t="inlineStr">
        <is>
          <t>NORDANSTIG</t>
        </is>
      </c>
      <c r="F8687" t="inlineStr">
        <is>
          <t>Holmen skog AB</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50412-2023</t>
        </is>
      </c>
      <c r="B8688" s="1" t="n">
        <v>45216</v>
      </c>
      <c r="C8688" s="1" t="n">
        <v>45677</v>
      </c>
      <c r="D8688" t="inlineStr">
        <is>
          <t>GÄVLEBORGS LÄN</t>
        </is>
      </c>
      <c r="E8688" t="inlineStr">
        <is>
          <t>NORDANSTIG</t>
        </is>
      </c>
      <c r="F8688" t="inlineStr">
        <is>
          <t>Holmen skog AB</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50400-2023</t>
        </is>
      </c>
      <c r="B8689" s="1" t="n">
        <v>45216</v>
      </c>
      <c r="C8689" s="1" t="n">
        <v>45677</v>
      </c>
      <c r="D8689" t="inlineStr">
        <is>
          <t>GÄVLEBORGS LÄN</t>
        </is>
      </c>
      <c r="E8689" t="inlineStr">
        <is>
          <t>HUDIKSVALL</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50392-2023</t>
        </is>
      </c>
      <c r="B8690" s="1" t="n">
        <v>45216</v>
      </c>
      <c r="C8690" s="1" t="n">
        <v>45677</v>
      </c>
      <c r="D8690" t="inlineStr">
        <is>
          <t>GÄVLEBORGS LÄN</t>
        </is>
      </c>
      <c r="E8690" t="inlineStr">
        <is>
          <t>LJUSDAL</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50575-2023</t>
        </is>
      </c>
      <c r="B8691" s="1" t="n">
        <v>45217</v>
      </c>
      <c r="C8691" s="1" t="n">
        <v>45677</v>
      </c>
      <c r="D8691" t="inlineStr">
        <is>
          <t>GÄVLEBORGS LÄN</t>
        </is>
      </c>
      <c r="E8691" t="inlineStr">
        <is>
          <t>GÄVLE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50550-2023</t>
        </is>
      </c>
      <c r="B8692" s="1" t="n">
        <v>45217</v>
      </c>
      <c r="C8692" s="1" t="n">
        <v>45677</v>
      </c>
      <c r="D8692" t="inlineStr">
        <is>
          <t>GÄVLEBORGS LÄN</t>
        </is>
      </c>
      <c r="E8692" t="inlineStr">
        <is>
          <t>OVANÅKER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50556-2023</t>
        </is>
      </c>
      <c r="B8693" s="1" t="n">
        <v>45217</v>
      </c>
      <c r="C8693" s="1" t="n">
        <v>45677</v>
      </c>
      <c r="D8693" t="inlineStr">
        <is>
          <t>GÄVLEBORGS LÄN</t>
        </is>
      </c>
      <c r="E8693" t="inlineStr">
        <is>
          <t>OVANÅKER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50561-2023</t>
        </is>
      </c>
      <c r="B8694" s="1" t="n">
        <v>45217</v>
      </c>
      <c r="C8694" s="1" t="n">
        <v>45677</v>
      </c>
      <c r="D8694" t="inlineStr">
        <is>
          <t>GÄVLEBORGS LÄN</t>
        </is>
      </c>
      <c r="E8694" t="inlineStr">
        <is>
          <t>BOLLNÄS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50582-2023</t>
        </is>
      </c>
      <c r="B8695" s="1" t="n">
        <v>45217</v>
      </c>
      <c r="C8695" s="1" t="n">
        <v>45677</v>
      </c>
      <c r="D8695" t="inlineStr">
        <is>
          <t>GÄVLEBORGS LÄN</t>
        </is>
      </c>
      <c r="E8695" t="inlineStr">
        <is>
          <t>GÄVLE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50631-2023</t>
        </is>
      </c>
      <c r="B8696" s="1" t="n">
        <v>45217</v>
      </c>
      <c r="C8696" s="1" t="n">
        <v>45677</v>
      </c>
      <c r="D8696" t="inlineStr">
        <is>
          <t>GÄVLEBORGS LÄN</t>
        </is>
      </c>
      <c r="E8696" t="inlineStr">
        <is>
          <t>NORDANSTIG</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50736-2023</t>
        </is>
      </c>
      <c r="B8697" s="1" t="n">
        <v>45217</v>
      </c>
      <c r="C8697" s="1" t="n">
        <v>45677</v>
      </c>
      <c r="D8697" t="inlineStr">
        <is>
          <t>GÄVLEBORGS LÄN</t>
        </is>
      </c>
      <c r="E8697" t="inlineStr">
        <is>
          <t>SÖDERHAMN</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50740-2023</t>
        </is>
      </c>
      <c r="B8698" s="1" t="n">
        <v>45217</v>
      </c>
      <c r="C8698" s="1" t="n">
        <v>45677</v>
      </c>
      <c r="D8698" t="inlineStr">
        <is>
          <t>GÄVLEBORGS LÄN</t>
        </is>
      </c>
      <c r="E8698" t="inlineStr">
        <is>
          <t>OVANÅKER</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50744-2023</t>
        </is>
      </c>
      <c r="B8699" s="1" t="n">
        <v>45217</v>
      </c>
      <c r="C8699" s="1" t="n">
        <v>45677</v>
      </c>
      <c r="D8699" t="inlineStr">
        <is>
          <t>GÄVLEBORGS LÄN</t>
        </is>
      </c>
      <c r="E8699" t="inlineStr">
        <is>
          <t>OVANÅKER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50833-2023</t>
        </is>
      </c>
      <c r="B8700" s="1" t="n">
        <v>45217</v>
      </c>
      <c r="C8700" s="1" t="n">
        <v>45677</v>
      </c>
      <c r="D8700" t="inlineStr">
        <is>
          <t>GÄVLEBORGS LÄN</t>
        </is>
      </c>
      <c r="E8700" t="inlineStr">
        <is>
          <t>SÖDERHAMN</t>
        </is>
      </c>
      <c r="G8700" t="n">
        <v>13.1</v>
      </c>
      <c r="H8700" t="n">
        <v>0</v>
      </c>
      <c r="I8700" t="n">
        <v>0</v>
      </c>
      <c r="J8700" t="n">
        <v>0</v>
      </c>
      <c r="K8700" t="n">
        <v>0</v>
      </c>
      <c r="L8700" t="n">
        <v>0</v>
      </c>
      <c r="M8700" t="n">
        <v>0</v>
      </c>
      <c r="N8700" t="n">
        <v>0</v>
      </c>
      <c r="O8700" t="n">
        <v>0</v>
      </c>
      <c r="P8700" t="n">
        <v>0</v>
      </c>
      <c r="Q8700" t="n">
        <v>0</v>
      </c>
      <c r="R8700" s="2" t="inlineStr"/>
    </row>
    <row r="8701" ht="15" customHeight="1">
      <c r="A8701" t="inlineStr">
        <is>
          <t>A 50544-2023</t>
        </is>
      </c>
      <c r="B8701" s="1" t="n">
        <v>45217</v>
      </c>
      <c r="C8701" s="1" t="n">
        <v>45677</v>
      </c>
      <c r="D8701" t="inlineStr">
        <is>
          <t>GÄVLEBORGS LÄN</t>
        </is>
      </c>
      <c r="E8701" t="inlineStr">
        <is>
          <t>BOLLNÄS</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50559-2023</t>
        </is>
      </c>
      <c r="B8702" s="1" t="n">
        <v>45217</v>
      </c>
      <c r="C8702" s="1" t="n">
        <v>45677</v>
      </c>
      <c r="D8702" t="inlineStr">
        <is>
          <t>GÄVLEBORGS LÄN</t>
        </is>
      </c>
      <c r="E8702" t="inlineStr">
        <is>
          <t>OVANÅKER</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50667-2023</t>
        </is>
      </c>
      <c r="B8703" s="1" t="n">
        <v>45217</v>
      </c>
      <c r="C8703" s="1" t="n">
        <v>45677</v>
      </c>
      <c r="D8703" t="inlineStr">
        <is>
          <t>GÄVLEBORGS LÄN</t>
        </is>
      </c>
      <c r="E8703" t="inlineStr">
        <is>
          <t>LJUSDAL</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50672-2023</t>
        </is>
      </c>
      <c r="B8704" s="1" t="n">
        <v>45217</v>
      </c>
      <c r="C8704" s="1" t="n">
        <v>45677</v>
      </c>
      <c r="D8704" t="inlineStr">
        <is>
          <t>GÄVLEBORGS LÄN</t>
        </is>
      </c>
      <c r="E8704" t="inlineStr">
        <is>
          <t>LJUSDAL</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50752-2023</t>
        </is>
      </c>
      <c r="B8705" s="1" t="n">
        <v>45217</v>
      </c>
      <c r="C8705" s="1" t="n">
        <v>45677</v>
      </c>
      <c r="D8705" t="inlineStr">
        <is>
          <t>GÄVLEBORGS LÄN</t>
        </is>
      </c>
      <c r="E8705" t="inlineStr">
        <is>
          <t>OVANÅKER</t>
        </is>
      </c>
      <c r="F8705" t="inlineStr">
        <is>
          <t>Bergvik skog väst AB</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50569-2023</t>
        </is>
      </c>
      <c r="B8706" s="1" t="n">
        <v>45217</v>
      </c>
      <c r="C8706" s="1" t="n">
        <v>45677</v>
      </c>
      <c r="D8706" t="inlineStr">
        <is>
          <t>GÄVLEBORGS LÄN</t>
        </is>
      </c>
      <c r="E8706" t="inlineStr">
        <is>
          <t>GÄVLE</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50601-2023</t>
        </is>
      </c>
      <c r="B8707" s="1" t="n">
        <v>45217</v>
      </c>
      <c r="C8707" s="1" t="n">
        <v>45677</v>
      </c>
      <c r="D8707" t="inlineStr">
        <is>
          <t>GÄVLEBORGS LÄN</t>
        </is>
      </c>
      <c r="E8707" t="inlineStr">
        <is>
          <t>OVANÅKER</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50620-2023</t>
        </is>
      </c>
      <c r="B8708" s="1" t="n">
        <v>45217</v>
      </c>
      <c r="C8708" s="1" t="n">
        <v>45677</v>
      </c>
      <c r="D8708" t="inlineStr">
        <is>
          <t>GÄVLEBORGS LÄN</t>
        </is>
      </c>
      <c r="E8708" t="inlineStr">
        <is>
          <t>OVANÅKER</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50651-2023</t>
        </is>
      </c>
      <c r="B8709" s="1" t="n">
        <v>45217</v>
      </c>
      <c r="C8709" s="1" t="n">
        <v>45677</v>
      </c>
      <c r="D8709" t="inlineStr">
        <is>
          <t>GÄVLEBORGS LÄN</t>
        </is>
      </c>
      <c r="E8709" t="inlineStr">
        <is>
          <t>OVANÅKER</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50750-2023</t>
        </is>
      </c>
      <c r="B8710" s="1" t="n">
        <v>45217</v>
      </c>
      <c r="C8710" s="1" t="n">
        <v>45677</v>
      </c>
      <c r="D8710" t="inlineStr">
        <is>
          <t>GÄVLEBORGS LÄN</t>
        </is>
      </c>
      <c r="E8710" t="inlineStr">
        <is>
          <t>SÖDERHAMN</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50786-2023</t>
        </is>
      </c>
      <c r="B8711" s="1" t="n">
        <v>45217</v>
      </c>
      <c r="C8711" s="1" t="n">
        <v>45677</v>
      </c>
      <c r="D8711" t="inlineStr">
        <is>
          <t>GÄVLEBORGS LÄN</t>
        </is>
      </c>
      <c r="E8711" t="inlineStr">
        <is>
          <t>OVANÅKER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50823-2023</t>
        </is>
      </c>
      <c r="B8712" s="1" t="n">
        <v>45218</v>
      </c>
      <c r="C8712" s="1" t="n">
        <v>45677</v>
      </c>
      <c r="D8712" t="inlineStr">
        <is>
          <t>GÄVLEBORGS LÄN</t>
        </is>
      </c>
      <c r="E8712" t="inlineStr">
        <is>
          <t>OVANÅKER</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50758-2023</t>
        </is>
      </c>
      <c r="B8713" s="1" t="n">
        <v>45217</v>
      </c>
      <c r="C8713" s="1" t="n">
        <v>45677</v>
      </c>
      <c r="D8713" t="inlineStr">
        <is>
          <t>GÄVLEBORGS LÄN</t>
        </is>
      </c>
      <c r="E8713" t="inlineStr">
        <is>
          <t>OVANÅKER</t>
        </is>
      </c>
      <c r="F8713" t="inlineStr">
        <is>
          <t>Bergvik skog väst AB</t>
        </is>
      </c>
      <c r="G8713" t="n">
        <v>10.7</v>
      </c>
      <c r="H8713" t="n">
        <v>0</v>
      </c>
      <c r="I8713" t="n">
        <v>0</v>
      </c>
      <c r="J8713" t="n">
        <v>0</v>
      </c>
      <c r="K8713" t="n">
        <v>0</v>
      </c>
      <c r="L8713" t="n">
        <v>0</v>
      </c>
      <c r="M8713" t="n">
        <v>0</v>
      </c>
      <c r="N8713" t="n">
        <v>0</v>
      </c>
      <c r="O8713" t="n">
        <v>0</v>
      </c>
      <c r="P8713" t="n">
        <v>0</v>
      </c>
      <c r="Q8713" t="n">
        <v>0</v>
      </c>
      <c r="R8713" s="2" t="inlineStr"/>
    </row>
    <row r="8714" ht="15" customHeight="1">
      <c r="A8714" t="inlineStr">
        <is>
          <t>A 50769-2023</t>
        </is>
      </c>
      <c r="B8714" s="1" t="n">
        <v>45217</v>
      </c>
      <c r="C8714" s="1" t="n">
        <v>45677</v>
      </c>
      <c r="D8714" t="inlineStr">
        <is>
          <t>GÄVLEBORGS LÄN</t>
        </is>
      </c>
      <c r="E8714" t="inlineStr">
        <is>
          <t>OVANÅKER</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50776-2023</t>
        </is>
      </c>
      <c r="B8715" s="1" t="n">
        <v>45217</v>
      </c>
      <c r="C8715" s="1" t="n">
        <v>45677</v>
      </c>
      <c r="D8715" t="inlineStr">
        <is>
          <t>GÄVLEBORGS LÄN</t>
        </is>
      </c>
      <c r="E8715" t="inlineStr">
        <is>
          <t>OVANÅKER</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50797-2023</t>
        </is>
      </c>
      <c r="B8716" s="1" t="n">
        <v>45217</v>
      </c>
      <c r="C8716" s="1" t="n">
        <v>45677</v>
      </c>
      <c r="D8716" t="inlineStr">
        <is>
          <t>GÄVLEBORGS LÄN</t>
        </is>
      </c>
      <c r="E8716" t="inlineStr">
        <is>
          <t>SANDVIKEN</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50824-2023</t>
        </is>
      </c>
      <c r="B8717" s="1" t="n">
        <v>45217</v>
      </c>
      <c r="C8717" s="1" t="n">
        <v>45677</v>
      </c>
      <c r="D8717" t="inlineStr">
        <is>
          <t>GÄVLEBORGS LÄN</t>
        </is>
      </c>
      <c r="E8717" t="inlineStr">
        <is>
          <t>OVANÅKER</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50868-2023</t>
        </is>
      </c>
      <c r="B8718" s="1" t="n">
        <v>45218</v>
      </c>
      <c r="C8718" s="1" t="n">
        <v>45677</v>
      </c>
      <c r="D8718" t="inlineStr">
        <is>
          <t>GÄVLEBORGS LÄN</t>
        </is>
      </c>
      <c r="E8718" t="inlineStr">
        <is>
          <t>NORDANSTIG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50898-2023</t>
        </is>
      </c>
      <c r="B8719" s="1" t="n">
        <v>45218</v>
      </c>
      <c r="C8719" s="1" t="n">
        <v>45677</v>
      </c>
      <c r="D8719" t="inlineStr">
        <is>
          <t>GÄVLEBORGS LÄN</t>
        </is>
      </c>
      <c r="E8719" t="inlineStr">
        <is>
          <t>HUDIKSVALL</t>
        </is>
      </c>
      <c r="F8719" t="inlineStr">
        <is>
          <t>Holmen skog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50907-2023</t>
        </is>
      </c>
      <c r="B8720" s="1" t="n">
        <v>45218</v>
      </c>
      <c r="C8720" s="1" t="n">
        <v>45677</v>
      </c>
      <c r="D8720" t="inlineStr">
        <is>
          <t>GÄVLEBORGS LÄN</t>
        </is>
      </c>
      <c r="E8720" t="inlineStr">
        <is>
          <t>GÄVLE</t>
        </is>
      </c>
      <c r="F8720" t="inlineStr">
        <is>
          <t>Bergvik skog öst AB</t>
        </is>
      </c>
      <c r="G8720" t="n">
        <v>18.1</v>
      </c>
      <c r="H8720" t="n">
        <v>0</v>
      </c>
      <c r="I8720" t="n">
        <v>0</v>
      </c>
      <c r="J8720" t="n">
        <v>0</v>
      </c>
      <c r="K8720" t="n">
        <v>0</v>
      </c>
      <c r="L8720" t="n">
        <v>0</v>
      </c>
      <c r="M8720" t="n">
        <v>0</v>
      </c>
      <c r="N8720" t="n">
        <v>0</v>
      </c>
      <c r="O8720" t="n">
        <v>0</v>
      </c>
      <c r="P8720" t="n">
        <v>0</v>
      </c>
      <c r="Q8720" t="n">
        <v>0</v>
      </c>
      <c r="R8720" s="2" t="inlineStr"/>
    </row>
    <row r="8721" ht="15" customHeight="1">
      <c r="A8721" t="inlineStr">
        <is>
          <t>A 50912-2023</t>
        </is>
      </c>
      <c r="B8721" s="1" t="n">
        <v>45218</v>
      </c>
      <c r="C8721" s="1" t="n">
        <v>45677</v>
      </c>
      <c r="D8721" t="inlineStr">
        <is>
          <t>GÄVLEBORGS LÄN</t>
        </is>
      </c>
      <c r="E8721" t="inlineStr">
        <is>
          <t>HUDIKSVALL</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50925-2023</t>
        </is>
      </c>
      <c r="B8722" s="1" t="n">
        <v>45218</v>
      </c>
      <c r="C8722" s="1" t="n">
        <v>45677</v>
      </c>
      <c r="D8722" t="inlineStr">
        <is>
          <t>GÄVLEBORGS LÄN</t>
        </is>
      </c>
      <c r="E8722" t="inlineStr">
        <is>
          <t>SÖDERHAMN</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51033-2023</t>
        </is>
      </c>
      <c r="B8723" s="1" t="n">
        <v>45218</v>
      </c>
      <c r="C8723" s="1" t="n">
        <v>45677</v>
      </c>
      <c r="D8723" t="inlineStr">
        <is>
          <t>GÄVLEBORGS LÄN</t>
        </is>
      </c>
      <c r="E8723" t="inlineStr">
        <is>
          <t>BOLLNÄS</t>
        </is>
      </c>
      <c r="F8723" t="inlineStr">
        <is>
          <t>Bergvik skog väst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50944-2023</t>
        </is>
      </c>
      <c r="B8724" s="1" t="n">
        <v>45218</v>
      </c>
      <c r="C8724" s="1" t="n">
        <v>45677</v>
      </c>
      <c r="D8724" t="inlineStr">
        <is>
          <t>GÄVLEBORGS LÄN</t>
        </is>
      </c>
      <c r="E8724" t="inlineStr">
        <is>
          <t>LJUSDAL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51002-2023</t>
        </is>
      </c>
      <c r="B8725" s="1" t="n">
        <v>45218</v>
      </c>
      <c r="C8725" s="1" t="n">
        <v>45677</v>
      </c>
      <c r="D8725" t="inlineStr">
        <is>
          <t>GÄVLEBORGS LÄN</t>
        </is>
      </c>
      <c r="E8725" t="inlineStr">
        <is>
          <t>OVANÅKER</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51023-2023</t>
        </is>
      </c>
      <c r="B8726" s="1" t="n">
        <v>45218</v>
      </c>
      <c r="C8726" s="1" t="n">
        <v>45677</v>
      </c>
      <c r="D8726" t="inlineStr">
        <is>
          <t>GÄVLEBORGS LÄN</t>
        </is>
      </c>
      <c r="E8726" t="inlineStr">
        <is>
          <t>HUDIKSVALL</t>
        </is>
      </c>
      <c r="F8726" t="inlineStr">
        <is>
          <t>Holmen skog AB</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51044-2023</t>
        </is>
      </c>
      <c r="B8727" s="1" t="n">
        <v>45218</v>
      </c>
      <c r="C8727" s="1" t="n">
        <v>45677</v>
      </c>
      <c r="D8727" t="inlineStr">
        <is>
          <t>GÄVLEBORGS LÄN</t>
        </is>
      </c>
      <c r="E8727" t="inlineStr">
        <is>
          <t>BOLLNÄS</t>
        </is>
      </c>
      <c r="F8727" t="inlineStr">
        <is>
          <t>Bergvik skog väst AB</t>
        </is>
      </c>
      <c r="G8727" t="n">
        <v>13.9</v>
      </c>
      <c r="H8727" t="n">
        <v>0</v>
      </c>
      <c r="I8727" t="n">
        <v>0</v>
      </c>
      <c r="J8727" t="n">
        <v>0</v>
      </c>
      <c r="K8727" t="n">
        <v>0</v>
      </c>
      <c r="L8727" t="n">
        <v>0</v>
      </c>
      <c r="M8727" t="n">
        <v>0</v>
      </c>
      <c r="N8727" t="n">
        <v>0</v>
      </c>
      <c r="O8727" t="n">
        <v>0</v>
      </c>
      <c r="P8727" t="n">
        <v>0</v>
      </c>
      <c r="Q8727" t="n">
        <v>0</v>
      </c>
      <c r="R8727" s="2" t="inlineStr"/>
    </row>
    <row r="8728" ht="15" customHeight="1">
      <c r="A8728" t="inlineStr">
        <is>
          <t>A 51073-2023</t>
        </is>
      </c>
      <c r="B8728" s="1" t="n">
        <v>45218</v>
      </c>
      <c r="C8728" s="1" t="n">
        <v>45677</v>
      </c>
      <c r="D8728" t="inlineStr">
        <is>
          <t>GÄVLEBORGS LÄN</t>
        </is>
      </c>
      <c r="E8728" t="inlineStr">
        <is>
          <t>SANDVIKEN</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51064-2023</t>
        </is>
      </c>
      <c r="B8729" s="1" t="n">
        <v>45218</v>
      </c>
      <c r="C8729" s="1" t="n">
        <v>45677</v>
      </c>
      <c r="D8729" t="inlineStr">
        <is>
          <t>GÄVLEBORGS LÄN</t>
        </is>
      </c>
      <c r="E8729" t="inlineStr">
        <is>
          <t>NORDANSTIG</t>
        </is>
      </c>
      <c r="F8729" t="inlineStr">
        <is>
          <t>Holmen skog AB</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51071-2023</t>
        </is>
      </c>
      <c r="B8730" s="1" t="n">
        <v>45218</v>
      </c>
      <c r="C8730" s="1" t="n">
        <v>45677</v>
      </c>
      <c r="D8730" t="inlineStr">
        <is>
          <t>GÄVLEBORGS LÄN</t>
        </is>
      </c>
      <c r="E8730" t="inlineStr">
        <is>
          <t>GÄVLE</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51100-2023</t>
        </is>
      </c>
      <c r="B8731" s="1" t="n">
        <v>45218</v>
      </c>
      <c r="C8731" s="1" t="n">
        <v>45677</v>
      </c>
      <c r="D8731" t="inlineStr">
        <is>
          <t>GÄVLEBORGS LÄN</t>
        </is>
      </c>
      <c r="E8731" t="inlineStr">
        <is>
          <t>HUDIKSVALL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50980-2023</t>
        </is>
      </c>
      <c r="B8732" s="1" t="n">
        <v>45218</v>
      </c>
      <c r="C8732" s="1" t="n">
        <v>45677</v>
      </c>
      <c r="D8732" t="inlineStr">
        <is>
          <t>GÄVLEBORGS LÄN</t>
        </is>
      </c>
      <c r="E8732" t="inlineStr">
        <is>
          <t>GÄVLE</t>
        </is>
      </c>
      <c r="F8732" t="inlineStr">
        <is>
          <t>Bergvik skog öst AB</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51052-2023</t>
        </is>
      </c>
      <c r="B8733" s="1" t="n">
        <v>45218</v>
      </c>
      <c r="C8733" s="1" t="n">
        <v>45677</v>
      </c>
      <c r="D8733" t="inlineStr">
        <is>
          <t>GÄVLEBORGS LÄN</t>
        </is>
      </c>
      <c r="E8733" t="inlineStr">
        <is>
          <t>BOLLNÄS</t>
        </is>
      </c>
      <c r="F8733" t="inlineStr">
        <is>
          <t>Bergvik skog väst AB</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51081-2023</t>
        </is>
      </c>
      <c r="B8734" s="1" t="n">
        <v>45218</v>
      </c>
      <c r="C8734" s="1" t="n">
        <v>45677</v>
      </c>
      <c r="D8734" t="inlineStr">
        <is>
          <t>GÄVLEBORGS LÄN</t>
        </is>
      </c>
      <c r="E8734" t="inlineStr">
        <is>
          <t>NORDANSTIG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51101-2023</t>
        </is>
      </c>
      <c r="B8735" s="1" t="n">
        <v>45219</v>
      </c>
      <c r="C8735" s="1" t="n">
        <v>45677</v>
      </c>
      <c r="D8735" t="inlineStr">
        <is>
          <t>GÄVLEBORGS LÄN</t>
        </is>
      </c>
      <c r="E8735" t="inlineStr">
        <is>
          <t>HUDIKSVALL</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51290-2023</t>
        </is>
      </c>
      <c r="B8736" s="1" t="n">
        <v>45219</v>
      </c>
      <c r="C8736" s="1" t="n">
        <v>45677</v>
      </c>
      <c r="D8736" t="inlineStr">
        <is>
          <t>GÄVLEBORGS LÄN</t>
        </is>
      </c>
      <c r="E8736" t="inlineStr">
        <is>
          <t>SÖDERHAMN</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51300-2023</t>
        </is>
      </c>
      <c r="B8737" s="1" t="n">
        <v>45219</v>
      </c>
      <c r="C8737" s="1" t="n">
        <v>45677</v>
      </c>
      <c r="D8737" t="inlineStr">
        <is>
          <t>GÄVLEBORGS LÄN</t>
        </is>
      </c>
      <c r="E8737" t="inlineStr">
        <is>
          <t>BOLLNÄS</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51346-2023</t>
        </is>
      </c>
      <c r="B8738" s="1" t="n">
        <v>45219</v>
      </c>
      <c r="C8738" s="1" t="n">
        <v>45677</v>
      </c>
      <c r="D8738" t="inlineStr">
        <is>
          <t>GÄVLEBORGS LÄN</t>
        </is>
      </c>
      <c r="E8738" t="inlineStr">
        <is>
          <t>BOLLNÄS</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51265-2023</t>
        </is>
      </c>
      <c r="B8739" s="1" t="n">
        <v>45219</v>
      </c>
      <c r="C8739" s="1" t="n">
        <v>45677</v>
      </c>
      <c r="D8739" t="inlineStr">
        <is>
          <t>GÄVLEBORGS LÄN</t>
        </is>
      </c>
      <c r="E8739" t="inlineStr">
        <is>
          <t>GÄVLE</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51238-2023</t>
        </is>
      </c>
      <c r="B8740" s="1" t="n">
        <v>45219</v>
      </c>
      <c r="C8740" s="1" t="n">
        <v>45677</v>
      </c>
      <c r="D8740" t="inlineStr">
        <is>
          <t>GÄVLEBORGS LÄN</t>
        </is>
      </c>
      <c r="E8740" t="inlineStr">
        <is>
          <t>LJUSDAL</t>
        </is>
      </c>
      <c r="F8740" t="inlineStr">
        <is>
          <t>Sveaskog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51246-2023</t>
        </is>
      </c>
      <c r="B8741" s="1" t="n">
        <v>45219</v>
      </c>
      <c r="C8741" s="1" t="n">
        <v>45677</v>
      </c>
      <c r="D8741" t="inlineStr">
        <is>
          <t>GÄVLEBORGS LÄN</t>
        </is>
      </c>
      <c r="E8741" t="inlineStr">
        <is>
          <t>BOLLNÄS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51137-2023</t>
        </is>
      </c>
      <c r="B8742" s="1" t="n">
        <v>45219</v>
      </c>
      <c r="C8742" s="1" t="n">
        <v>45677</v>
      </c>
      <c r="D8742" t="inlineStr">
        <is>
          <t>GÄVLEBORGS LÄN</t>
        </is>
      </c>
      <c r="E8742" t="inlineStr">
        <is>
          <t>BOLLNÄS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52674-2023</t>
        </is>
      </c>
      <c r="B8743" s="1" t="n">
        <v>45219</v>
      </c>
      <c r="C8743" s="1" t="n">
        <v>45677</v>
      </c>
      <c r="D8743" t="inlineStr">
        <is>
          <t>GÄVLEBORGS LÄN</t>
        </is>
      </c>
      <c r="E8743" t="inlineStr">
        <is>
          <t>LJUSDAL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51310-2023</t>
        </is>
      </c>
      <c r="B8744" s="1" t="n">
        <v>45219</v>
      </c>
      <c r="C8744" s="1" t="n">
        <v>45677</v>
      </c>
      <c r="D8744" t="inlineStr">
        <is>
          <t>GÄVLEBORGS LÄN</t>
        </is>
      </c>
      <c r="E8744" t="inlineStr">
        <is>
          <t>BOLLNÄS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51413-2023</t>
        </is>
      </c>
      <c r="B8745" s="1" t="n">
        <v>45219</v>
      </c>
      <c r="C8745" s="1" t="n">
        <v>45677</v>
      </c>
      <c r="D8745" t="inlineStr">
        <is>
          <t>GÄVLEBORGS LÄN</t>
        </is>
      </c>
      <c r="E8745" t="inlineStr">
        <is>
          <t>SÖDERHAMN</t>
        </is>
      </c>
      <c r="F8745" t="inlineStr">
        <is>
          <t>Kommuner</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51153-2023</t>
        </is>
      </c>
      <c r="B8746" s="1" t="n">
        <v>45219</v>
      </c>
      <c r="C8746" s="1" t="n">
        <v>45677</v>
      </c>
      <c r="D8746" t="inlineStr">
        <is>
          <t>GÄVLEBORGS LÄN</t>
        </is>
      </c>
      <c r="E8746" t="inlineStr">
        <is>
          <t>BOLLNÄS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51438-2023</t>
        </is>
      </c>
      <c r="B8747" s="1" t="n">
        <v>45219</v>
      </c>
      <c r="C8747" s="1" t="n">
        <v>45677</v>
      </c>
      <c r="D8747" t="inlineStr">
        <is>
          <t>GÄVLEBORGS LÄN</t>
        </is>
      </c>
      <c r="E8747" t="inlineStr">
        <is>
          <t>NORDANSTIG</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51133-2023</t>
        </is>
      </c>
      <c r="B8748" s="1" t="n">
        <v>45219</v>
      </c>
      <c r="C8748" s="1" t="n">
        <v>45677</v>
      </c>
      <c r="D8748" t="inlineStr">
        <is>
          <t>GÄVLEBORGS LÄN</t>
        </is>
      </c>
      <c r="E8748" t="inlineStr">
        <is>
          <t>BOLLNÄS</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51194-2023</t>
        </is>
      </c>
      <c r="B8749" s="1" t="n">
        <v>45219</v>
      </c>
      <c r="C8749" s="1" t="n">
        <v>45677</v>
      </c>
      <c r="D8749" t="inlineStr">
        <is>
          <t>GÄVLEBORGS LÄN</t>
        </is>
      </c>
      <c r="E8749" t="inlineStr">
        <is>
          <t>NORDANSTIG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51198-2023</t>
        </is>
      </c>
      <c r="B8750" s="1" t="n">
        <v>45219</v>
      </c>
      <c r="C8750" s="1" t="n">
        <v>45677</v>
      </c>
      <c r="D8750" t="inlineStr">
        <is>
          <t>GÄVLEBORGS LÄN</t>
        </is>
      </c>
      <c r="E8750" t="inlineStr">
        <is>
          <t>NORDANSTIG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51211-2023</t>
        </is>
      </c>
      <c r="B8751" s="1" t="n">
        <v>45219</v>
      </c>
      <c r="C8751" s="1" t="n">
        <v>45677</v>
      </c>
      <c r="D8751" t="inlineStr">
        <is>
          <t>GÄVLEBORGS LÄN</t>
        </is>
      </c>
      <c r="E8751" t="inlineStr">
        <is>
          <t>BOLLNÄS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51259-2023</t>
        </is>
      </c>
      <c r="B8752" s="1" t="n">
        <v>45219</v>
      </c>
      <c r="C8752" s="1" t="n">
        <v>45677</v>
      </c>
      <c r="D8752" t="inlineStr">
        <is>
          <t>GÄVLEBORGS LÄN</t>
        </is>
      </c>
      <c r="E8752" t="inlineStr">
        <is>
          <t>BOLLNÄS</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51292-2023</t>
        </is>
      </c>
      <c r="B8753" s="1" t="n">
        <v>45219</v>
      </c>
      <c r="C8753" s="1" t="n">
        <v>45677</v>
      </c>
      <c r="D8753" t="inlineStr">
        <is>
          <t>GÄVLEBORGS LÄN</t>
        </is>
      </c>
      <c r="E8753" t="inlineStr">
        <is>
          <t>SÖDERHAMN</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51306-2023</t>
        </is>
      </c>
      <c r="B8754" s="1" t="n">
        <v>45219</v>
      </c>
      <c r="C8754" s="1" t="n">
        <v>45677</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51439-2023</t>
        </is>
      </c>
      <c r="B8755" s="1" t="n">
        <v>45219</v>
      </c>
      <c r="C8755" s="1" t="n">
        <v>45677</v>
      </c>
      <c r="D8755" t="inlineStr">
        <is>
          <t>GÄVLEBORGS LÄN</t>
        </is>
      </c>
      <c r="E8755" t="inlineStr">
        <is>
          <t>NORDANSTIG</t>
        </is>
      </c>
      <c r="F8755" t="inlineStr">
        <is>
          <t>SCA</t>
        </is>
      </c>
      <c r="G8755" t="n">
        <v>9.5</v>
      </c>
      <c r="H8755" t="n">
        <v>0</v>
      </c>
      <c r="I8755" t="n">
        <v>0</v>
      </c>
      <c r="J8755" t="n">
        <v>0</v>
      </c>
      <c r="K8755" t="n">
        <v>0</v>
      </c>
      <c r="L8755" t="n">
        <v>0</v>
      </c>
      <c r="M8755" t="n">
        <v>0</v>
      </c>
      <c r="N8755" t="n">
        <v>0</v>
      </c>
      <c r="O8755" t="n">
        <v>0</v>
      </c>
      <c r="P8755" t="n">
        <v>0</v>
      </c>
      <c r="Q8755" t="n">
        <v>0</v>
      </c>
      <c r="R8755" s="2" t="inlineStr"/>
    </row>
    <row r="8756" ht="15" customHeight="1">
      <c r="A8756" t="inlineStr">
        <is>
          <t>A 51353-2023</t>
        </is>
      </c>
      <c r="B8756" s="1" t="n">
        <v>45219</v>
      </c>
      <c r="C8756" s="1" t="n">
        <v>45677</v>
      </c>
      <c r="D8756" t="inlineStr">
        <is>
          <t>GÄVLEBORGS LÄN</t>
        </is>
      </c>
      <c r="E8756" t="inlineStr">
        <is>
          <t>LJUSDAL</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51338-2023</t>
        </is>
      </c>
      <c r="B8757" s="1" t="n">
        <v>45219</v>
      </c>
      <c r="C8757" s="1" t="n">
        <v>45677</v>
      </c>
      <c r="D8757" t="inlineStr">
        <is>
          <t>GÄVLEBORGS LÄN</t>
        </is>
      </c>
      <c r="E8757" t="inlineStr">
        <is>
          <t>BOLLNÄS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51249-2023</t>
        </is>
      </c>
      <c r="B8758" s="1" t="n">
        <v>45219</v>
      </c>
      <c r="C8758" s="1" t="n">
        <v>45677</v>
      </c>
      <c r="D8758" t="inlineStr">
        <is>
          <t>GÄVLEBORGS LÄN</t>
        </is>
      </c>
      <c r="E8758" t="inlineStr">
        <is>
          <t>GÄVLE</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51244-2023</t>
        </is>
      </c>
      <c r="B8759" s="1" t="n">
        <v>45219</v>
      </c>
      <c r="C8759" s="1" t="n">
        <v>45677</v>
      </c>
      <c r="D8759" t="inlineStr">
        <is>
          <t>GÄVLEBORGS LÄN</t>
        </is>
      </c>
      <c r="E8759" t="inlineStr">
        <is>
          <t>BOLLNÄS</t>
        </is>
      </c>
      <c r="G8759" t="n">
        <v>1</v>
      </c>
      <c r="H8759" t="n">
        <v>0</v>
      </c>
      <c r="I8759" t="n">
        <v>0</v>
      </c>
      <c r="J8759" t="n">
        <v>0</v>
      </c>
      <c r="K8759" t="n">
        <v>0</v>
      </c>
      <c r="L8759" t="n">
        <v>0</v>
      </c>
      <c r="M8759" t="n">
        <v>0</v>
      </c>
      <c r="N8759" t="n">
        <v>0</v>
      </c>
      <c r="O8759" t="n">
        <v>0</v>
      </c>
      <c r="P8759" t="n">
        <v>0</v>
      </c>
      <c r="Q8759" t="n">
        <v>0</v>
      </c>
      <c r="R8759" s="2" t="inlineStr"/>
      <c r="U8759">
        <f>HYPERLINK("https://klasma.github.io/Logging_2183/knärot/A 51244-2023 karta knärot.png", "A 51244-2023")</f>
        <v/>
      </c>
      <c r="V8759">
        <f>HYPERLINK("https://klasma.github.io/Logging_2183/klagomål/A 51244-2023 FSC-klagomål.docx", "A 51244-2023")</f>
        <v/>
      </c>
      <c r="W8759">
        <f>HYPERLINK("https://klasma.github.io/Logging_2183/klagomålsmail/A 51244-2023 FSC-klagomål mail.docx", "A 51244-2023")</f>
        <v/>
      </c>
      <c r="X8759">
        <f>HYPERLINK("https://klasma.github.io/Logging_2183/tillsyn/A 51244-2023 tillsynsbegäran.docx", "A 51244-2023")</f>
        <v/>
      </c>
      <c r="Y8759">
        <f>HYPERLINK("https://klasma.github.io/Logging_2183/tillsynsmail/A 51244-2023 tillsynsbegäran mail.docx", "A 51244-2023")</f>
        <v/>
      </c>
    </row>
    <row r="8760" ht="15" customHeight="1">
      <c r="A8760" t="inlineStr">
        <is>
          <t>A 51227-2023</t>
        </is>
      </c>
      <c r="B8760" s="1" t="n">
        <v>45219</v>
      </c>
      <c r="C8760" s="1" t="n">
        <v>45677</v>
      </c>
      <c r="D8760" t="inlineStr">
        <is>
          <t>GÄVLEBORGS LÄN</t>
        </is>
      </c>
      <c r="E8760" t="inlineStr">
        <is>
          <t>NORDANSTIG</t>
        </is>
      </c>
      <c r="G8760" t="n">
        <v>10.2</v>
      </c>
      <c r="H8760" t="n">
        <v>0</v>
      </c>
      <c r="I8760" t="n">
        <v>0</v>
      </c>
      <c r="J8760" t="n">
        <v>0</v>
      </c>
      <c r="K8760" t="n">
        <v>0</v>
      </c>
      <c r="L8760" t="n">
        <v>0</v>
      </c>
      <c r="M8760" t="n">
        <v>0</v>
      </c>
      <c r="N8760" t="n">
        <v>0</v>
      </c>
      <c r="O8760" t="n">
        <v>0</v>
      </c>
      <c r="P8760" t="n">
        <v>0</v>
      </c>
      <c r="Q8760" t="n">
        <v>0</v>
      </c>
      <c r="R8760" s="2" t="inlineStr"/>
    </row>
    <row r="8761" ht="15" customHeight="1">
      <c r="A8761" t="inlineStr">
        <is>
          <t>A 51210-2023</t>
        </is>
      </c>
      <c r="B8761" s="1" t="n">
        <v>45219</v>
      </c>
      <c r="C8761" s="1" t="n">
        <v>45677</v>
      </c>
      <c r="D8761" t="inlineStr">
        <is>
          <t>GÄVLEBORGS LÄN</t>
        </is>
      </c>
      <c r="E8761" t="inlineStr">
        <is>
          <t>HUDIKSVALL</t>
        </is>
      </c>
      <c r="G8761" t="n">
        <v>15.3</v>
      </c>
      <c r="H8761" t="n">
        <v>0</v>
      </c>
      <c r="I8761" t="n">
        <v>0</v>
      </c>
      <c r="J8761" t="n">
        <v>0</v>
      </c>
      <c r="K8761" t="n">
        <v>0</v>
      </c>
      <c r="L8761" t="n">
        <v>0</v>
      </c>
      <c r="M8761" t="n">
        <v>0</v>
      </c>
      <c r="N8761" t="n">
        <v>0</v>
      </c>
      <c r="O8761" t="n">
        <v>0</v>
      </c>
      <c r="P8761" t="n">
        <v>0</v>
      </c>
      <c r="Q8761" t="n">
        <v>0</v>
      </c>
      <c r="R8761" s="2" t="inlineStr"/>
    </row>
    <row r="8762" ht="15" customHeight="1">
      <c r="A8762" t="inlineStr">
        <is>
          <t>A 51116-2023</t>
        </is>
      </c>
      <c r="B8762" s="1" t="n">
        <v>45219</v>
      </c>
      <c r="C8762" s="1" t="n">
        <v>45677</v>
      </c>
      <c r="D8762" t="inlineStr">
        <is>
          <t>GÄVLEBORGS LÄN</t>
        </is>
      </c>
      <c r="E8762" t="inlineStr">
        <is>
          <t>LJUSDAL</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51241-2023</t>
        </is>
      </c>
      <c r="B8763" s="1" t="n">
        <v>45219</v>
      </c>
      <c r="C8763" s="1" t="n">
        <v>45677</v>
      </c>
      <c r="D8763" t="inlineStr">
        <is>
          <t>GÄVLEBORGS LÄN</t>
        </is>
      </c>
      <c r="E8763" t="inlineStr">
        <is>
          <t>HUDIKSVALL</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51247-2023</t>
        </is>
      </c>
      <c r="B8764" s="1" t="n">
        <v>45219</v>
      </c>
      <c r="C8764" s="1" t="n">
        <v>45677</v>
      </c>
      <c r="D8764" t="inlineStr">
        <is>
          <t>GÄVLEBORGS LÄN</t>
        </is>
      </c>
      <c r="E8764" t="inlineStr">
        <is>
          <t>BOLLNÄS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51255-2023</t>
        </is>
      </c>
      <c r="B8765" s="1" t="n">
        <v>45219</v>
      </c>
      <c r="C8765" s="1" t="n">
        <v>45677</v>
      </c>
      <c r="D8765" t="inlineStr">
        <is>
          <t>GÄVLEBORGS LÄN</t>
        </is>
      </c>
      <c r="E8765" t="inlineStr">
        <is>
          <t>HUDIKSVALL</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51260-2023</t>
        </is>
      </c>
      <c r="B8766" s="1" t="n">
        <v>45219</v>
      </c>
      <c r="C8766" s="1" t="n">
        <v>45677</v>
      </c>
      <c r="D8766" t="inlineStr">
        <is>
          <t>GÄVLEBORGS LÄN</t>
        </is>
      </c>
      <c r="E8766" t="inlineStr">
        <is>
          <t>HUDIKSVALL</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51293-2023</t>
        </is>
      </c>
      <c r="B8767" s="1" t="n">
        <v>45219</v>
      </c>
      <c r="C8767" s="1" t="n">
        <v>45677</v>
      </c>
      <c r="D8767" t="inlineStr">
        <is>
          <t>GÄVLEBORGS LÄN</t>
        </is>
      </c>
      <c r="E8767" t="inlineStr">
        <is>
          <t>SÖDERHAMN</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51355-2023</t>
        </is>
      </c>
      <c r="B8768" s="1" t="n">
        <v>45219</v>
      </c>
      <c r="C8768" s="1" t="n">
        <v>45677</v>
      </c>
      <c r="D8768" t="inlineStr">
        <is>
          <t>GÄVLEBORGS LÄN</t>
        </is>
      </c>
      <c r="E8768" t="inlineStr">
        <is>
          <t>BOLLNÄS</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51234-2023</t>
        </is>
      </c>
      <c r="B8769" s="1" t="n">
        <v>45219</v>
      </c>
      <c r="C8769" s="1" t="n">
        <v>45677</v>
      </c>
      <c r="D8769" t="inlineStr">
        <is>
          <t>GÄVLEBORGS LÄN</t>
        </is>
      </c>
      <c r="E8769" t="inlineStr">
        <is>
          <t>OVANÅKER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51257-2023</t>
        </is>
      </c>
      <c r="B8770" s="1" t="n">
        <v>45219</v>
      </c>
      <c r="C8770" s="1" t="n">
        <v>45677</v>
      </c>
      <c r="D8770" t="inlineStr">
        <is>
          <t>GÄVLEBORGS LÄN</t>
        </is>
      </c>
      <c r="E8770" t="inlineStr">
        <is>
          <t>BOLLNÄS</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51261-2023</t>
        </is>
      </c>
      <c r="B8771" s="1" t="n">
        <v>45219</v>
      </c>
      <c r="C8771" s="1" t="n">
        <v>45677</v>
      </c>
      <c r="D8771" t="inlineStr">
        <is>
          <t>GÄVLEBORGS LÄN</t>
        </is>
      </c>
      <c r="E8771" t="inlineStr">
        <is>
          <t>BOLLNÄS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51322-2023</t>
        </is>
      </c>
      <c r="B8772" s="1" t="n">
        <v>45219</v>
      </c>
      <c r="C8772" s="1" t="n">
        <v>45677</v>
      </c>
      <c r="D8772" t="inlineStr">
        <is>
          <t>GÄVLEBORGS LÄN</t>
        </is>
      </c>
      <c r="E8772" t="inlineStr">
        <is>
          <t>BOLLNÄS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51337-2023</t>
        </is>
      </c>
      <c r="B8773" s="1" t="n">
        <v>45219</v>
      </c>
      <c r="C8773" s="1" t="n">
        <v>45677</v>
      </c>
      <c r="D8773" t="inlineStr">
        <is>
          <t>GÄVLEBORGS LÄN</t>
        </is>
      </c>
      <c r="E8773" t="inlineStr">
        <is>
          <t>HOFORS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51341-2023</t>
        </is>
      </c>
      <c r="B8774" s="1" t="n">
        <v>45219</v>
      </c>
      <c r="C8774" s="1" t="n">
        <v>45677</v>
      </c>
      <c r="D8774" t="inlineStr">
        <is>
          <t>GÄVLEBORGS LÄN</t>
        </is>
      </c>
      <c r="E8774" t="inlineStr">
        <is>
          <t>LJUSDAL</t>
        </is>
      </c>
      <c r="F8774" t="inlineStr">
        <is>
          <t>Sveaskog</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51454-2023</t>
        </is>
      </c>
      <c r="B8775" s="1" t="n">
        <v>45220</v>
      </c>
      <c r="C8775" s="1" t="n">
        <v>45677</v>
      </c>
      <c r="D8775" t="inlineStr">
        <is>
          <t>GÄVLEBORGS LÄN</t>
        </is>
      </c>
      <c r="E8775" t="inlineStr">
        <is>
          <t>GÄVLE</t>
        </is>
      </c>
      <c r="G8775" t="n">
        <v>10.9</v>
      </c>
      <c r="H8775" t="n">
        <v>0</v>
      </c>
      <c r="I8775" t="n">
        <v>0</v>
      </c>
      <c r="J8775" t="n">
        <v>0</v>
      </c>
      <c r="K8775" t="n">
        <v>0</v>
      </c>
      <c r="L8775" t="n">
        <v>0</v>
      </c>
      <c r="M8775" t="n">
        <v>0</v>
      </c>
      <c r="N8775" t="n">
        <v>0</v>
      </c>
      <c r="O8775" t="n">
        <v>0</v>
      </c>
      <c r="P8775" t="n">
        <v>0</v>
      </c>
      <c r="Q8775" t="n">
        <v>0</v>
      </c>
      <c r="R8775" s="2" t="inlineStr"/>
    </row>
    <row r="8776" ht="15" customHeight="1">
      <c r="A8776" t="inlineStr">
        <is>
          <t>A 51486-2023</t>
        </is>
      </c>
      <c r="B8776" s="1" t="n">
        <v>45222</v>
      </c>
      <c r="C8776" s="1" t="n">
        <v>45677</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51499-2023</t>
        </is>
      </c>
      <c r="B8777" s="1" t="n">
        <v>45222</v>
      </c>
      <c r="C8777" s="1" t="n">
        <v>45677</v>
      </c>
      <c r="D8777" t="inlineStr">
        <is>
          <t>GÄVLEBORGS LÄN</t>
        </is>
      </c>
      <c r="E8777" t="inlineStr">
        <is>
          <t>SANDVIKEN</t>
        </is>
      </c>
      <c r="F8777" t="inlineStr">
        <is>
          <t>Bergvik skog öst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51492-2023</t>
        </is>
      </c>
      <c r="B8778" s="1" t="n">
        <v>45222</v>
      </c>
      <c r="C8778" s="1" t="n">
        <v>45677</v>
      </c>
      <c r="D8778" t="inlineStr">
        <is>
          <t>GÄVLEBORGS LÄN</t>
        </is>
      </c>
      <c r="E8778" t="inlineStr">
        <is>
          <t>SÖDERHAMN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51538-2023</t>
        </is>
      </c>
      <c r="B8779" s="1" t="n">
        <v>45222</v>
      </c>
      <c r="C8779" s="1" t="n">
        <v>45677</v>
      </c>
      <c r="D8779" t="inlineStr">
        <is>
          <t>GÄVLEBORGS LÄN</t>
        </is>
      </c>
      <c r="E8779" t="inlineStr">
        <is>
          <t>LJUSDAL</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51560-2023</t>
        </is>
      </c>
      <c r="B8780" s="1" t="n">
        <v>45222</v>
      </c>
      <c r="C8780" s="1" t="n">
        <v>45677</v>
      </c>
      <c r="D8780" t="inlineStr">
        <is>
          <t>GÄVLEBORGS LÄN</t>
        </is>
      </c>
      <c r="E8780" t="inlineStr">
        <is>
          <t>NORDANSTIG</t>
        </is>
      </c>
      <c r="G8780" t="n">
        <v>26.9</v>
      </c>
      <c r="H8780" t="n">
        <v>0</v>
      </c>
      <c r="I8780" t="n">
        <v>0</v>
      </c>
      <c r="J8780" t="n">
        <v>0</v>
      </c>
      <c r="K8780" t="n">
        <v>0</v>
      </c>
      <c r="L8780" t="n">
        <v>0</v>
      </c>
      <c r="M8780" t="n">
        <v>0</v>
      </c>
      <c r="N8780" t="n">
        <v>0</v>
      </c>
      <c r="O8780" t="n">
        <v>0</v>
      </c>
      <c r="P8780" t="n">
        <v>0</v>
      </c>
      <c r="Q8780" t="n">
        <v>0</v>
      </c>
      <c r="R8780" s="2" t="inlineStr"/>
    </row>
    <row r="8781" ht="15" customHeight="1">
      <c r="A8781" t="inlineStr">
        <is>
          <t>A 51568-2023</t>
        </is>
      </c>
      <c r="B8781" s="1" t="n">
        <v>45222</v>
      </c>
      <c r="C8781" s="1" t="n">
        <v>45677</v>
      </c>
      <c r="D8781" t="inlineStr">
        <is>
          <t>GÄVLEBORGS LÄN</t>
        </is>
      </c>
      <c r="E8781" t="inlineStr">
        <is>
          <t>SANDVIKEN</t>
        </is>
      </c>
      <c r="F8781" t="inlineStr">
        <is>
          <t>Bergvik skog öst AB</t>
        </is>
      </c>
      <c r="G8781" t="n">
        <v>8.699999999999999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51743-2023</t>
        </is>
      </c>
      <c r="B8782" s="1" t="n">
        <v>45222</v>
      </c>
      <c r="C8782" s="1" t="n">
        <v>45677</v>
      </c>
      <c r="D8782" t="inlineStr">
        <is>
          <t>GÄVLEBORGS LÄN</t>
        </is>
      </c>
      <c r="E8782" t="inlineStr">
        <is>
          <t>NORDANSTIG</t>
        </is>
      </c>
      <c r="G8782" t="n">
        <v>6.1</v>
      </c>
      <c r="H8782" t="n">
        <v>0</v>
      </c>
      <c r="I8782" t="n">
        <v>0</v>
      </c>
      <c r="J8782" t="n">
        <v>0</v>
      </c>
      <c r="K8782" t="n">
        <v>0</v>
      </c>
      <c r="L8782" t="n">
        <v>0</v>
      </c>
      <c r="M8782" t="n">
        <v>0</v>
      </c>
      <c r="N8782" t="n">
        <v>0</v>
      </c>
      <c r="O8782" t="n">
        <v>0</v>
      </c>
      <c r="P8782" t="n">
        <v>0</v>
      </c>
      <c r="Q8782" t="n">
        <v>0</v>
      </c>
      <c r="R8782" s="2" t="inlineStr"/>
    </row>
    <row r="8783" ht="15" customHeight="1">
      <c r="A8783" t="inlineStr">
        <is>
          <t>A 51483-2023</t>
        </is>
      </c>
      <c r="B8783" s="1" t="n">
        <v>45222</v>
      </c>
      <c r="C8783" s="1" t="n">
        <v>45677</v>
      </c>
      <c r="D8783" t="inlineStr">
        <is>
          <t>GÄVLEBORGS LÄN</t>
        </is>
      </c>
      <c r="E8783" t="inlineStr">
        <is>
          <t>BOLLNÄS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51487-2023</t>
        </is>
      </c>
      <c r="B8784" s="1" t="n">
        <v>45222</v>
      </c>
      <c r="C8784" s="1" t="n">
        <v>45677</v>
      </c>
      <c r="D8784" t="inlineStr">
        <is>
          <t>GÄVLEBORGS LÄN</t>
        </is>
      </c>
      <c r="E8784" t="inlineStr">
        <is>
          <t>OVANÅKER</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51726-2023</t>
        </is>
      </c>
      <c r="B8785" s="1" t="n">
        <v>45222</v>
      </c>
      <c r="C8785" s="1" t="n">
        <v>45677</v>
      </c>
      <c r="D8785" t="inlineStr">
        <is>
          <t>GÄVLEBORGS LÄN</t>
        </is>
      </c>
      <c r="E8785" t="inlineStr">
        <is>
          <t>OCKELBO</t>
        </is>
      </c>
      <c r="F8785" t="inlineStr">
        <is>
          <t>Bergvik skog väst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51740-2023</t>
        </is>
      </c>
      <c r="B8786" s="1" t="n">
        <v>45222</v>
      </c>
      <c r="C8786" s="1" t="n">
        <v>45677</v>
      </c>
      <c r="D8786" t="inlineStr">
        <is>
          <t>GÄVLEBORGS LÄN</t>
        </is>
      </c>
      <c r="E8786" t="inlineStr">
        <is>
          <t>NORDANSTIG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51732-2023</t>
        </is>
      </c>
      <c r="B8787" s="1" t="n">
        <v>45222</v>
      </c>
      <c r="C8787" s="1" t="n">
        <v>45677</v>
      </c>
      <c r="D8787" t="inlineStr">
        <is>
          <t>GÄVLEBORGS LÄN</t>
        </is>
      </c>
      <c r="E8787" t="inlineStr">
        <is>
          <t>OCKELBO</t>
        </is>
      </c>
      <c r="F8787" t="inlineStr">
        <is>
          <t>Bergvik skog väst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51797-2023</t>
        </is>
      </c>
      <c r="B8788" s="1" t="n">
        <v>45222</v>
      </c>
      <c r="C8788" s="1" t="n">
        <v>45677</v>
      </c>
      <c r="D8788" t="inlineStr">
        <is>
          <t>GÄVLEBORGS LÄN</t>
        </is>
      </c>
      <c r="E8788" t="inlineStr">
        <is>
          <t>BOLLNÄS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51525-2023</t>
        </is>
      </c>
      <c r="B8789" s="1" t="n">
        <v>45222</v>
      </c>
      <c r="C8789" s="1" t="n">
        <v>45677</v>
      </c>
      <c r="D8789" t="inlineStr">
        <is>
          <t>GÄVLEBORGS LÄN</t>
        </is>
      </c>
      <c r="E8789" t="inlineStr">
        <is>
          <t>LJUSDAL</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51719-2023</t>
        </is>
      </c>
      <c r="B8790" s="1" t="n">
        <v>45222</v>
      </c>
      <c r="C8790" s="1" t="n">
        <v>45677</v>
      </c>
      <c r="D8790" t="inlineStr">
        <is>
          <t>GÄVLEBORGS LÄN</t>
        </is>
      </c>
      <c r="E8790" t="inlineStr">
        <is>
          <t>HUDIKSVALL</t>
        </is>
      </c>
      <c r="F8790" t="inlineStr">
        <is>
          <t>Holmen skog AB</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51750-2023</t>
        </is>
      </c>
      <c r="B8791" s="1" t="n">
        <v>45222</v>
      </c>
      <c r="C8791" s="1" t="n">
        <v>45677</v>
      </c>
      <c r="D8791" t="inlineStr">
        <is>
          <t>GÄVLEBORGS LÄN</t>
        </is>
      </c>
      <c r="E8791" t="inlineStr">
        <is>
          <t>NORDANSTIG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51798-2023</t>
        </is>
      </c>
      <c r="B8792" s="1" t="n">
        <v>45222</v>
      </c>
      <c r="C8792" s="1" t="n">
        <v>45677</v>
      </c>
      <c r="D8792" t="inlineStr">
        <is>
          <t>GÄVLEBORGS LÄN</t>
        </is>
      </c>
      <c r="E8792" t="inlineStr">
        <is>
          <t>LJUSDAL</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51904-2023</t>
        </is>
      </c>
      <c r="B8793" s="1" t="n">
        <v>45223</v>
      </c>
      <c r="C8793" s="1" t="n">
        <v>45677</v>
      </c>
      <c r="D8793" t="inlineStr">
        <is>
          <t>GÄVLEBORGS LÄN</t>
        </is>
      </c>
      <c r="E8793" t="inlineStr">
        <is>
          <t>SÖDERHAMN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51922-2023</t>
        </is>
      </c>
      <c r="B8794" s="1" t="n">
        <v>45223</v>
      </c>
      <c r="C8794" s="1" t="n">
        <v>45677</v>
      </c>
      <c r="D8794" t="inlineStr">
        <is>
          <t>GÄVLEBORGS LÄN</t>
        </is>
      </c>
      <c r="E8794" t="inlineStr">
        <is>
          <t>SÖDERHAMN</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51949-2023</t>
        </is>
      </c>
      <c r="B8795" s="1" t="n">
        <v>45223</v>
      </c>
      <c r="C8795" s="1" t="n">
        <v>45677</v>
      </c>
      <c r="D8795" t="inlineStr">
        <is>
          <t>GÄVLEBORGS LÄN</t>
        </is>
      </c>
      <c r="E8795" t="inlineStr">
        <is>
          <t>BOLLNÄS</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51981-2023</t>
        </is>
      </c>
      <c r="B8796" s="1" t="n">
        <v>45223</v>
      </c>
      <c r="C8796" s="1" t="n">
        <v>45677</v>
      </c>
      <c r="D8796" t="inlineStr">
        <is>
          <t>GÄVLEBORGS LÄN</t>
        </is>
      </c>
      <c r="E8796" t="inlineStr">
        <is>
          <t>HUDIKSVALL</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52000-2023</t>
        </is>
      </c>
      <c r="B8797" s="1" t="n">
        <v>45223</v>
      </c>
      <c r="C8797" s="1" t="n">
        <v>45677</v>
      </c>
      <c r="D8797" t="inlineStr">
        <is>
          <t>GÄVLEBORGS LÄN</t>
        </is>
      </c>
      <c r="E8797" t="inlineStr">
        <is>
          <t>SANDVIKEN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52009-2023</t>
        </is>
      </c>
      <c r="B8798" s="1" t="n">
        <v>45223</v>
      </c>
      <c r="C8798" s="1" t="n">
        <v>45677</v>
      </c>
      <c r="D8798" t="inlineStr">
        <is>
          <t>GÄVLEBORGS LÄN</t>
        </is>
      </c>
      <c r="E8798" t="inlineStr">
        <is>
          <t>SANDVIKEN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51850-2023</t>
        </is>
      </c>
      <c r="B8799" s="1" t="n">
        <v>45223</v>
      </c>
      <c r="C8799" s="1" t="n">
        <v>45677</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51854-2023</t>
        </is>
      </c>
      <c r="B8800" s="1" t="n">
        <v>45223</v>
      </c>
      <c r="C8800" s="1" t="n">
        <v>45677</v>
      </c>
      <c r="D8800" t="inlineStr">
        <is>
          <t>GÄVLEBORGS LÄN</t>
        </is>
      </c>
      <c r="E8800" t="inlineStr">
        <is>
          <t>OVANÅKER</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51892-2023</t>
        </is>
      </c>
      <c r="B8801" s="1" t="n">
        <v>45223</v>
      </c>
      <c r="C8801" s="1" t="n">
        <v>45677</v>
      </c>
      <c r="D8801" t="inlineStr">
        <is>
          <t>GÄVLEBORGS LÄN</t>
        </is>
      </c>
      <c r="E8801" t="inlineStr">
        <is>
          <t>SÖDERHAMN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51952-2023</t>
        </is>
      </c>
      <c r="B8802" s="1" t="n">
        <v>45223</v>
      </c>
      <c r="C8802" s="1" t="n">
        <v>45677</v>
      </c>
      <c r="D8802" t="inlineStr">
        <is>
          <t>GÄVLEBORGS LÄN</t>
        </is>
      </c>
      <c r="E8802" t="inlineStr">
        <is>
          <t>BOLLNÄS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52091-2023</t>
        </is>
      </c>
      <c r="B8803" s="1" t="n">
        <v>45223</v>
      </c>
      <c r="C8803" s="1" t="n">
        <v>45677</v>
      </c>
      <c r="D8803" t="inlineStr">
        <is>
          <t>GÄVLEBORGS LÄN</t>
        </is>
      </c>
      <c r="E8803" t="inlineStr">
        <is>
          <t>SÖDERHAMN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51838-2023</t>
        </is>
      </c>
      <c r="B8804" s="1" t="n">
        <v>45223</v>
      </c>
      <c r="C8804" s="1" t="n">
        <v>45677</v>
      </c>
      <c r="D8804" t="inlineStr">
        <is>
          <t>GÄVLEBORGS LÄN</t>
        </is>
      </c>
      <c r="E8804" t="inlineStr">
        <is>
          <t>GÄVLE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51866-2023</t>
        </is>
      </c>
      <c r="B8805" s="1" t="n">
        <v>45223</v>
      </c>
      <c r="C8805" s="1" t="n">
        <v>45677</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51924-2023</t>
        </is>
      </c>
      <c r="B8806" s="1" t="n">
        <v>45223</v>
      </c>
      <c r="C8806" s="1" t="n">
        <v>45677</v>
      </c>
      <c r="D8806" t="inlineStr">
        <is>
          <t>GÄVLEBORGS LÄN</t>
        </is>
      </c>
      <c r="E8806" t="inlineStr">
        <is>
          <t>OVANÅKER</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51965-2023</t>
        </is>
      </c>
      <c r="B8807" s="1" t="n">
        <v>45223</v>
      </c>
      <c r="C8807" s="1" t="n">
        <v>45677</v>
      </c>
      <c r="D8807" t="inlineStr">
        <is>
          <t>GÄVLEBORGS LÄN</t>
        </is>
      </c>
      <c r="E8807" t="inlineStr">
        <is>
          <t>BOLLNÄS</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51989-2023</t>
        </is>
      </c>
      <c r="B8808" s="1" t="n">
        <v>45223</v>
      </c>
      <c r="C8808" s="1" t="n">
        <v>45677</v>
      </c>
      <c r="D8808" t="inlineStr">
        <is>
          <t>GÄVLEBORGS LÄN</t>
        </is>
      </c>
      <c r="E8808" t="inlineStr">
        <is>
          <t>OCKELBO</t>
        </is>
      </c>
      <c r="F8808" t="inlineStr">
        <is>
          <t>Bergvik skog väst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51998-2023</t>
        </is>
      </c>
      <c r="B8809" s="1" t="n">
        <v>45223</v>
      </c>
      <c r="C8809" s="1" t="n">
        <v>45677</v>
      </c>
      <c r="D8809" t="inlineStr">
        <is>
          <t>GÄVLEBORGS LÄN</t>
        </is>
      </c>
      <c r="E8809" t="inlineStr">
        <is>
          <t>NORDANSTIG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52051-2023</t>
        </is>
      </c>
      <c r="B8810" s="1" t="n">
        <v>45223</v>
      </c>
      <c r="C8810" s="1" t="n">
        <v>45677</v>
      </c>
      <c r="D8810" t="inlineStr">
        <is>
          <t>GÄVLEBORGS LÄN</t>
        </is>
      </c>
      <c r="E8810" t="inlineStr">
        <is>
          <t>NORDANSTIG</t>
        </is>
      </c>
      <c r="F8810" t="inlineStr">
        <is>
          <t>Holmen skog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52090-2023</t>
        </is>
      </c>
      <c r="B8811" s="1" t="n">
        <v>45223</v>
      </c>
      <c r="C8811" s="1" t="n">
        <v>45677</v>
      </c>
      <c r="D8811" t="inlineStr">
        <is>
          <t>GÄVLEBORGS LÄN</t>
        </is>
      </c>
      <c r="E8811" t="inlineStr">
        <is>
          <t>SÖDERHAMN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51861-2023</t>
        </is>
      </c>
      <c r="B8812" s="1" t="n">
        <v>45223</v>
      </c>
      <c r="C8812" s="1" t="n">
        <v>45677</v>
      </c>
      <c r="D8812" t="inlineStr">
        <is>
          <t>GÄVLEBORGS LÄN</t>
        </is>
      </c>
      <c r="E8812" t="inlineStr">
        <is>
          <t>OVANÅKER</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51876-2023</t>
        </is>
      </c>
      <c r="B8813" s="1" t="n">
        <v>45223</v>
      </c>
      <c r="C8813" s="1" t="n">
        <v>45677</v>
      </c>
      <c r="D8813" t="inlineStr">
        <is>
          <t>GÄVLEBORGS LÄN</t>
        </is>
      </c>
      <c r="E8813" t="inlineStr">
        <is>
          <t>GÄVLE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51894-2023</t>
        </is>
      </c>
      <c r="B8814" s="1" t="n">
        <v>45223</v>
      </c>
      <c r="C8814" s="1" t="n">
        <v>45677</v>
      </c>
      <c r="D8814" t="inlineStr">
        <is>
          <t>GÄVLEBORGS LÄN</t>
        </is>
      </c>
      <c r="E8814" t="inlineStr">
        <is>
          <t>BOLLNÄS</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51930-2023</t>
        </is>
      </c>
      <c r="B8815" s="1" t="n">
        <v>45223</v>
      </c>
      <c r="C8815" s="1" t="n">
        <v>45677</v>
      </c>
      <c r="D8815" t="inlineStr">
        <is>
          <t>GÄVLEBORGS LÄN</t>
        </is>
      </c>
      <c r="E8815" t="inlineStr">
        <is>
          <t>NORDANSTIG</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51977-2023</t>
        </is>
      </c>
      <c r="B8816" s="1" t="n">
        <v>45223</v>
      </c>
      <c r="C8816" s="1" t="n">
        <v>45677</v>
      </c>
      <c r="D8816" t="inlineStr">
        <is>
          <t>GÄVLEBORGS LÄN</t>
        </is>
      </c>
      <c r="E8816" t="inlineStr">
        <is>
          <t>OCKELBO</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51982-2023</t>
        </is>
      </c>
      <c r="B8817" s="1" t="n">
        <v>45223</v>
      </c>
      <c r="C8817" s="1" t="n">
        <v>45677</v>
      </c>
      <c r="D8817" t="inlineStr">
        <is>
          <t>GÄVLEBORGS LÄN</t>
        </is>
      </c>
      <c r="E8817" t="inlineStr">
        <is>
          <t>SANDVIKEN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52014-2023</t>
        </is>
      </c>
      <c r="B8818" s="1" t="n">
        <v>45223</v>
      </c>
      <c r="C8818" s="1" t="n">
        <v>45677</v>
      </c>
      <c r="D8818" t="inlineStr">
        <is>
          <t>GÄVLEBORGS LÄN</t>
        </is>
      </c>
      <c r="E8818" t="inlineStr">
        <is>
          <t>HUDIKSVALL</t>
        </is>
      </c>
      <c r="F8818" t="inlineStr">
        <is>
          <t>Holmen skog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52045-2023</t>
        </is>
      </c>
      <c r="B8819" s="1" t="n">
        <v>45223</v>
      </c>
      <c r="C8819" s="1" t="n">
        <v>45677</v>
      </c>
      <c r="D8819" t="inlineStr">
        <is>
          <t>GÄVLEBORGS LÄN</t>
        </is>
      </c>
      <c r="E8819" t="inlineStr">
        <is>
          <t>BOLLNÄS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52057-2023</t>
        </is>
      </c>
      <c r="B8820" s="1" t="n">
        <v>45223</v>
      </c>
      <c r="C8820" s="1" t="n">
        <v>45677</v>
      </c>
      <c r="D8820" t="inlineStr">
        <is>
          <t>GÄVLEBORGS LÄN</t>
        </is>
      </c>
      <c r="E8820" t="inlineStr">
        <is>
          <t>LJUSDAL</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52092-2023</t>
        </is>
      </c>
      <c r="B8821" s="1" t="n">
        <v>45223</v>
      </c>
      <c r="C8821" s="1" t="n">
        <v>45677</v>
      </c>
      <c r="D8821" t="inlineStr">
        <is>
          <t>GÄVLEBORGS LÄN</t>
        </is>
      </c>
      <c r="E8821" t="inlineStr">
        <is>
          <t>SÖDERHAMN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52093-2023</t>
        </is>
      </c>
      <c r="B8822" s="1" t="n">
        <v>45223</v>
      </c>
      <c r="C8822" s="1" t="n">
        <v>45677</v>
      </c>
      <c r="D8822" t="inlineStr">
        <is>
          <t>GÄVLEBORGS LÄN</t>
        </is>
      </c>
      <c r="E8822" t="inlineStr">
        <is>
          <t>SANDVIKEN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53508-2023</t>
        </is>
      </c>
      <c r="B8823" s="1" t="n">
        <v>45223</v>
      </c>
      <c r="C8823" s="1" t="n">
        <v>45677</v>
      </c>
      <c r="D8823" t="inlineStr">
        <is>
          <t>GÄVLEBORGS LÄN</t>
        </is>
      </c>
      <c r="E8823" t="inlineStr">
        <is>
          <t>OVANÅKER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53384-2023</t>
        </is>
      </c>
      <c r="B8824" s="1" t="n">
        <v>45223</v>
      </c>
      <c r="C8824" s="1" t="n">
        <v>45677</v>
      </c>
      <c r="D8824" t="inlineStr">
        <is>
          <t>GÄVLEBORGS LÄN</t>
        </is>
      </c>
      <c r="E8824" t="inlineStr">
        <is>
          <t>BOLLNÄS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53506-2023</t>
        </is>
      </c>
      <c r="B8825" s="1" t="n">
        <v>45223</v>
      </c>
      <c r="C8825" s="1" t="n">
        <v>45677</v>
      </c>
      <c r="D8825" t="inlineStr">
        <is>
          <t>GÄVLEBORGS LÄN</t>
        </is>
      </c>
      <c r="E8825" t="inlineStr">
        <is>
          <t>OVANÅKER</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52145-2023</t>
        </is>
      </c>
      <c r="B8826" s="1" t="n">
        <v>45224</v>
      </c>
      <c r="C8826" s="1" t="n">
        <v>45677</v>
      </c>
      <c r="D8826" t="inlineStr">
        <is>
          <t>GÄVLEBORGS LÄN</t>
        </is>
      </c>
      <c r="E8826" t="inlineStr">
        <is>
          <t>LJUSDAL</t>
        </is>
      </c>
      <c r="F8826" t="inlineStr">
        <is>
          <t>Naturvårdsverket</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52165-2023</t>
        </is>
      </c>
      <c r="B8827" s="1" t="n">
        <v>45224</v>
      </c>
      <c r="C8827" s="1" t="n">
        <v>45677</v>
      </c>
      <c r="D8827" t="inlineStr">
        <is>
          <t>GÄVLEBORGS LÄN</t>
        </is>
      </c>
      <c r="E8827" t="inlineStr">
        <is>
          <t>OVANÅKER</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52170-2023</t>
        </is>
      </c>
      <c r="B8828" s="1" t="n">
        <v>45224</v>
      </c>
      <c r="C8828" s="1" t="n">
        <v>45677</v>
      </c>
      <c r="D8828" t="inlineStr">
        <is>
          <t>GÄVLEBORGS LÄN</t>
        </is>
      </c>
      <c r="E8828" t="inlineStr">
        <is>
          <t>GÄVLE</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52174-2023</t>
        </is>
      </c>
      <c r="B8829" s="1" t="n">
        <v>45224</v>
      </c>
      <c r="C8829" s="1" t="n">
        <v>45677</v>
      </c>
      <c r="D8829" t="inlineStr">
        <is>
          <t>GÄVLEBORGS LÄN</t>
        </is>
      </c>
      <c r="E8829" t="inlineStr">
        <is>
          <t>LJUSDAL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52184-2023</t>
        </is>
      </c>
      <c r="B8830" s="1" t="n">
        <v>45224</v>
      </c>
      <c r="C8830" s="1" t="n">
        <v>45677</v>
      </c>
      <c r="D8830" t="inlineStr">
        <is>
          <t>GÄVLEBORGS LÄN</t>
        </is>
      </c>
      <c r="E8830" t="inlineStr">
        <is>
          <t>LJUSDAL</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52219-2023</t>
        </is>
      </c>
      <c r="B8831" s="1" t="n">
        <v>45224</v>
      </c>
      <c r="C8831" s="1" t="n">
        <v>45677</v>
      </c>
      <c r="D8831" t="inlineStr">
        <is>
          <t>GÄVLEBORGS LÄN</t>
        </is>
      </c>
      <c r="E8831" t="inlineStr">
        <is>
          <t>HUDIKSVALL</t>
        </is>
      </c>
      <c r="F8831" t="inlineStr">
        <is>
          <t>Holmen skog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52158-2023</t>
        </is>
      </c>
      <c r="B8832" s="1" t="n">
        <v>45224</v>
      </c>
      <c r="C8832" s="1" t="n">
        <v>45677</v>
      </c>
      <c r="D8832" t="inlineStr">
        <is>
          <t>GÄVLEBORGS LÄN</t>
        </is>
      </c>
      <c r="E8832" t="inlineStr">
        <is>
          <t>OVANÅKER</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52162-2023</t>
        </is>
      </c>
      <c r="B8833" s="1" t="n">
        <v>45224</v>
      </c>
      <c r="C8833" s="1" t="n">
        <v>45677</v>
      </c>
      <c r="D8833" t="inlineStr">
        <is>
          <t>GÄVLEBORGS LÄN</t>
        </is>
      </c>
      <c r="E8833" t="inlineStr">
        <is>
          <t>OVANÅKER</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52171-2023</t>
        </is>
      </c>
      <c r="B8834" s="1" t="n">
        <v>45224</v>
      </c>
      <c r="C8834" s="1" t="n">
        <v>45677</v>
      </c>
      <c r="D8834" t="inlineStr">
        <is>
          <t>GÄVLEBORGS LÄN</t>
        </is>
      </c>
      <c r="E8834" t="inlineStr">
        <is>
          <t>HUDIKSVALL</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53871-2023</t>
        </is>
      </c>
      <c r="B8835" s="1" t="n">
        <v>45224</v>
      </c>
      <c r="C8835" s="1" t="n">
        <v>45677</v>
      </c>
      <c r="D8835" t="inlineStr">
        <is>
          <t>GÄVLEBORGS LÄN</t>
        </is>
      </c>
      <c r="E8835" t="inlineStr">
        <is>
          <t>BOLLNÄS</t>
        </is>
      </c>
      <c r="F8835" t="inlineStr">
        <is>
          <t>Kommuner</t>
        </is>
      </c>
      <c r="G8835" t="n">
        <v>10.7</v>
      </c>
      <c r="H8835" t="n">
        <v>0</v>
      </c>
      <c r="I8835" t="n">
        <v>0</v>
      </c>
      <c r="J8835" t="n">
        <v>0</v>
      </c>
      <c r="K8835" t="n">
        <v>0</v>
      </c>
      <c r="L8835" t="n">
        <v>0</v>
      </c>
      <c r="M8835" t="n">
        <v>0</v>
      </c>
      <c r="N8835" t="n">
        <v>0</v>
      </c>
      <c r="O8835" t="n">
        <v>0</v>
      </c>
      <c r="P8835" t="n">
        <v>0</v>
      </c>
      <c r="Q8835" t="n">
        <v>0</v>
      </c>
      <c r="R8835" s="2" t="inlineStr"/>
    </row>
    <row r="8836" ht="15" customHeight="1">
      <c r="A8836" t="inlineStr">
        <is>
          <t>A 52391-2023</t>
        </is>
      </c>
      <c r="B8836" s="1" t="n">
        <v>45225</v>
      </c>
      <c r="C8836" s="1" t="n">
        <v>45677</v>
      </c>
      <c r="D8836" t="inlineStr">
        <is>
          <t>GÄVLEBORGS LÄN</t>
        </is>
      </c>
      <c r="E8836" t="inlineStr">
        <is>
          <t>LJUSDAL</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52350-2023</t>
        </is>
      </c>
      <c r="B8837" s="1" t="n">
        <v>45224</v>
      </c>
      <c r="C8837" s="1" t="n">
        <v>45677</v>
      </c>
      <c r="D8837" t="inlineStr">
        <is>
          <t>GÄVLEBORGS LÄN</t>
        </is>
      </c>
      <c r="E8837" t="inlineStr">
        <is>
          <t>HUDIKSVALL</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52423-2023</t>
        </is>
      </c>
      <c r="B8838" s="1" t="n">
        <v>45225</v>
      </c>
      <c r="C8838" s="1" t="n">
        <v>45677</v>
      </c>
      <c r="D8838" t="inlineStr">
        <is>
          <t>GÄVLEBORGS LÄN</t>
        </is>
      </c>
      <c r="E8838" t="inlineStr">
        <is>
          <t>OVANÅKER</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52479-2023</t>
        </is>
      </c>
      <c r="B8839" s="1" t="n">
        <v>45225</v>
      </c>
      <c r="C8839" s="1" t="n">
        <v>45677</v>
      </c>
      <c r="D8839" t="inlineStr">
        <is>
          <t>GÄVLEBORGS LÄN</t>
        </is>
      </c>
      <c r="E8839" t="inlineStr">
        <is>
          <t>OCKELBO</t>
        </is>
      </c>
      <c r="F8839" t="inlineStr">
        <is>
          <t>Bergvik skog väst AB</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52488-2023</t>
        </is>
      </c>
      <c r="B8840" s="1" t="n">
        <v>45225</v>
      </c>
      <c r="C8840" s="1" t="n">
        <v>45677</v>
      </c>
      <c r="D8840" t="inlineStr">
        <is>
          <t>GÄVLEBORGS LÄN</t>
        </is>
      </c>
      <c r="E8840" t="inlineStr">
        <is>
          <t>OCKELBO</t>
        </is>
      </c>
      <c r="G8840" t="n">
        <v>15.8</v>
      </c>
      <c r="H8840" t="n">
        <v>0</v>
      </c>
      <c r="I8840" t="n">
        <v>0</v>
      </c>
      <c r="J8840" t="n">
        <v>0</v>
      </c>
      <c r="K8840" t="n">
        <v>0</v>
      </c>
      <c r="L8840" t="n">
        <v>0</v>
      </c>
      <c r="M8840" t="n">
        <v>0</v>
      </c>
      <c r="N8840" t="n">
        <v>0</v>
      </c>
      <c r="O8840" t="n">
        <v>0</v>
      </c>
      <c r="P8840" t="n">
        <v>0</v>
      </c>
      <c r="Q8840" t="n">
        <v>0</v>
      </c>
      <c r="R8840" s="2" t="inlineStr"/>
    </row>
    <row r="8841" ht="15" customHeight="1">
      <c r="A8841" t="inlineStr">
        <is>
          <t>A 52497-2023</t>
        </is>
      </c>
      <c r="B8841" s="1" t="n">
        <v>45225</v>
      </c>
      <c r="C8841" s="1" t="n">
        <v>45677</v>
      </c>
      <c r="D8841" t="inlineStr">
        <is>
          <t>GÄVLEBORGS LÄN</t>
        </is>
      </c>
      <c r="E8841" t="inlineStr">
        <is>
          <t>LJUSDAL</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52509-2023</t>
        </is>
      </c>
      <c r="B8842" s="1" t="n">
        <v>45225</v>
      </c>
      <c r="C8842" s="1" t="n">
        <v>45677</v>
      </c>
      <c r="D8842" t="inlineStr">
        <is>
          <t>GÄVLEBORGS LÄN</t>
        </is>
      </c>
      <c r="E8842" t="inlineStr">
        <is>
          <t>SÖDERHAMN</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52514-2023</t>
        </is>
      </c>
      <c r="B8843" s="1" t="n">
        <v>45225</v>
      </c>
      <c r="C8843" s="1" t="n">
        <v>45677</v>
      </c>
      <c r="D8843" t="inlineStr">
        <is>
          <t>GÄVLEBORGS LÄN</t>
        </is>
      </c>
      <c r="E8843" t="inlineStr">
        <is>
          <t>OVANÅKER</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52426-2023</t>
        </is>
      </c>
      <c r="B8844" s="1" t="n">
        <v>45225</v>
      </c>
      <c r="C8844" s="1" t="n">
        <v>45677</v>
      </c>
      <c r="D8844" t="inlineStr">
        <is>
          <t>GÄVLEBORGS LÄN</t>
        </is>
      </c>
      <c r="E8844" t="inlineStr">
        <is>
          <t>LJUSDAL</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52438-2023</t>
        </is>
      </c>
      <c r="B8845" s="1" t="n">
        <v>45225</v>
      </c>
      <c r="C8845" s="1" t="n">
        <v>45677</v>
      </c>
      <c r="D8845" t="inlineStr">
        <is>
          <t>GÄVLEBORGS LÄN</t>
        </is>
      </c>
      <c r="E8845" t="inlineStr">
        <is>
          <t>HUDIKSVALL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52427-2023</t>
        </is>
      </c>
      <c r="B8846" s="1" t="n">
        <v>45225</v>
      </c>
      <c r="C8846" s="1" t="n">
        <v>45677</v>
      </c>
      <c r="D8846" t="inlineStr">
        <is>
          <t>GÄVLEBORGS LÄN</t>
        </is>
      </c>
      <c r="E8846" t="inlineStr">
        <is>
          <t>LJUSDAL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52473-2023</t>
        </is>
      </c>
      <c r="B8847" s="1" t="n">
        <v>45225</v>
      </c>
      <c r="C8847" s="1" t="n">
        <v>45677</v>
      </c>
      <c r="D8847" t="inlineStr">
        <is>
          <t>GÄVLEBORGS LÄN</t>
        </is>
      </c>
      <c r="E8847" t="inlineStr">
        <is>
          <t>LJUSDAL</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52491-2023</t>
        </is>
      </c>
      <c r="B8848" s="1" t="n">
        <v>45225</v>
      </c>
      <c r="C8848" s="1" t="n">
        <v>45677</v>
      </c>
      <c r="D8848" t="inlineStr">
        <is>
          <t>GÄVLEBORGS LÄN</t>
        </is>
      </c>
      <c r="E8848" t="inlineStr">
        <is>
          <t>OVANÅKER</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52538-2023</t>
        </is>
      </c>
      <c r="B8849" s="1" t="n">
        <v>45225</v>
      </c>
      <c r="C8849" s="1" t="n">
        <v>45677</v>
      </c>
      <c r="D8849" t="inlineStr">
        <is>
          <t>GÄVLEBORGS LÄN</t>
        </is>
      </c>
      <c r="E8849" t="inlineStr">
        <is>
          <t>SÖDERHAMN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52589-2023</t>
        </is>
      </c>
      <c r="B8850" s="1" t="n">
        <v>45225</v>
      </c>
      <c r="C8850" s="1" t="n">
        <v>45677</v>
      </c>
      <c r="D8850" t="inlineStr">
        <is>
          <t>GÄVLEBORGS LÄN</t>
        </is>
      </c>
      <c r="E8850" t="inlineStr">
        <is>
          <t>HUDIKSVALL</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52729-2023</t>
        </is>
      </c>
      <c r="B8851" s="1" t="n">
        <v>45226</v>
      </c>
      <c r="C8851" s="1" t="n">
        <v>45677</v>
      </c>
      <c r="D8851" t="inlineStr">
        <is>
          <t>GÄVLEBORGS LÄN</t>
        </is>
      </c>
      <c r="E8851" t="inlineStr">
        <is>
          <t>LJUSDAL</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54099-2023</t>
        </is>
      </c>
      <c r="B8852" s="1" t="n">
        <v>45225</v>
      </c>
      <c r="C8852" s="1" t="n">
        <v>45677</v>
      </c>
      <c r="D8852" t="inlineStr">
        <is>
          <t>GÄVLEBORGS LÄN</t>
        </is>
      </c>
      <c r="E8852" t="inlineStr">
        <is>
          <t>OVANÅKER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52892-2023</t>
        </is>
      </c>
      <c r="B8853" s="1" t="n">
        <v>45226</v>
      </c>
      <c r="C8853" s="1" t="n">
        <v>45677</v>
      </c>
      <c r="D8853" t="inlineStr">
        <is>
          <t>GÄVLEBORGS LÄN</t>
        </is>
      </c>
      <c r="E8853" t="inlineStr">
        <is>
          <t>HUDIKSVALL</t>
        </is>
      </c>
      <c r="F8853" t="inlineStr">
        <is>
          <t>Holmen skog AB</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52917-2023</t>
        </is>
      </c>
      <c r="B8854" s="1" t="n">
        <v>45226</v>
      </c>
      <c r="C8854" s="1" t="n">
        <v>45677</v>
      </c>
      <c r="D8854" t="inlineStr">
        <is>
          <t>GÄVLEBORGS LÄN</t>
        </is>
      </c>
      <c r="E8854" t="inlineStr">
        <is>
          <t>HUDIKSVALL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52934-2023</t>
        </is>
      </c>
      <c r="B8855" s="1" t="n">
        <v>45226</v>
      </c>
      <c r="C8855" s="1" t="n">
        <v>45677</v>
      </c>
      <c r="D8855" t="inlineStr">
        <is>
          <t>GÄVLEBORGS LÄN</t>
        </is>
      </c>
      <c r="E8855" t="inlineStr">
        <is>
          <t>HOFORS</t>
        </is>
      </c>
      <c r="F8855" t="inlineStr">
        <is>
          <t>Sveaskog</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52785-2023</t>
        </is>
      </c>
      <c r="B8856" s="1" t="n">
        <v>45226</v>
      </c>
      <c r="C8856" s="1" t="n">
        <v>45677</v>
      </c>
      <c r="D8856" t="inlineStr">
        <is>
          <t>GÄVLEBORGS LÄN</t>
        </is>
      </c>
      <c r="E8856" t="inlineStr">
        <is>
          <t>SANDVIKEN</t>
        </is>
      </c>
      <c r="F8856" t="inlineStr">
        <is>
          <t>Bergvik skog öst AB</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53013-2023</t>
        </is>
      </c>
      <c r="B8857" s="1" t="n">
        <v>45226</v>
      </c>
      <c r="C8857" s="1" t="n">
        <v>45677</v>
      </c>
      <c r="D8857" t="inlineStr">
        <is>
          <t>GÄVLEBORGS LÄN</t>
        </is>
      </c>
      <c r="E8857" t="inlineStr">
        <is>
          <t>LJUSDAL</t>
        </is>
      </c>
      <c r="F8857" t="inlineStr">
        <is>
          <t>Sveaskog</t>
        </is>
      </c>
      <c r="G8857" t="n">
        <v>21.1</v>
      </c>
      <c r="H8857" t="n">
        <v>0</v>
      </c>
      <c r="I8857" t="n">
        <v>0</v>
      </c>
      <c r="J8857" t="n">
        <v>0</v>
      </c>
      <c r="K8857" t="n">
        <v>0</v>
      </c>
      <c r="L8857" t="n">
        <v>0</v>
      </c>
      <c r="M8857" t="n">
        <v>0</v>
      </c>
      <c r="N8857" t="n">
        <v>0</v>
      </c>
      <c r="O8857" t="n">
        <v>0</v>
      </c>
      <c r="P8857" t="n">
        <v>0</v>
      </c>
      <c r="Q8857" t="n">
        <v>0</v>
      </c>
      <c r="R8857" s="2" t="inlineStr"/>
    </row>
    <row r="8858" ht="15" customHeight="1">
      <c r="A8858" t="inlineStr">
        <is>
          <t>A 52931-2023</t>
        </is>
      </c>
      <c r="B8858" s="1" t="n">
        <v>45226</v>
      </c>
      <c r="C8858" s="1" t="n">
        <v>45677</v>
      </c>
      <c r="D8858" t="inlineStr">
        <is>
          <t>GÄVLEBORGS LÄN</t>
        </is>
      </c>
      <c r="E8858" t="inlineStr">
        <is>
          <t>SANDVIKEN</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52903-2023</t>
        </is>
      </c>
      <c r="B8859" s="1" t="n">
        <v>45226</v>
      </c>
      <c r="C8859" s="1" t="n">
        <v>45677</v>
      </c>
      <c r="D8859" t="inlineStr">
        <is>
          <t>GÄVLEBORGS LÄN</t>
        </is>
      </c>
      <c r="E8859" t="inlineStr">
        <is>
          <t>LJUSDAL</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52920-2023</t>
        </is>
      </c>
      <c r="B8860" s="1" t="n">
        <v>45226</v>
      </c>
      <c r="C8860" s="1" t="n">
        <v>45677</v>
      </c>
      <c r="D8860" t="inlineStr">
        <is>
          <t>GÄVLEBORGS LÄN</t>
        </is>
      </c>
      <c r="E8860" t="inlineStr">
        <is>
          <t>HUDIKSVALL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52965-2023</t>
        </is>
      </c>
      <c r="B8861" s="1" t="n">
        <v>45226</v>
      </c>
      <c r="C8861" s="1" t="n">
        <v>45677</v>
      </c>
      <c r="D8861" t="inlineStr">
        <is>
          <t>GÄVLEBORGS LÄN</t>
        </is>
      </c>
      <c r="E8861" t="inlineStr">
        <is>
          <t>LJUSDAL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52842-2023</t>
        </is>
      </c>
      <c r="B8862" s="1" t="n">
        <v>45226</v>
      </c>
      <c r="C8862" s="1" t="n">
        <v>45677</v>
      </c>
      <c r="D8862" t="inlineStr">
        <is>
          <t>GÄVLEBORGS LÄN</t>
        </is>
      </c>
      <c r="E8862" t="inlineStr">
        <is>
          <t>LJUSDAL</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52983-2023</t>
        </is>
      </c>
      <c r="B8863" s="1" t="n">
        <v>45226</v>
      </c>
      <c r="C8863" s="1" t="n">
        <v>45677</v>
      </c>
      <c r="D8863" t="inlineStr">
        <is>
          <t>GÄVLEBORGS LÄN</t>
        </is>
      </c>
      <c r="E8863" t="inlineStr">
        <is>
          <t>HUDIKSVALL</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53006-2023</t>
        </is>
      </c>
      <c r="B8864" s="1" t="n">
        <v>45226</v>
      </c>
      <c r="C8864" s="1" t="n">
        <v>45677</v>
      </c>
      <c r="D8864" t="inlineStr">
        <is>
          <t>GÄVLEBORGS LÄN</t>
        </is>
      </c>
      <c r="E8864" t="inlineStr">
        <is>
          <t>SANDVIKEN</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52949-2023</t>
        </is>
      </c>
      <c r="B8865" s="1" t="n">
        <v>45226</v>
      </c>
      <c r="C8865" s="1" t="n">
        <v>45677</v>
      </c>
      <c r="D8865" t="inlineStr">
        <is>
          <t>GÄVLEBORGS LÄN</t>
        </is>
      </c>
      <c r="E8865" t="inlineStr">
        <is>
          <t>LJUSDAL</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52935-2023</t>
        </is>
      </c>
      <c r="B8866" s="1" t="n">
        <v>45226</v>
      </c>
      <c r="C8866" s="1" t="n">
        <v>45677</v>
      </c>
      <c r="D8866" t="inlineStr">
        <is>
          <t>GÄVLEBORGS LÄN</t>
        </is>
      </c>
      <c r="E8866" t="inlineStr">
        <is>
          <t>LJUSDAL</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52837-2023</t>
        </is>
      </c>
      <c r="B8867" s="1" t="n">
        <v>45226</v>
      </c>
      <c r="C8867" s="1" t="n">
        <v>45677</v>
      </c>
      <c r="D8867" t="inlineStr">
        <is>
          <t>GÄVLEBORGS LÄN</t>
        </is>
      </c>
      <c r="E8867" t="inlineStr">
        <is>
          <t>LJUSDAL</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52772-2023</t>
        </is>
      </c>
      <c r="B8868" s="1" t="n">
        <v>45226</v>
      </c>
      <c r="C8868" s="1" t="n">
        <v>45677</v>
      </c>
      <c r="D8868" t="inlineStr">
        <is>
          <t>GÄVLEBORGS LÄN</t>
        </is>
      </c>
      <c r="E8868" t="inlineStr">
        <is>
          <t>SANDVIKEN</t>
        </is>
      </c>
      <c r="F8868" t="inlineStr">
        <is>
          <t>Bergvik skog öst AB</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53007-2023</t>
        </is>
      </c>
      <c r="B8869" s="1" t="n">
        <v>45226</v>
      </c>
      <c r="C8869" s="1" t="n">
        <v>45677</v>
      </c>
      <c r="D8869" t="inlineStr">
        <is>
          <t>GÄVLEBORGS LÄN</t>
        </is>
      </c>
      <c r="E8869" t="inlineStr">
        <is>
          <t>SANDVIKEN</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52970-2023</t>
        </is>
      </c>
      <c r="B8870" s="1" t="n">
        <v>45226</v>
      </c>
      <c r="C8870" s="1" t="n">
        <v>45677</v>
      </c>
      <c r="D8870" t="inlineStr">
        <is>
          <t>GÄVLEBORGS LÄN</t>
        </is>
      </c>
      <c r="E8870" t="inlineStr">
        <is>
          <t>LJUSDAL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52938-2023</t>
        </is>
      </c>
      <c r="B8871" s="1" t="n">
        <v>45226</v>
      </c>
      <c r="C8871" s="1" t="n">
        <v>45677</v>
      </c>
      <c r="D8871" t="inlineStr">
        <is>
          <t>GÄVLEBORGS LÄN</t>
        </is>
      </c>
      <c r="E8871" t="inlineStr">
        <is>
          <t>LJUSDAL</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53298-2023</t>
        </is>
      </c>
      <c r="B8872" s="1" t="n">
        <v>45229</v>
      </c>
      <c r="C8872" s="1" t="n">
        <v>45677</v>
      </c>
      <c r="D8872" t="inlineStr">
        <is>
          <t>GÄVLEBORGS LÄN</t>
        </is>
      </c>
      <c r="E8872" t="inlineStr">
        <is>
          <t>BOLLNÄS</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53178-2023</t>
        </is>
      </c>
      <c r="B8873" s="1" t="n">
        <v>45229</v>
      </c>
      <c r="C8873" s="1" t="n">
        <v>45677</v>
      </c>
      <c r="D8873" t="inlineStr">
        <is>
          <t>GÄVLEBORGS LÄN</t>
        </is>
      </c>
      <c r="E8873" t="inlineStr">
        <is>
          <t>OCKELBO</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53330-2023</t>
        </is>
      </c>
      <c r="B8874" s="1" t="n">
        <v>45229</v>
      </c>
      <c r="C8874" s="1" t="n">
        <v>45677</v>
      </c>
      <c r="D8874" t="inlineStr">
        <is>
          <t>GÄVLEBORGS LÄN</t>
        </is>
      </c>
      <c r="E8874" t="inlineStr">
        <is>
          <t>BOLLNÄS</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53270-2023</t>
        </is>
      </c>
      <c r="B8875" s="1" t="n">
        <v>45229</v>
      </c>
      <c r="C8875" s="1" t="n">
        <v>45677</v>
      </c>
      <c r="D8875" t="inlineStr">
        <is>
          <t>GÄVLEBORGS LÄN</t>
        </is>
      </c>
      <c r="E8875" t="inlineStr">
        <is>
          <t>GÄVLE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53321-2023</t>
        </is>
      </c>
      <c r="B8876" s="1" t="n">
        <v>45229</v>
      </c>
      <c r="C8876" s="1" t="n">
        <v>45677</v>
      </c>
      <c r="D8876" t="inlineStr">
        <is>
          <t>GÄVLEBORGS LÄN</t>
        </is>
      </c>
      <c r="E8876" t="inlineStr">
        <is>
          <t>BOLLNÄS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53435-2023</t>
        </is>
      </c>
      <c r="B8877" s="1" t="n">
        <v>45229</v>
      </c>
      <c r="C8877" s="1" t="n">
        <v>45677</v>
      </c>
      <c r="D8877" t="inlineStr">
        <is>
          <t>GÄVLEBORGS LÄN</t>
        </is>
      </c>
      <c r="E8877" t="inlineStr">
        <is>
          <t>HUDIKSVALL</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53198-2023</t>
        </is>
      </c>
      <c r="B8878" s="1" t="n">
        <v>45229</v>
      </c>
      <c r="C8878" s="1" t="n">
        <v>45677</v>
      </c>
      <c r="D8878" t="inlineStr">
        <is>
          <t>GÄVLEBORGS LÄN</t>
        </is>
      </c>
      <c r="E8878" t="inlineStr">
        <is>
          <t>GÄVLE</t>
        </is>
      </c>
      <c r="F8878" t="inlineStr">
        <is>
          <t>Bergvik skog öst AB</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53289-2023</t>
        </is>
      </c>
      <c r="B8879" s="1" t="n">
        <v>45229</v>
      </c>
      <c r="C8879" s="1" t="n">
        <v>45677</v>
      </c>
      <c r="D8879" t="inlineStr">
        <is>
          <t>GÄVLEBORGS LÄN</t>
        </is>
      </c>
      <c r="E8879" t="inlineStr">
        <is>
          <t>SANDVIKEN</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53301-2023</t>
        </is>
      </c>
      <c r="B8880" s="1" t="n">
        <v>45229</v>
      </c>
      <c r="C8880" s="1" t="n">
        <v>45677</v>
      </c>
      <c r="D8880" t="inlineStr">
        <is>
          <t>GÄVLEBORGS LÄN</t>
        </is>
      </c>
      <c r="E8880" t="inlineStr">
        <is>
          <t>BOLLNÄS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53314-2023</t>
        </is>
      </c>
      <c r="B8881" s="1" t="n">
        <v>45229</v>
      </c>
      <c r="C8881" s="1" t="n">
        <v>45677</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53318-2023</t>
        </is>
      </c>
      <c r="B8882" s="1" t="n">
        <v>45229</v>
      </c>
      <c r="C8882" s="1" t="n">
        <v>45677</v>
      </c>
      <c r="D8882" t="inlineStr">
        <is>
          <t>GÄVLEBORGS LÄN</t>
        </is>
      </c>
      <c r="E8882" t="inlineStr">
        <is>
          <t>SANDVIKEN</t>
        </is>
      </c>
      <c r="F8882" t="inlineStr">
        <is>
          <t>Bergvik skog öst AB</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53166-2023</t>
        </is>
      </c>
      <c r="B8883" s="1" t="n">
        <v>45229</v>
      </c>
      <c r="C8883" s="1" t="n">
        <v>45677</v>
      </c>
      <c r="D8883" t="inlineStr">
        <is>
          <t>GÄVLEBORGS LÄN</t>
        </is>
      </c>
      <c r="E8883" t="inlineStr">
        <is>
          <t>LJUSDAL</t>
        </is>
      </c>
      <c r="F8883" t="inlineStr">
        <is>
          <t>Allmännings- och besparingsskogar</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53226-2023</t>
        </is>
      </c>
      <c r="B8884" s="1" t="n">
        <v>45229</v>
      </c>
      <c r="C8884" s="1" t="n">
        <v>45677</v>
      </c>
      <c r="D8884" t="inlineStr">
        <is>
          <t>GÄVLEBORGS LÄN</t>
        </is>
      </c>
      <c r="E8884" t="inlineStr">
        <is>
          <t>SANDVIKEN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53269-2023</t>
        </is>
      </c>
      <c r="B8885" s="1" t="n">
        <v>45229</v>
      </c>
      <c r="C8885" s="1" t="n">
        <v>45677</v>
      </c>
      <c r="D8885" t="inlineStr">
        <is>
          <t>GÄVLEBORGS LÄN</t>
        </is>
      </c>
      <c r="E8885" t="inlineStr">
        <is>
          <t>SANDVIKEN</t>
        </is>
      </c>
      <c r="F8885" t="inlineStr">
        <is>
          <t>Bergvik skog öst AB</t>
        </is>
      </c>
      <c r="G8885" t="n">
        <v>13.6</v>
      </c>
      <c r="H8885" t="n">
        <v>0</v>
      </c>
      <c r="I8885" t="n">
        <v>0</v>
      </c>
      <c r="J8885" t="n">
        <v>0</v>
      </c>
      <c r="K8885" t="n">
        <v>0</v>
      </c>
      <c r="L8885" t="n">
        <v>0</v>
      </c>
      <c r="M8885" t="n">
        <v>0</v>
      </c>
      <c r="N8885" t="n">
        <v>0</v>
      </c>
      <c r="O8885" t="n">
        <v>0</v>
      </c>
      <c r="P8885" t="n">
        <v>0</v>
      </c>
      <c r="Q8885" t="n">
        <v>0</v>
      </c>
      <c r="R8885" s="2" t="inlineStr"/>
    </row>
    <row r="8886" ht="15" customHeight="1">
      <c r="A8886" t="inlineStr">
        <is>
          <t>A 53325-2023</t>
        </is>
      </c>
      <c r="B8886" s="1" t="n">
        <v>45229</v>
      </c>
      <c r="C8886" s="1" t="n">
        <v>45677</v>
      </c>
      <c r="D8886" t="inlineStr">
        <is>
          <t>GÄVLEBORGS LÄN</t>
        </is>
      </c>
      <c r="E8886" t="inlineStr">
        <is>
          <t>BOLLNÄS</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53434-2023</t>
        </is>
      </c>
      <c r="B8887" s="1" t="n">
        <v>45229</v>
      </c>
      <c r="C8887" s="1" t="n">
        <v>45677</v>
      </c>
      <c r="D8887" t="inlineStr">
        <is>
          <t>GÄVLEBORGS LÄN</t>
        </is>
      </c>
      <c r="E8887" t="inlineStr">
        <is>
          <t>HUDIKSVALL</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53494-2023</t>
        </is>
      </c>
      <c r="B8888" s="1" t="n">
        <v>45230</v>
      </c>
      <c r="C8888" s="1" t="n">
        <v>45677</v>
      </c>
      <c r="D8888" t="inlineStr">
        <is>
          <t>GÄVLEBORGS LÄN</t>
        </is>
      </c>
      <c r="E8888" t="inlineStr">
        <is>
          <t>BOLLNÄS</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53503-2023</t>
        </is>
      </c>
      <c r="B8889" s="1" t="n">
        <v>45230</v>
      </c>
      <c r="C8889" s="1" t="n">
        <v>45677</v>
      </c>
      <c r="D8889" t="inlineStr">
        <is>
          <t>GÄVLEBORGS LÄN</t>
        </is>
      </c>
      <c r="E8889" t="inlineStr">
        <is>
          <t>SÖDERHAMN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53734-2023</t>
        </is>
      </c>
      <c r="B8890" s="1" t="n">
        <v>45230</v>
      </c>
      <c r="C8890" s="1" t="n">
        <v>45677</v>
      </c>
      <c r="D8890" t="inlineStr">
        <is>
          <t>GÄVLEBORGS LÄN</t>
        </is>
      </c>
      <c r="E8890" t="inlineStr">
        <is>
          <t>HUDIKSVALL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53723-2023</t>
        </is>
      </c>
      <c r="B8891" s="1" t="n">
        <v>45230</v>
      </c>
      <c r="C8891" s="1" t="n">
        <v>45677</v>
      </c>
      <c r="D8891" t="inlineStr">
        <is>
          <t>GÄVLEBORGS LÄN</t>
        </is>
      </c>
      <c r="E8891" t="inlineStr">
        <is>
          <t>HUDIKSVALL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53724-2023</t>
        </is>
      </c>
      <c r="B8892" s="1" t="n">
        <v>45230</v>
      </c>
      <c r="C8892" s="1" t="n">
        <v>45677</v>
      </c>
      <c r="D8892" t="inlineStr">
        <is>
          <t>GÄVLEBORGS LÄN</t>
        </is>
      </c>
      <c r="E8892" t="inlineStr">
        <is>
          <t>HUDIKSVALL</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53569-2023</t>
        </is>
      </c>
      <c r="B8893" s="1" t="n">
        <v>45230</v>
      </c>
      <c r="C8893" s="1" t="n">
        <v>45677</v>
      </c>
      <c r="D8893" t="inlineStr">
        <is>
          <t>GÄVLEBORGS LÄN</t>
        </is>
      </c>
      <c r="E8893" t="inlineStr">
        <is>
          <t>LJUSDAL</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53604-2023</t>
        </is>
      </c>
      <c r="B8894" s="1" t="n">
        <v>45230</v>
      </c>
      <c r="C8894" s="1" t="n">
        <v>45677</v>
      </c>
      <c r="D8894" t="inlineStr">
        <is>
          <t>GÄVLEBORGS LÄN</t>
        </is>
      </c>
      <c r="E8894" t="inlineStr">
        <is>
          <t>OVANÅKER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53644-2023</t>
        </is>
      </c>
      <c r="B8895" s="1" t="n">
        <v>45230</v>
      </c>
      <c r="C8895" s="1" t="n">
        <v>45677</v>
      </c>
      <c r="D8895" t="inlineStr">
        <is>
          <t>GÄVLEBORGS LÄN</t>
        </is>
      </c>
      <c r="E8895" t="inlineStr">
        <is>
          <t>BOLLNÄS</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53631-2023</t>
        </is>
      </c>
      <c r="B8896" s="1" t="n">
        <v>45230</v>
      </c>
      <c r="C8896" s="1" t="n">
        <v>45677</v>
      </c>
      <c r="D8896" t="inlineStr">
        <is>
          <t>GÄVLEBORGS LÄN</t>
        </is>
      </c>
      <c r="E8896" t="inlineStr">
        <is>
          <t>OVANÅKER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53542-2023</t>
        </is>
      </c>
      <c r="B8897" s="1" t="n">
        <v>45230</v>
      </c>
      <c r="C8897" s="1" t="n">
        <v>45677</v>
      </c>
      <c r="D8897" t="inlineStr">
        <is>
          <t>GÄVLEBORGS LÄN</t>
        </is>
      </c>
      <c r="E8897" t="inlineStr">
        <is>
          <t>LJUSDAL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53711-2023</t>
        </is>
      </c>
      <c r="B8898" s="1" t="n">
        <v>45230</v>
      </c>
      <c r="C8898" s="1" t="n">
        <v>45677</v>
      </c>
      <c r="D8898" t="inlineStr">
        <is>
          <t>GÄVLEBORGS LÄN</t>
        </is>
      </c>
      <c r="E8898" t="inlineStr">
        <is>
          <t>OVANÅKER</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53687-2023</t>
        </is>
      </c>
      <c r="B8899" s="1" t="n">
        <v>45230</v>
      </c>
      <c r="C8899" s="1" t="n">
        <v>45677</v>
      </c>
      <c r="D8899" t="inlineStr">
        <is>
          <t>GÄVLEBORGS LÄN</t>
        </is>
      </c>
      <c r="E8899" t="inlineStr">
        <is>
          <t>BOLLNÄS</t>
        </is>
      </c>
      <c r="F8899" t="inlineStr">
        <is>
          <t>Bergvik skog väst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53526-2023</t>
        </is>
      </c>
      <c r="B8900" s="1" t="n">
        <v>45230</v>
      </c>
      <c r="C8900" s="1" t="n">
        <v>45677</v>
      </c>
      <c r="D8900" t="inlineStr">
        <is>
          <t>GÄVLEBORGS LÄN</t>
        </is>
      </c>
      <c r="E8900" t="inlineStr">
        <is>
          <t>BOLLNÄS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53520-2023</t>
        </is>
      </c>
      <c r="B8901" s="1" t="n">
        <v>45230</v>
      </c>
      <c r="C8901" s="1" t="n">
        <v>45677</v>
      </c>
      <c r="D8901" t="inlineStr">
        <is>
          <t>GÄVLEBORGS LÄN</t>
        </is>
      </c>
      <c r="E8901" t="inlineStr">
        <is>
          <t>HUDIKSVALL</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53483-2023</t>
        </is>
      </c>
      <c r="B8902" s="1" t="n">
        <v>45230</v>
      </c>
      <c r="C8902" s="1" t="n">
        <v>45677</v>
      </c>
      <c r="D8902" t="inlineStr">
        <is>
          <t>GÄVLEBORGS LÄN</t>
        </is>
      </c>
      <c r="E8902" t="inlineStr">
        <is>
          <t>BOLLNÄS</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53477-2023</t>
        </is>
      </c>
      <c r="B8903" s="1" t="n">
        <v>45230</v>
      </c>
      <c r="C8903" s="1" t="n">
        <v>45677</v>
      </c>
      <c r="D8903" t="inlineStr">
        <is>
          <t>GÄVLEBORGS LÄN</t>
        </is>
      </c>
      <c r="E8903" t="inlineStr">
        <is>
          <t>LJUSDAL</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53695-2023</t>
        </is>
      </c>
      <c r="B8904" s="1" t="n">
        <v>45230</v>
      </c>
      <c r="C8904" s="1" t="n">
        <v>45677</v>
      </c>
      <c r="D8904" t="inlineStr">
        <is>
          <t>GÄVLEBORGS LÄN</t>
        </is>
      </c>
      <c r="E8904" t="inlineStr">
        <is>
          <t>LJUSDAL</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53709-2023</t>
        </is>
      </c>
      <c r="B8905" s="1" t="n">
        <v>45230</v>
      </c>
      <c r="C8905" s="1" t="n">
        <v>45677</v>
      </c>
      <c r="D8905" t="inlineStr">
        <is>
          <t>GÄVLEBORGS LÄN</t>
        </is>
      </c>
      <c r="E8905" t="inlineStr">
        <is>
          <t>LJUSDAL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53692-2023</t>
        </is>
      </c>
      <c r="B8906" s="1" t="n">
        <v>45230</v>
      </c>
      <c r="C8906" s="1" t="n">
        <v>45677</v>
      </c>
      <c r="D8906" t="inlineStr">
        <is>
          <t>GÄVLEBORGS LÄN</t>
        </is>
      </c>
      <c r="E8906" t="inlineStr">
        <is>
          <t>BOLLNÄS</t>
        </is>
      </c>
      <c r="F8906" t="inlineStr">
        <is>
          <t>Bergvik skog väst AB</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53673-2023</t>
        </is>
      </c>
      <c r="B8907" s="1" t="n">
        <v>45230</v>
      </c>
      <c r="C8907" s="1" t="n">
        <v>45677</v>
      </c>
      <c r="D8907" t="inlineStr">
        <is>
          <t>GÄVLEBORGS LÄN</t>
        </is>
      </c>
      <c r="E8907" t="inlineStr">
        <is>
          <t>BOLLNÄS</t>
        </is>
      </c>
      <c r="F8907" t="inlineStr">
        <is>
          <t>Bergvik skog väst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53660-2023</t>
        </is>
      </c>
      <c r="B8908" s="1" t="n">
        <v>45230</v>
      </c>
      <c r="C8908" s="1" t="n">
        <v>45677</v>
      </c>
      <c r="D8908" t="inlineStr">
        <is>
          <t>GÄVLEBORGS LÄN</t>
        </is>
      </c>
      <c r="E8908" t="inlineStr">
        <is>
          <t>LJUSDAL</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53544-2023</t>
        </is>
      </c>
      <c r="B8909" s="1" t="n">
        <v>45230</v>
      </c>
      <c r="C8909" s="1" t="n">
        <v>45677</v>
      </c>
      <c r="D8909" t="inlineStr">
        <is>
          <t>GÄVLEBORGS LÄN</t>
        </is>
      </c>
      <c r="E8909" t="inlineStr">
        <is>
          <t>LJUSDAL</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53553-2023</t>
        </is>
      </c>
      <c r="B8910" s="1" t="n">
        <v>45230</v>
      </c>
      <c r="C8910" s="1" t="n">
        <v>45677</v>
      </c>
      <c r="D8910" t="inlineStr">
        <is>
          <t>GÄVLEBORGS LÄN</t>
        </is>
      </c>
      <c r="E8910" t="inlineStr">
        <is>
          <t>HUDIKSVALL</t>
        </is>
      </c>
      <c r="F8910" t="inlineStr">
        <is>
          <t>Holmen skog AB</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53525-2023</t>
        </is>
      </c>
      <c r="B8911" s="1" t="n">
        <v>45230</v>
      </c>
      <c r="C8911" s="1" t="n">
        <v>45677</v>
      </c>
      <c r="D8911" t="inlineStr">
        <is>
          <t>GÄVLEBORGS LÄN</t>
        </is>
      </c>
      <c r="E8911" t="inlineStr">
        <is>
          <t>OVANÅKER</t>
        </is>
      </c>
      <c r="F8911" t="inlineStr">
        <is>
          <t>Bergvik skog öst AB</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53510-2023</t>
        </is>
      </c>
      <c r="B8912" s="1" t="n">
        <v>45230</v>
      </c>
      <c r="C8912" s="1" t="n">
        <v>45677</v>
      </c>
      <c r="D8912" t="inlineStr">
        <is>
          <t>GÄVLEBORGS LÄN</t>
        </is>
      </c>
      <c r="E8912" t="inlineStr">
        <is>
          <t>OVANÅKER</t>
        </is>
      </c>
      <c r="F8912" t="inlineStr">
        <is>
          <t>Bergvik skog öst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53694-2023</t>
        </is>
      </c>
      <c r="B8913" s="1" t="n">
        <v>45230</v>
      </c>
      <c r="C8913" s="1" t="n">
        <v>45677</v>
      </c>
      <c r="D8913" t="inlineStr">
        <is>
          <t>GÄVLEBORGS LÄN</t>
        </is>
      </c>
      <c r="E8913" t="inlineStr">
        <is>
          <t>HUDIKSVALL</t>
        </is>
      </c>
      <c r="F8913" t="inlineStr">
        <is>
          <t>Holmen skog AB</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53663-2023</t>
        </is>
      </c>
      <c r="B8914" s="1" t="n">
        <v>45230</v>
      </c>
      <c r="C8914" s="1" t="n">
        <v>45677</v>
      </c>
      <c r="D8914" t="inlineStr">
        <is>
          <t>GÄVLEBORGS LÄN</t>
        </is>
      </c>
      <c r="E8914" t="inlineStr">
        <is>
          <t>BOLLNÄS</t>
        </is>
      </c>
      <c r="F8914" t="inlineStr">
        <is>
          <t>Bergvik skog väst AB</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53488-2023</t>
        </is>
      </c>
      <c r="B8915" s="1" t="n">
        <v>45230</v>
      </c>
      <c r="C8915" s="1" t="n">
        <v>45677</v>
      </c>
      <c r="D8915" t="inlineStr">
        <is>
          <t>GÄVLEBORGS LÄN</t>
        </is>
      </c>
      <c r="E8915" t="inlineStr">
        <is>
          <t>OCKELBO</t>
        </is>
      </c>
      <c r="F8915" t="inlineStr">
        <is>
          <t>Bergvik skog väst AB</t>
        </is>
      </c>
      <c r="G8915" t="n">
        <v>13.3</v>
      </c>
      <c r="H8915" t="n">
        <v>0</v>
      </c>
      <c r="I8915" t="n">
        <v>0</v>
      </c>
      <c r="J8915" t="n">
        <v>0</v>
      </c>
      <c r="K8915" t="n">
        <v>0</v>
      </c>
      <c r="L8915" t="n">
        <v>0</v>
      </c>
      <c r="M8915" t="n">
        <v>0</v>
      </c>
      <c r="N8915" t="n">
        <v>0</v>
      </c>
      <c r="O8915" t="n">
        <v>0</v>
      </c>
      <c r="P8915" t="n">
        <v>0</v>
      </c>
      <c r="Q8915" t="n">
        <v>0</v>
      </c>
      <c r="R8915" s="2" t="inlineStr"/>
    </row>
    <row r="8916" ht="15" customHeight="1">
      <c r="A8916" t="inlineStr">
        <is>
          <t>A 53478-2023</t>
        </is>
      </c>
      <c r="B8916" s="1" t="n">
        <v>45230</v>
      </c>
      <c r="C8916" s="1" t="n">
        <v>45677</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53461-2023</t>
        </is>
      </c>
      <c r="B8917" s="1" t="n">
        <v>45230</v>
      </c>
      <c r="C8917" s="1" t="n">
        <v>45677</v>
      </c>
      <c r="D8917" t="inlineStr">
        <is>
          <t>GÄVLEBORGS LÄN</t>
        </is>
      </c>
      <c r="E8917" t="inlineStr">
        <is>
          <t>LJUSDAL</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53463-2023</t>
        </is>
      </c>
      <c r="B8918" s="1" t="n">
        <v>45230</v>
      </c>
      <c r="C8918" s="1" t="n">
        <v>45677</v>
      </c>
      <c r="D8918" t="inlineStr">
        <is>
          <t>GÄVLEBORGS LÄN</t>
        </is>
      </c>
      <c r="E8918" t="inlineStr">
        <is>
          <t>LJUSDAL</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55182-2023</t>
        </is>
      </c>
      <c r="B8919" s="1" t="n">
        <v>45230</v>
      </c>
      <c r="C8919" s="1" t="n">
        <v>45677</v>
      </c>
      <c r="D8919" t="inlineStr">
        <is>
          <t>GÄVLEBORGS LÄN</t>
        </is>
      </c>
      <c r="E8919" t="inlineStr">
        <is>
          <t>HUDIKSVALL</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53790-2023</t>
        </is>
      </c>
      <c r="B8920" s="1" t="n">
        <v>45231</v>
      </c>
      <c r="C8920" s="1" t="n">
        <v>45677</v>
      </c>
      <c r="D8920" t="inlineStr">
        <is>
          <t>GÄVLEBORGS LÄN</t>
        </is>
      </c>
      <c r="E8920" t="inlineStr">
        <is>
          <t>BOLLNÄS</t>
        </is>
      </c>
      <c r="F8920" t="inlineStr">
        <is>
          <t>Sveaskog</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53818-2023</t>
        </is>
      </c>
      <c r="B8921" s="1" t="n">
        <v>45231</v>
      </c>
      <c r="C8921" s="1" t="n">
        <v>45677</v>
      </c>
      <c r="D8921" t="inlineStr">
        <is>
          <t>GÄVLEBORGS LÄN</t>
        </is>
      </c>
      <c r="E8921" t="inlineStr">
        <is>
          <t>OVANÅKER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53828-2023</t>
        </is>
      </c>
      <c r="B8922" s="1" t="n">
        <v>45231</v>
      </c>
      <c r="C8922" s="1" t="n">
        <v>45677</v>
      </c>
      <c r="D8922" t="inlineStr">
        <is>
          <t>GÄVLEBORGS LÄN</t>
        </is>
      </c>
      <c r="E8922" t="inlineStr">
        <is>
          <t>BOLLNÄS</t>
        </is>
      </c>
      <c r="F8922" t="inlineStr">
        <is>
          <t>Sveaskog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53884-2023</t>
        </is>
      </c>
      <c r="B8923" s="1" t="n">
        <v>45231</v>
      </c>
      <c r="C8923" s="1" t="n">
        <v>45677</v>
      </c>
      <c r="D8923" t="inlineStr">
        <is>
          <t>GÄVLEBORGS LÄN</t>
        </is>
      </c>
      <c r="E8923" t="inlineStr">
        <is>
          <t>SANDVIKEN</t>
        </is>
      </c>
      <c r="F8923" t="inlineStr">
        <is>
          <t>Sveaskog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53889-2023</t>
        </is>
      </c>
      <c r="B8924" s="1" t="n">
        <v>45231</v>
      </c>
      <c r="C8924" s="1" t="n">
        <v>45677</v>
      </c>
      <c r="D8924" t="inlineStr">
        <is>
          <t>GÄVLEBORGS LÄN</t>
        </is>
      </c>
      <c r="E8924" t="inlineStr">
        <is>
          <t>SANDVIKEN</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53785-2023</t>
        </is>
      </c>
      <c r="B8925" s="1" t="n">
        <v>45231</v>
      </c>
      <c r="C8925" s="1" t="n">
        <v>45677</v>
      </c>
      <c r="D8925" t="inlineStr">
        <is>
          <t>GÄVLEBORGS LÄN</t>
        </is>
      </c>
      <c r="E8925" t="inlineStr">
        <is>
          <t>LJUSDAL</t>
        </is>
      </c>
      <c r="F8925" t="inlineStr">
        <is>
          <t>Allmännings- och besparingsskogar</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53783-2023</t>
        </is>
      </c>
      <c r="B8926" s="1" t="n">
        <v>45231</v>
      </c>
      <c r="C8926" s="1" t="n">
        <v>45677</v>
      </c>
      <c r="D8926" t="inlineStr">
        <is>
          <t>GÄVLEBORGS LÄN</t>
        </is>
      </c>
      <c r="E8926" t="inlineStr">
        <is>
          <t>BOLLNÄS</t>
        </is>
      </c>
      <c r="F8926" t="inlineStr">
        <is>
          <t>Sveaskog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53867-2023</t>
        </is>
      </c>
      <c r="B8927" s="1" t="n">
        <v>45231</v>
      </c>
      <c r="C8927" s="1" t="n">
        <v>45677</v>
      </c>
      <c r="D8927" t="inlineStr">
        <is>
          <t>GÄVLEBORGS LÄN</t>
        </is>
      </c>
      <c r="E8927" t="inlineStr">
        <is>
          <t>LJUSDAL</t>
        </is>
      </c>
      <c r="F8927" t="inlineStr">
        <is>
          <t>Allmännings- och besparingsskogar</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53873-2023</t>
        </is>
      </c>
      <c r="B8928" s="1" t="n">
        <v>45231</v>
      </c>
      <c r="C8928" s="1" t="n">
        <v>45677</v>
      </c>
      <c r="D8928" t="inlineStr">
        <is>
          <t>GÄVLEBORGS LÄN</t>
        </is>
      </c>
      <c r="E8928" t="inlineStr">
        <is>
          <t>LJUSDAL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53912-2023</t>
        </is>
      </c>
      <c r="B8929" s="1" t="n">
        <v>45231</v>
      </c>
      <c r="C8929" s="1" t="n">
        <v>45677</v>
      </c>
      <c r="D8929" t="inlineStr">
        <is>
          <t>GÄVLEBORGS LÄN</t>
        </is>
      </c>
      <c r="E8929" t="inlineStr">
        <is>
          <t>HUDIKSVALL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54004-2023</t>
        </is>
      </c>
      <c r="B8930" s="1" t="n">
        <v>45231</v>
      </c>
      <c r="C8930" s="1" t="n">
        <v>45677</v>
      </c>
      <c r="D8930" t="inlineStr">
        <is>
          <t>GÄVLEBORGS LÄN</t>
        </is>
      </c>
      <c r="E8930" t="inlineStr">
        <is>
          <t>NORDANSTIG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53948-2023</t>
        </is>
      </c>
      <c r="B8931" s="1" t="n">
        <v>45231</v>
      </c>
      <c r="C8931" s="1" t="n">
        <v>45677</v>
      </c>
      <c r="D8931" t="inlineStr">
        <is>
          <t>GÄVLEBORGS LÄN</t>
        </is>
      </c>
      <c r="E8931" t="inlineStr">
        <is>
          <t>LJUSDAL</t>
        </is>
      </c>
      <c r="F8931" t="inlineStr">
        <is>
          <t>Holmen skog AB</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53969-2023</t>
        </is>
      </c>
      <c r="B8932" s="1" t="n">
        <v>45231</v>
      </c>
      <c r="C8932" s="1" t="n">
        <v>45677</v>
      </c>
      <c r="D8932" t="inlineStr">
        <is>
          <t>GÄVLEBORGS LÄN</t>
        </is>
      </c>
      <c r="E8932" t="inlineStr">
        <is>
          <t>NORDANSTIG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54007-2023</t>
        </is>
      </c>
      <c r="B8933" s="1" t="n">
        <v>45231</v>
      </c>
      <c r="C8933" s="1" t="n">
        <v>45677</v>
      </c>
      <c r="D8933" t="inlineStr">
        <is>
          <t>GÄVLEBORGS LÄN</t>
        </is>
      </c>
      <c r="E8933" t="inlineStr">
        <is>
          <t>SÖDERHAMN</t>
        </is>
      </c>
      <c r="F8933" t="inlineStr">
        <is>
          <t>Kommuner</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53796-2023</t>
        </is>
      </c>
      <c r="B8934" s="1" t="n">
        <v>45231</v>
      </c>
      <c r="C8934" s="1" t="n">
        <v>45677</v>
      </c>
      <c r="D8934" t="inlineStr">
        <is>
          <t>GÄVLEBORGS LÄN</t>
        </is>
      </c>
      <c r="E8934" t="inlineStr">
        <is>
          <t>HUDIKSVALL</t>
        </is>
      </c>
      <c r="G8934" t="n">
        <v>17.6</v>
      </c>
      <c r="H8934" t="n">
        <v>0</v>
      </c>
      <c r="I8934" t="n">
        <v>0</v>
      </c>
      <c r="J8934" t="n">
        <v>0</v>
      </c>
      <c r="K8934" t="n">
        <v>0</v>
      </c>
      <c r="L8934" t="n">
        <v>0</v>
      </c>
      <c r="M8934" t="n">
        <v>0</v>
      </c>
      <c r="N8934" t="n">
        <v>0</v>
      </c>
      <c r="O8934" t="n">
        <v>0</v>
      </c>
      <c r="P8934" t="n">
        <v>0</v>
      </c>
      <c r="Q8934" t="n">
        <v>0</v>
      </c>
      <c r="R8934" s="2" t="inlineStr"/>
    </row>
    <row r="8935" ht="15" customHeight="1">
      <c r="A8935" t="inlineStr">
        <is>
          <t>A 53831-2023</t>
        </is>
      </c>
      <c r="B8935" s="1" t="n">
        <v>45231</v>
      </c>
      <c r="C8935" s="1" t="n">
        <v>45677</v>
      </c>
      <c r="D8935" t="inlineStr">
        <is>
          <t>GÄVLEBORGS LÄN</t>
        </is>
      </c>
      <c r="E8935" t="inlineStr">
        <is>
          <t>LJUSDAL</t>
        </is>
      </c>
      <c r="F8935" t="inlineStr">
        <is>
          <t>Allmännings- och besparingsskogar</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53845-2023</t>
        </is>
      </c>
      <c r="B8936" s="1" t="n">
        <v>45231</v>
      </c>
      <c r="C8936" s="1" t="n">
        <v>45677</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53852-2023</t>
        </is>
      </c>
      <c r="B8937" s="1" t="n">
        <v>45231</v>
      </c>
      <c r="C8937" s="1" t="n">
        <v>45677</v>
      </c>
      <c r="D8937" t="inlineStr">
        <is>
          <t>GÄVLEBORGS LÄN</t>
        </is>
      </c>
      <c r="E8937" t="inlineStr">
        <is>
          <t>LJUSDAL</t>
        </is>
      </c>
      <c r="G8937" t="n">
        <v>0.1</v>
      </c>
      <c r="H8937" t="n">
        <v>0</v>
      </c>
      <c r="I8937" t="n">
        <v>0</v>
      </c>
      <c r="J8937" t="n">
        <v>0</v>
      </c>
      <c r="K8937" t="n">
        <v>0</v>
      </c>
      <c r="L8937" t="n">
        <v>0</v>
      </c>
      <c r="M8937" t="n">
        <v>0</v>
      </c>
      <c r="N8937" t="n">
        <v>0</v>
      </c>
      <c r="O8937" t="n">
        <v>0</v>
      </c>
      <c r="P8937" t="n">
        <v>0</v>
      </c>
      <c r="Q8937" t="n">
        <v>0</v>
      </c>
      <c r="R8937" s="2" t="inlineStr"/>
    </row>
    <row r="8938" ht="15" customHeight="1">
      <c r="A8938" t="inlineStr">
        <is>
          <t>A 53857-2023</t>
        </is>
      </c>
      <c r="B8938" s="1" t="n">
        <v>45231</v>
      </c>
      <c r="C8938" s="1" t="n">
        <v>45677</v>
      </c>
      <c r="D8938" t="inlineStr">
        <is>
          <t>GÄVLEBORGS LÄN</t>
        </is>
      </c>
      <c r="E8938" t="inlineStr">
        <is>
          <t>LJUSDAL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53868-2023</t>
        </is>
      </c>
      <c r="B8939" s="1" t="n">
        <v>45231</v>
      </c>
      <c r="C8939" s="1" t="n">
        <v>45677</v>
      </c>
      <c r="D8939" t="inlineStr">
        <is>
          <t>GÄVLEBORGS LÄN</t>
        </is>
      </c>
      <c r="E8939" t="inlineStr">
        <is>
          <t>NORDANSTIG</t>
        </is>
      </c>
      <c r="F8939" t="inlineStr">
        <is>
          <t>Holmen skog AB</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53905-2023</t>
        </is>
      </c>
      <c r="B8940" s="1" t="n">
        <v>45231</v>
      </c>
      <c r="C8940" s="1" t="n">
        <v>45677</v>
      </c>
      <c r="D8940" t="inlineStr">
        <is>
          <t>GÄVLEBORGS LÄN</t>
        </is>
      </c>
      <c r="E8940" t="inlineStr">
        <is>
          <t>HUDIKSVALL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53988-2023</t>
        </is>
      </c>
      <c r="B8941" s="1" t="n">
        <v>45231</v>
      </c>
      <c r="C8941" s="1" t="n">
        <v>45677</v>
      </c>
      <c r="D8941" t="inlineStr">
        <is>
          <t>GÄVLEBORGS LÄN</t>
        </is>
      </c>
      <c r="E8941" t="inlineStr">
        <is>
          <t>NORDANSTIG</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53997-2023</t>
        </is>
      </c>
      <c r="B8942" s="1" t="n">
        <v>45231</v>
      </c>
      <c r="C8942" s="1" t="n">
        <v>45677</v>
      </c>
      <c r="D8942" t="inlineStr">
        <is>
          <t>GÄVLEBORGS LÄN</t>
        </is>
      </c>
      <c r="E8942" t="inlineStr">
        <is>
          <t>NORDANSTIG</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55473-2023</t>
        </is>
      </c>
      <c r="B8943" s="1" t="n">
        <v>45231</v>
      </c>
      <c r="C8943" s="1" t="n">
        <v>45677</v>
      </c>
      <c r="D8943" t="inlineStr">
        <is>
          <t>GÄVLEBORGS LÄN</t>
        </is>
      </c>
      <c r="E8943" t="inlineStr">
        <is>
          <t>GÄVLE</t>
        </is>
      </c>
      <c r="F8943" t="inlineStr">
        <is>
          <t>Bergvik skog väst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53821-2023</t>
        </is>
      </c>
      <c r="B8944" s="1" t="n">
        <v>45231</v>
      </c>
      <c r="C8944" s="1" t="n">
        <v>45677</v>
      </c>
      <c r="D8944" t="inlineStr">
        <is>
          <t>GÄVLEBORGS LÄN</t>
        </is>
      </c>
      <c r="E8944" t="inlineStr">
        <is>
          <t>OVANÅKER</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53826-2023</t>
        </is>
      </c>
      <c r="B8945" s="1" t="n">
        <v>45231</v>
      </c>
      <c r="C8945" s="1" t="n">
        <v>45677</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53926-2023</t>
        </is>
      </c>
      <c r="B8946" s="1" t="n">
        <v>45231</v>
      </c>
      <c r="C8946" s="1" t="n">
        <v>45677</v>
      </c>
      <c r="D8946" t="inlineStr">
        <is>
          <t>GÄVLEBORGS LÄN</t>
        </is>
      </c>
      <c r="E8946" t="inlineStr">
        <is>
          <t>OVANÅKER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54119-2023</t>
        </is>
      </c>
      <c r="B8947" s="1" t="n">
        <v>45232</v>
      </c>
      <c r="C8947" s="1" t="n">
        <v>45677</v>
      </c>
      <c r="D8947" t="inlineStr">
        <is>
          <t>GÄVLEBORGS LÄN</t>
        </is>
      </c>
      <c r="E8947" t="inlineStr">
        <is>
          <t>GÄVLE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54140-2023</t>
        </is>
      </c>
      <c r="B8948" s="1" t="n">
        <v>45232</v>
      </c>
      <c r="C8948" s="1" t="n">
        <v>45677</v>
      </c>
      <c r="D8948" t="inlineStr">
        <is>
          <t>GÄVLEBORGS LÄN</t>
        </is>
      </c>
      <c r="E8948" t="inlineStr">
        <is>
          <t>SANDVIKEN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54149-2023</t>
        </is>
      </c>
      <c r="B8949" s="1" t="n">
        <v>45232</v>
      </c>
      <c r="C8949" s="1" t="n">
        <v>45677</v>
      </c>
      <c r="D8949" t="inlineStr">
        <is>
          <t>GÄVLEBORGS LÄN</t>
        </is>
      </c>
      <c r="E8949" t="inlineStr">
        <is>
          <t>HOFORS</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54197-2023</t>
        </is>
      </c>
      <c r="B8950" s="1" t="n">
        <v>45232</v>
      </c>
      <c r="C8950" s="1" t="n">
        <v>45677</v>
      </c>
      <c r="D8950" t="inlineStr">
        <is>
          <t>GÄVLEBORGS LÄN</t>
        </is>
      </c>
      <c r="E8950" t="inlineStr">
        <is>
          <t>NORDANSTIG</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54147-2023</t>
        </is>
      </c>
      <c r="B8951" s="1" t="n">
        <v>45232</v>
      </c>
      <c r="C8951" s="1" t="n">
        <v>45677</v>
      </c>
      <c r="D8951" t="inlineStr">
        <is>
          <t>GÄVLEBORGS LÄN</t>
        </is>
      </c>
      <c r="E8951" t="inlineStr">
        <is>
          <t>GÄVLE</t>
        </is>
      </c>
      <c r="F8951" t="inlineStr">
        <is>
          <t>Bergvik skog öst AB</t>
        </is>
      </c>
      <c r="G8951" t="n">
        <v>12.3</v>
      </c>
      <c r="H8951" t="n">
        <v>0</v>
      </c>
      <c r="I8951" t="n">
        <v>0</v>
      </c>
      <c r="J8951" t="n">
        <v>0</v>
      </c>
      <c r="K8951" t="n">
        <v>0</v>
      </c>
      <c r="L8951" t="n">
        <v>0</v>
      </c>
      <c r="M8951" t="n">
        <v>0</v>
      </c>
      <c r="N8951" t="n">
        <v>0</v>
      </c>
      <c r="O8951" t="n">
        <v>0</v>
      </c>
      <c r="P8951" t="n">
        <v>0</v>
      </c>
      <c r="Q8951" t="n">
        <v>0</v>
      </c>
      <c r="R8951" s="2" t="inlineStr"/>
    </row>
    <row r="8952" ht="15" customHeight="1">
      <c r="A8952" t="inlineStr">
        <is>
          <t>A 54167-2023</t>
        </is>
      </c>
      <c r="B8952" s="1" t="n">
        <v>45232</v>
      </c>
      <c r="C8952" s="1" t="n">
        <v>45677</v>
      </c>
      <c r="D8952" t="inlineStr">
        <is>
          <t>GÄVLEBORGS LÄN</t>
        </is>
      </c>
      <c r="E8952" t="inlineStr">
        <is>
          <t>LJUSDAL</t>
        </is>
      </c>
      <c r="F8952" t="inlineStr">
        <is>
          <t>Sveaskog</t>
        </is>
      </c>
      <c r="G8952" t="n">
        <v>20.5</v>
      </c>
      <c r="H8952" t="n">
        <v>0</v>
      </c>
      <c r="I8952" t="n">
        <v>0</v>
      </c>
      <c r="J8952" t="n">
        <v>0</v>
      </c>
      <c r="K8952" t="n">
        <v>0</v>
      </c>
      <c r="L8952" t="n">
        <v>0</v>
      </c>
      <c r="M8952" t="n">
        <v>0</v>
      </c>
      <c r="N8952" t="n">
        <v>0</v>
      </c>
      <c r="O8952" t="n">
        <v>0</v>
      </c>
      <c r="P8952" t="n">
        <v>0</v>
      </c>
      <c r="Q8952" t="n">
        <v>0</v>
      </c>
      <c r="R8952" s="2" t="inlineStr"/>
    </row>
    <row r="8953" ht="15" customHeight="1">
      <c r="A8953" t="inlineStr">
        <is>
          <t>A 54202-2023</t>
        </is>
      </c>
      <c r="B8953" s="1" t="n">
        <v>45232</v>
      </c>
      <c r="C8953" s="1" t="n">
        <v>45677</v>
      </c>
      <c r="D8953" t="inlineStr">
        <is>
          <t>GÄVLEBORGS LÄN</t>
        </is>
      </c>
      <c r="E8953" t="inlineStr">
        <is>
          <t>GÄVLE</t>
        </is>
      </c>
      <c r="F8953" t="inlineStr">
        <is>
          <t>Bergvik skog väst AB</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54207-2023</t>
        </is>
      </c>
      <c r="B8954" s="1" t="n">
        <v>45232</v>
      </c>
      <c r="C8954" s="1" t="n">
        <v>45677</v>
      </c>
      <c r="D8954" t="inlineStr">
        <is>
          <t>GÄVLEBORGS LÄN</t>
        </is>
      </c>
      <c r="E8954" t="inlineStr">
        <is>
          <t>GÄVLE</t>
        </is>
      </c>
      <c r="F8954" t="inlineStr">
        <is>
          <t>Bergvik skog väst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54090-2023</t>
        </is>
      </c>
      <c r="B8955" s="1" t="n">
        <v>45232</v>
      </c>
      <c r="C8955" s="1" t="n">
        <v>45677</v>
      </c>
      <c r="D8955" t="inlineStr">
        <is>
          <t>GÄVLEBORGS LÄN</t>
        </is>
      </c>
      <c r="E8955" t="inlineStr">
        <is>
          <t>LJUSDAL</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54106-2023</t>
        </is>
      </c>
      <c r="B8956" s="1" t="n">
        <v>45232</v>
      </c>
      <c r="C8956" s="1" t="n">
        <v>45677</v>
      </c>
      <c r="D8956" t="inlineStr">
        <is>
          <t>GÄVLEBORGS LÄN</t>
        </is>
      </c>
      <c r="E8956" t="inlineStr">
        <is>
          <t>SANDVIKEN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54203-2023</t>
        </is>
      </c>
      <c r="B8957" s="1" t="n">
        <v>45232</v>
      </c>
      <c r="C8957" s="1" t="n">
        <v>45677</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54235-2023</t>
        </is>
      </c>
      <c r="B8958" s="1" t="n">
        <v>45232</v>
      </c>
      <c r="C8958" s="1" t="n">
        <v>45677</v>
      </c>
      <c r="D8958" t="inlineStr">
        <is>
          <t>GÄVLEBORGS LÄN</t>
        </is>
      </c>
      <c r="E8958" t="inlineStr">
        <is>
          <t>OCKELBO</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54126-2023</t>
        </is>
      </c>
      <c r="B8959" s="1" t="n">
        <v>45232</v>
      </c>
      <c r="C8959" s="1" t="n">
        <v>45677</v>
      </c>
      <c r="D8959" t="inlineStr">
        <is>
          <t>GÄVLEBORGS LÄN</t>
        </is>
      </c>
      <c r="E8959" t="inlineStr">
        <is>
          <t>GÄVLE</t>
        </is>
      </c>
      <c r="F8959" t="inlineStr">
        <is>
          <t>Bergvik skog öst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54157-2023</t>
        </is>
      </c>
      <c r="B8960" s="1" t="n">
        <v>45232</v>
      </c>
      <c r="C8960" s="1" t="n">
        <v>45677</v>
      </c>
      <c r="D8960" t="inlineStr">
        <is>
          <t>GÄVLEBORGS LÄN</t>
        </is>
      </c>
      <c r="E8960" t="inlineStr">
        <is>
          <t>GÄVLE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54304-2023</t>
        </is>
      </c>
      <c r="B8961" s="1" t="n">
        <v>45232</v>
      </c>
      <c r="C8961" s="1" t="n">
        <v>45677</v>
      </c>
      <c r="D8961" t="inlineStr">
        <is>
          <t>GÄVLEBORGS LÄN</t>
        </is>
      </c>
      <c r="E8961" t="inlineStr">
        <is>
          <t>HUDIKSVALL</t>
        </is>
      </c>
      <c r="F8961" t="inlineStr">
        <is>
          <t>Holmen skog AB</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54173-2023</t>
        </is>
      </c>
      <c r="B8962" s="1" t="n">
        <v>45232</v>
      </c>
      <c r="C8962" s="1" t="n">
        <v>45677</v>
      </c>
      <c r="D8962" t="inlineStr">
        <is>
          <t>GÄVLEBORGS LÄN</t>
        </is>
      </c>
      <c r="E8962" t="inlineStr">
        <is>
          <t>HUDIKSVALL</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54205-2023</t>
        </is>
      </c>
      <c r="B8963" s="1" t="n">
        <v>45232</v>
      </c>
      <c r="C8963" s="1" t="n">
        <v>45677</v>
      </c>
      <c r="D8963" t="inlineStr">
        <is>
          <t>GÄVLEBORGS LÄN</t>
        </is>
      </c>
      <c r="E8963" t="inlineStr">
        <is>
          <t>NORDANSTIG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54225-2023</t>
        </is>
      </c>
      <c r="B8964" s="1" t="n">
        <v>45232</v>
      </c>
      <c r="C8964" s="1" t="n">
        <v>45677</v>
      </c>
      <c r="D8964" t="inlineStr">
        <is>
          <t>GÄVLEBORGS LÄN</t>
        </is>
      </c>
      <c r="E8964" t="inlineStr">
        <is>
          <t>HUDIKSVALL</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54349-2023</t>
        </is>
      </c>
      <c r="B8965" s="1" t="n">
        <v>45232</v>
      </c>
      <c r="C8965" s="1" t="n">
        <v>45677</v>
      </c>
      <c r="D8965" t="inlineStr">
        <is>
          <t>GÄVLEBORGS LÄN</t>
        </is>
      </c>
      <c r="E8965" t="inlineStr">
        <is>
          <t>NORDANSTIG</t>
        </is>
      </c>
      <c r="F8965" t="inlineStr">
        <is>
          <t>SCA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54353-2023</t>
        </is>
      </c>
      <c r="B8966" s="1" t="n">
        <v>45233</v>
      </c>
      <c r="C8966" s="1" t="n">
        <v>45677</v>
      </c>
      <c r="D8966" t="inlineStr">
        <is>
          <t>GÄVLEBORGS LÄN</t>
        </is>
      </c>
      <c r="E8966" t="inlineStr">
        <is>
          <t>NORDANSTIG</t>
        </is>
      </c>
      <c r="F8966" t="inlineStr">
        <is>
          <t>SCA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54171-2023</t>
        </is>
      </c>
      <c r="B8967" s="1" t="n">
        <v>45232</v>
      </c>
      <c r="C8967" s="1" t="n">
        <v>45677</v>
      </c>
      <c r="D8967" t="inlineStr">
        <is>
          <t>GÄVLEBORGS LÄN</t>
        </is>
      </c>
      <c r="E8967" t="inlineStr">
        <is>
          <t>HUDIKSVALL</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54183-2023</t>
        </is>
      </c>
      <c r="B8968" s="1" t="n">
        <v>45232</v>
      </c>
      <c r="C8968" s="1" t="n">
        <v>45677</v>
      </c>
      <c r="D8968" t="inlineStr">
        <is>
          <t>GÄVLEBORGS LÄN</t>
        </is>
      </c>
      <c r="E8968" t="inlineStr">
        <is>
          <t>GÄVLE</t>
        </is>
      </c>
      <c r="F8968" t="inlineStr">
        <is>
          <t>Bergvik skog öst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54200-2023</t>
        </is>
      </c>
      <c r="B8969" s="1" t="n">
        <v>45232</v>
      </c>
      <c r="C8969" s="1" t="n">
        <v>45677</v>
      </c>
      <c r="D8969" t="inlineStr">
        <is>
          <t>GÄVLEBORGS LÄN</t>
        </is>
      </c>
      <c r="E8969" t="inlineStr">
        <is>
          <t>NORDANSTIG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54209-2023</t>
        </is>
      </c>
      <c r="B8970" s="1" t="n">
        <v>45232</v>
      </c>
      <c r="C8970" s="1" t="n">
        <v>45677</v>
      </c>
      <c r="D8970" t="inlineStr">
        <is>
          <t>GÄVLEBORGS LÄN</t>
        </is>
      </c>
      <c r="E8970" t="inlineStr">
        <is>
          <t>BOLLNÄS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54219-2023</t>
        </is>
      </c>
      <c r="B8971" s="1" t="n">
        <v>45232</v>
      </c>
      <c r="C8971" s="1" t="n">
        <v>45677</v>
      </c>
      <c r="D8971" t="inlineStr">
        <is>
          <t>GÄVLEBORGS LÄN</t>
        </is>
      </c>
      <c r="E8971" t="inlineStr">
        <is>
          <t>HUDIKSVALL</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54236-2023</t>
        </is>
      </c>
      <c r="B8972" s="1" t="n">
        <v>45232</v>
      </c>
      <c r="C8972" s="1" t="n">
        <v>45677</v>
      </c>
      <c r="D8972" t="inlineStr">
        <is>
          <t>GÄVLEBORGS LÄN</t>
        </is>
      </c>
      <c r="E8972" t="inlineStr">
        <is>
          <t>BOLLNÄS</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54248-2023</t>
        </is>
      </c>
      <c r="B8973" s="1" t="n">
        <v>45232</v>
      </c>
      <c r="C8973" s="1" t="n">
        <v>45677</v>
      </c>
      <c r="D8973" t="inlineStr">
        <is>
          <t>GÄVLEBORGS LÄN</t>
        </is>
      </c>
      <c r="E8973" t="inlineStr">
        <is>
          <t>BOLLNÄS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54268-2023</t>
        </is>
      </c>
      <c r="B8974" s="1" t="n">
        <v>45232</v>
      </c>
      <c r="C8974" s="1" t="n">
        <v>45677</v>
      </c>
      <c r="D8974" t="inlineStr">
        <is>
          <t>GÄVLEBORGS LÄN</t>
        </is>
      </c>
      <c r="E8974" t="inlineStr">
        <is>
          <t>GÄVLE</t>
        </is>
      </c>
      <c r="F8974" t="inlineStr">
        <is>
          <t>Bergvik skog väst AB</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54595-2023</t>
        </is>
      </c>
      <c r="B8975" s="1" t="n">
        <v>45233</v>
      </c>
      <c r="C8975" s="1" t="n">
        <v>45677</v>
      </c>
      <c r="D8975" t="inlineStr">
        <is>
          <t>GÄVLEBORGS LÄN</t>
        </is>
      </c>
      <c r="E8975" t="inlineStr">
        <is>
          <t>LJUSDAL</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54467-2023</t>
        </is>
      </c>
      <c r="B8976" s="1" t="n">
        <v>45233</v>
      </c>
      <c r="C8976" s="1" t="n">
        <v>45677</v>
      </c>
      <c r="D8976" t="inlineStr">
        <is>
          <t>GÄVLEBORGS LÄN</t>
        </is>
      </c>
      <c r="E8976" t="inlineStr">
        <is>
          <t>HUDIKSVALL</t>
        </is>
      </c>
      <c r="G8976" t="n">
        <v>8</v>
      </c>
      <c r="H8976" t="n">
        <v>0</v>
      </c>
      <c r="I8976" t="n">
        <v>0</v>
      </c>
      <c r="J8976" t="n">
        <v>0</v>
      </c>
      <c r="K8976" t="n">
        <v>0</v>
      </c>
      <c r="L8976" t="n">
        <v>0</v>
      </c>
      <c r="M8976" t="n">
        <v>0</v>
      </c>
      <c r="N8976" t="n">
        <v>0</v>
      </c>
      <c r="O8976" t="n">
        <v>0</v>
      </c>
      <c r="P8976" t="n">
        <v>0</v>
      </c>
      <c r="Q8976" t="n">
        <v>0</v>
      </c>
      <c r="R8976" s="2" t="inlineStr"/>
    </row>
    <row r="8977" ht="15" customHeight="1">
      <c r="A8977" t="inlineStr">
        <is>
          <t>A 54559-2023</t>
        </is>
      </c>
      <c r="B8977" s="1" t="n">
        <v>45233</v>
      </c>
      <c r="C8977" s="1" t="n">
        <v>45677</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54396-2023</t>
        </is>
      </c>
      <c r="B8978" s="1" t="n">
        <v>45233</v>
      </c>
      <c r="C8978" s="1" t="n">
        <v>45677</v>
      </c>
      <c r="D8978" t="inlineStr">
        <is>
          <t>GÄVLEBORGS LÄN</t>
        </is>
      </c>
      <c r="E8978" t="inlineStr">
        <is>
          <t>NORDANSTIG</t>
        </is>
      </c>
      <c r="F8978" t="inlineStr">
        <is>
          <t>Holmen skog AB</t>
        </is>
      </c>
      <c r="G8978" t="n">
        <v>9.1</v>
      </c>
      <c r="H8978" t="n">
        <v>0</v>
      </c>
      <c r="I8978" t="n">
        <v>0</v>
      </c>
      <c r="J8978" t="n">
        <v>0</v>
      </c>
      <c r="K8978" t="n">
        <v>0</v>
      </c>
      <c r="L8978" t="n">
        <v>0</v>
      </c>
      <c r="M8978" t="n">
        <v>0</v>
      </c>
      <c r="N8978" t="n">
        <v>0</v>
      </c>
      <c r="O8978" t="n">
        <v>0</v>
      </c>
      <c r="P8978" t="n">
        <v>0</v>
      </c>
      <c r="Q8978" t="n">
        <v>0</v>
      </c>
      <c r="R8978" s="2" t="inlineStr"/>
    </row>
    <row r="8979" ht="15" customHeight="1">
      <c r="A8979" t="inlineStr">
        <is>
          <t>A 54426-2023</t>
        </is>
      </c>
      <c r="B8979" s="1" t="n">
        <v>45233</v>
      </c>
      <c r="C8979" s="1" t="n">
        <v>45677</v>
      </c>
      <c r="D8979" t="inlineStr">
        <is>
          <t>GÄVLEBORGS LÄN</t>
        </is>
      </c>
      <c r="E8979" t="inlineStr">
        <is>
          <t>BOLLNÄS</t>
        </is>
      </c>
      <c r="F8979" t="inlineStr">
        <is>
          <t>Sveaskog</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54425-2023</t>
        </is>
      </c>
      <c r="B8980" s="1" t="n">
        <v>45233</v>
      </c>
      <c r="C8980" s="1" t="n">
        <v>45677</v>
      </c>
      <c r="D8980" t="inlineStr">
        <is>
          <t>GÄVLEBORGS LÄN</t>
        </is>
      </c>
      <c r="E8980" t="inlineStr">
        <is>
          <t>BOLLNÄS</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54625-2023</t>
        </is>
      </c>
      <c r="B8981" s="1" t="n">
        <v>45234</v>
      </c>
      <c r="C8981" s="1" t="n">
        <v>45677</v>
      </c>
      <c r="D8981" t="inlineStr">
        <is>
          <t>GÄVLEBORGS LÄN</t>
        </is>
      </c>
      <c r="E8981" t="inlineStr">
        <is>
          <t>HUDIKSVALL</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54705-2023</t>
        </is>
      </c>
      <c r="B8982" s="1" t="n">
        <v>45236</v>
      </c>
      <c r="C8982" s="1" t="n">
        <v>45677</v>
      </c>
      <c r="D8982" t="inlineStr">
        <is>
          <t>GÄVLEBORGS LÄN</t>
        </is>
      </c>
      <c r="E8982" t="inlineStr">
        <is>
          <t>BOLLNÄS</t>
        </is>
      </c>
      <c r="F8982" t="inlineStr">
        <is>
          <t>Sveaskog</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54720-2023</t>
        </is>
      </c>
      <c r="B8983" s="1" t="n">
        <v>45236</v>
      </c>
      <c r="C8983" s="1" t="n">
        <v>45677</v>
      </c>
      <c r="D8983" t="inlineStr">
        <is>
          <t>GÄVLEBORGS LÄN</t>
        </is>
      </c>
      <c r="E8983" t="inlineStr">
        <is>
          <t>NORDANSTIG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54721-2023</t>
        </is>
      </c>
      <c r="B8984" s="1" t="n">
        <v>45236</v>
      </c>
      <c r="C8984" s="1" t="n">
        <v>45677</v>
      </c>
      <c r="D8984" t="inlineStr">
        <is>
          <t>GÄVLEBORGS LÄN</t>
        </is>
      </c>
      <c r="E8984" t="inlineStr">
        <is>
          <t>NORDANSTIG</t>
        </is>
      </c>
      <c r="F8984" t="inlineStr">
        <is>
          <t>Holmen skog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54760-2023</t>
        </is>
      </c>
      <c r="B8985" s="1" t="n">
        <v>45236</v>
      </c>
      <c r="C8985" s="1" t="n">
        <v>45677</v>
      </c>
      <c r="D8985" t="inlineStr">
        <is>
          <t>GÄVLEBORGS LÄN</t>
        </is>
      </c>
      <c r="E8985" t="inlineStr">
        <is>
          <t>LJUSDAL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54788-2023</t>
        </is>
      </c>
      <c r="B8986" s="1" t="n">
        <v>45236</v>
      </c>
      <c r="C8986" s="1" t="n">
        <v>45677</v>
      </c>
      <c r="D8986" t="inlineStr">
        <is>
          <t>GÄVLEBORGS LÄN</t>
        </is>
      </c>
      <c r="E8986" t="inlineStr">
        <is>
          <t>NORDANSTIG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54938-2023</t>
        </is>
      </c>
      <c r="B8987" s="1" t="n">
        <v>45236</v>
      </c>
      <c r="C8987" s="1" t="n">
        <v>45677</v>
      </c>
      <c r="D8987" t="inlineStr">
        <is>
          <t>GÄVLEBORGS LÄN</t>
        </is>
      </c>
      <c r="E8987" t="inlineStr">
        <is>
          <t>NORDANSTIG</t>
        </is>
      </c>
      <c r="F8987" t="inlineStr">
        <is>
          <t>Holmen skog AB</t>
        </is>
      </c>
      <c r="G8987" t="n">
        <v>14.3</v>
      </c>
      <c r="H8987" t="n">
        <v>0</v>
      </c>
      <c r="I8987" t="n">
        <v>0</v>
      </c>
      <c r="J8987" t="n">
        <v>0</v>
      </c>
      <c r="K8987" t="n">
        <v>0</v>
      </c>
      <c r="L8987" t="n">
        <v>0</v>
      </c>
      <c r="M8987" t="n">
        <v>0</v>
      </c>
      <c r="N8987" t="n">
        <v>0</v>
      </c>
      <c r="O8987" t="n">
        <v>0</v>
      </c>
      <c r="P8987" t="n">
        <v>0</v>
      </c>
      <c r="Q8987" t="n">
        <v>0</v>
      </c>
      <c r="R8987" s="2" t="inlineStr"/>
    </row>
    <row r="8988" ht="15" customHeight="1">
      <c r="A8988" t="inlineStr">
        <is>
          <t>A 55002-2023</t>
        </is>
      </c>
      <c r="B8988" s="1" t="n">
        <v>45236</v>
      </c>
      <c r="C8988" s="1" t="n">
        <v>45677</v>
      </c>
      <c r="D8988" t="inlineStr">
        <is>
          <t>GÄVLEBORGS LÄN</t>
        </is>
      </c>
      <c r="E8988" t="inlineStr">
        <is>
          <t>NORDANSTIG</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55006-2023</t>
        </is>
      </c>
      <c r="B8989" s="1" t="n">
        <v>45236</v>
      </c>
      <c r="C8989" s="1" t="n">
        <v>45677</v>
      </c>
      <c r="D8989" t="inlineStr">
        <is>
          <t>GÄVLEBORGS LÄN</t>
        </is>
      </c>
      <c r="E8989" t="inlineStr">
        <is>
          <t>NORDANSTIG</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54803-2023</t>
        </is>
      </c>
      <c r="B8990" s="1" t="n">
        <v>45236</v>
      </c>
      <c r="C8990" s="1" t="n">
        <v>45677</v>
      </c>
      <c r="D8990" t="inlineStr">
        <is>
          <t>GÄVLEBORGS LÄN</t>
        </is>
      </c>
      <c r="E8990" t="inlineStr">
        <is>
          <t>NORDANSTIG</t>
        </is>
      </c>
      <c r="F8990" t="inlineStr">
        <is>
          <t>Holmen skog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54860-2023</t>
        </is>
      </c>
      <c r="B8991" s="1" t="n">
        <v>45236</v>
      </c>
      <c r="C8991" s="1" t="n">
        <v>45677</v>
      </c>
      <c r="D8991" t="inlineStr">
        <is>
          <t>GÄVLEBORGS LÄN</t>
        </is>
      </c>
      <c r="E8991" t="inlineStr">
        <is>
          <t>NORDANSTIG</t>
        </is>
      </c>
      <c r="F8991" t="inlineStr">
        <is>
          <t>Holmen skog AB</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54881-2023</t>
        </is>
      </c>
      <c r="B8992" s="1" t="n">
        <v>45236</v>
      </c>
      <c r="C8992" s="1" t="n">
        <v>45677</v>
      </c>
      <c r="D8992" t="inlineStr">
        <is>
          <t>GÄVLEBORGS LÄN</t>
        </is>
      </c>
      <c r="E8992" t="inlineStr">
        <is>
          <t>OCKELBO</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56377-2023</t>
        </is>
      </c>
      <c r="B8993" s="1" t="n">
        <v>45236</v>
      </c>
      <c r="C8993" s="1" t="n">
        <v>45677</v>
      </c>
      <c r="D8993" t="inlineStr">
        <is>
          <t>GÄVLEBORGS LÄN</t>
        </is>
      </c>
      <c r="E8993" t="inlineStr">
        <is>
          <t>SANDVIKEN</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55070-2023</t>
        </is>
      </c>
      <c r="B8994" s="1" t="n">
        <v>45237</v>
      </c>
      <c r="C8994" s="1" t="n">
        <v>45677</v>
      </c>
      <c r="D8994" t="inlineStr">
        <is>
          <t>GÄVLEBORGS LÄN</t>
        </is>
      </c>
      <c r="E8994" t="inlineStr">
        <is>
          <t>OCKELBO</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55025-2023</t>
        </is>
      </c>
      <c r="B8995" s="1" t="n">
        <v>45237</v>
      </c>
      <c r="C8995" s="1" t="n">
        <v>45677</v>
      </c>
      <c r="D8995" t="inlineStr">
        <is>
          <t>GÄVLEBORGS LÄN</t>
        </is>
      </c>
      <c r="E8995" t="inlineStr">
        <is>
          <t>LJUSDAL</t>
        </is>
      </c>
      <c r="F8995" t="inlineStr">
        <is>
          <t>Allmännings- och besparingsskogar</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55078-2023</t>
        </is>
      </c>
      <c r="B8996" s="1" t="n">
        <v>45237</v>
      </c>
      <c r="C8996" s="1" t="n">
        <v>45677</v>
      </c>
      <c r="D8996" t="inlineStr">
        <is>
          <t>GÄVLEBORGS LÄN</t>
        </is>
      </c>
      <c r="E8996" t="inlineStr">
        <is>
          <t>LJUSDAL</t>
        </is>
      </c>
      <c r="F8996" t="inlineStr">
        <is>
          <t>Bergvik skog väst AB</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55112-2023</t>
        </is>
      </c>
      <c r="B8997" s="1" t="n">
        <v>45237</v>
      </c>
      <c r="C8997" s="1" t="n">
        <v>45677</v>
      </c>
      <c r="D8997" t="inlineStr">
        <is>
          <t>GÄVLEBORGS LÄN</t>
        </is>
      </c>
      <c r="E8997" t="inlineStr">
        <is>
          <t>OCKELBO</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55136-2023</t>
        </is>
      </c>
      <c r="B8998" s="1" t="n">
        <v>45237</v>
      </c>
      <c r="C8998" s="1" t="n">
        <v>45677</v>
      </c>
      <c r="D8998" t="inlineStr">
        <is>
          <t>GÄVLEBORGS LÄN</t>
        </is>
      </c>
      <c r="E8998" t="inlineStr">
        <is>
          <t>LJUSDAL</t>
        </is>
      </c>
      <c r="G8998" t="n">
        <v>12.7</v>
      </c>
      <c r="H8998" t="n">
        <v>0</v>
      </c>
      <c r="I8998" t="n">
        <v>0</v>
      </c>
      <c r="J8998" t="n">
        <v>0</v>
      </c>
      <c r="K8998" t="n">
        <v>0</v>
      </c>
      <c r="L8998" t="n">
        <v>0</v>
      </c>
      <c r="M8998" t="n">
        <v>0</v>
      </c>
      <c r="N8998" t="n">
        <v>0</v>
      </c>
      <c r="O8998" t="n">
        <v>0</v>
      </c>
      <c r="P8998" t="n">
        <v>0</v>
      </c>
      <c r="Q8998" t="n">
        <v>0</v>
      </c>
      <c r="R8998" s="2" t="inlineStr"/>
    </row>
    <row r="8999" ht="15" customHeight="1">
      <c r="A8999" t="inlineStr">
        <is>
          <t>A 55201-2023</t>
        </is>
      </c>
      <c r="B8999" s="1" t="n">
        <v>45237</v>
      </c>
      <c r="C8999" s="1" t="n">
        <v>45677</v>
      </c>
      <c r="D8999" t="inlineStr">
        <is>
          <t>GÄVLEBORGS LÄN</t>
        </is>
      </c>
      <c r="E8999" t="inlineStr">
        <is>
          <t>HUDIKSVALL</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55176-2023</t>
        </is>
      </c>
      <c r="B9000" s="1" t="n">
        <v>45237</v>
      </c>
      <c r="C9000" s="1" t="n">
        <v>45677</v>
      </c>
      <c r="D9000" t="inlineStr">
        <is>
          <t>GÄVLEBORGS LÄN</t>
        </is>
      </c>
      <c r="E9000" t="inlineStr">
        <is>
          <t>LJUSDAL</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55199-2023</t>
        </is>
      </c>
      <c r="B9001" s="1" t="n">
        <v>45237</v>
      </c>
      <c r="C9001" s="1" t="n">
        <v>45677</v>
      </c>
      <c r="D9001" t="inlineStr">
        <is>
          <t>GÄVLEBORGS LÄN</t>
        </is>
      </c>
      <c r="E9001" t="inlineStr">
        <is>
          <t>BOLLNÄS</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55219-2023</t>
        </is>
      </c>
      <c r="B9002" s="1" t="n">
        <v>45237</v>
      </c>
      <c r="C9002" s="1" t="n">
        <v>45677</v>
      </c>
      <c r="D9002" t="inlineStr">
        <is>
          <t>GÄVLEBORGS LÄN</t>
        </is>
      </c>
      <c r="E9002" t="inlineStr">
        <is>
          <t>LJUSDAL</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55123-2023</t>
        </is>
      </c>
      <c r="B9003" s="1" t="n">
        <v>45237</v>
      </c>
      <c r="C9003" s="1" t="n">
        <v>45677</v>
      </c>
      <c r="D9003" t="inlineStr">
        <is>
          <t>GÄVLEBORGS LÄN</t>
        </is>
      </c>
      <c r="E9003" t="inlineStr">
        <is>
          <t>LJUSDAL</t>
        </is>
      </c>
      <c r="F9003" t="inlineStr">
        <is>
          <t>Allmännings- och besparingsskogar</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55129-2023</t>
        </is>
      </c>
      <c r="B9004" s="1" t="n">
        <v>45237</v>
      </c>
      <c r="C9004" s="1" t="n">
        <v>45677</v>
      </c>
      <c r="D9004" t="inlineStr">
        <is>
          <t>GÄVLEBORGS LÄN</t>
        </is>
      </c>
      <c r="E9004" t="inlineStr">
        <is>
          <t>OVANÅKER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55151-2023</t>
        </is>
      </c>
      <c r="B9005" s="1" t="n">
        <v>45237</v>
      </c>
      <c r="C9005" s="1" t="n">
        <v>45677</v>
      </c>
      <c r="D9005" t="inlineStr">
        <is>
          <t>GÄVLEBORGS LÄN</t>
        </is>
      </c>
      <c r="E9005" t="inlineStr">
        <is>
          <t>LJUSDAL</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55179-2023</t>
        </is>
      </c>
      <c r="B9006" s="1" t="n">
        <v>45237</v>
      </c>
      <c r="C9006" s="1" t="n">
        <v>45677</v>
      </c>
      <c r="D9006" t="inlineStr">
        <is>
          <t>GÄVLEBORGS LÄN</t>
        </is>
      </c>
      <c r="E9006" t="inlineStr">
        <is>
          <t>BOLLNÄS</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55238-2023</t>
        </is>
      </c>
      <c r="B9007" s="1" t="n">
        <v>45237</v>
      </c>
      <c r="C9007" s="1" t="n">
        <v>45677</v>
      </c>
      <c r="D9007" t="inlineStr">
        <is>
          <t>GÄVLEBORGS LÄN</t>
        </is>
      </c>
      <c r="E9007" t="inlineStr">
        <is>
          <t>LJUSDAL</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55248-2023</t>
        </is>
      </c>
      <c r="B9008" s="1" t="n">
        <v>45237</v>
      </c>
      <c r="C9008" s="1" t="n">
        <v>45677</v>
      </c>
      <c r="D9008" t="inlineStr">
        <is>
          <t>GÄVLEBORGS LÄN</t>
        </is>
      </c>
      <c r="E9008" t="inlineStr">
        <is>
          <t>LJUSDAL</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55281-2023</t>
        </is>
      </c>
      <c r="B9009" s="1" t="n">
        <v>45237</v>
      </c>
      <c r="C9009" s="1" t="n">
        <v>45677</v>
      </c>
      <c r="D9009" t="inlineStr">
        <is>
          <t>GÄVLEBORGS LÄN</t>
        </is>
      </c>
      <c r="E9009" t="inlineStr">
        <is>
          <t>OVANÅKER</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55356-2023</t>
        </is>
      </c>
      <c r="B9010" s="1" t="n">
        <v>45238</v>
      </c>
      <c r="C9010" s="1" t="n">
        <v>45677</v>
      </c>
      <c r="D9010" t="inlineStr">
        <is>
          <t>GÄVLEBORGS LÄN</t>
        </is>
      </c>
      <c r="E9010" t="inlineStr">
        <is>
          <t>LJUSDAL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55475-2023</t>
        </is>
      </c>
      <c r="B9011" s="1" t="n">
        <v>45238</v>
      </c>
      <c r="C9011" s="1" t="n">
        <v>45677</v>
      </c>
      <c r="D9011" t="inlineStr">
        <is>
          <t>GÄVLEBORGS LÄN</t>
        </is>
      </c>
      <c r="E9011" t="inlineStr">
        <is>
          <t>BOLLNÄS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55358-2023</t>
        </is>
      </c>
      <c r="B9012" s="1" t="n">
        <v>45238</v>
      </c>
      <c r="C9012" s="1" t="n">
        <v>45677</v>
      </c>
      <c r="D9012" t="inlineStr">
        <is>
          <t>GÄVLEBORGS LÄN</t>
        </is>
      </c>
      <c r="E9012" t="inlineStr">
        <is>
          <t>LJUSDAL</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55370-2023</t>
        </is>
      </c>
      <c r="B9013" s="1" t="n">
        <v>45238</v>
      </c>
      <c r="C9013" s="1" t="n">
        <v>45677</v>
      </c>
      <c r="D9013" t="inlineStr">
        <is>
          <t>GÄVLEBORGS LÄN</t>
        </is>
      </c>
      <c r="E9013" t="inlineStr">
        <is>
          <t>LJUSDAL</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55545-2023</t>
        </is>
      </c>
      <c r="B9014" s="1" t="n">
        <v>45238</v>
      </c>
      <c r="C9014" s="1" t="n">
        <v>45677</v>
      </c>
      <c r="D9014" t="inlineStr">
        <is>
          <t>GÄVLEBORGS LÄN</t>
        </is>
      </c>
      <c r="E9014" t="inlineStr">
        <is>
          <t>SANDVIKEN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55558-2023</t>
        </is>
      </c>
      <c r="B9015" s="1" t="n">
        <v>45238</v>
      </c>
      <c r="C9015" s="1" t="n">
        <v>45677</v>
      </c>
      <c r="D9015" t="inlineStr">
        <is>
          <t>GÄVLEBORGS LÄN</t>
        </is>
      </c>
      <c r="E9015" t="inlineStr">
        <is>
          <t>BOLLNÄS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55347-2023</t>
        </is>
      </c>
      <c r="B9016" s="1" t="n">
        <v>45238</v>
      </c>
      <c r="C9016" s="1" t="n">
        <v>45677</v>
      </c>
      <c r="D9016" t="inlineStr">
        <is>
          <t>GÄVLEBORGS LÄN</t>
        </is>
      </c>
      <c r="E9016" t="inlineStr">
        <is>
          <t>HUDIKSVALL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55367-2023</t>
        </is>
      </c>
      <c r="B9017" s="1" t="n">
        <v>45238</v>
      </c>
      <c r="C9017" s="1" t="n">
        <v>45677</v>
      </c>
      <c r="D9017" t="inlineStr">
        <is>
          <t>GÄVLEBORGS LÄN</t>
        </is>
      </c>
      <c r="E9017" t="inlineStr">
        <is>
          <t>BOLLNÄS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55375-2023</t>
        </is>
      </c>
      <c r="B9018" s="1" t="n">
        <v>45238</v>
      </c>
      <c r="C9018" s="1" t="n">
        <v>45677</v>
      </c>
      <c r="D9018" t="inlineStr">
        <is>
          <t>GÄVLEBORGS LÄN</t>
        </is>
      </c>
      <c r="E9018" t="inlineStr">
        <is>
          <t>LJUSDAL</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55423-2023</t>
        </is>
      </c>
      <c r="B9019" s="1" t="n">
        <v>45238</v>
      </c>
      <c r="C9019" s="1" t="n">
        <v>45677</v>
      </c>
      <c r="D9019" t="inlineStr">
        <is>
          <t>GÄVLEBORGS LÄN</t>
        </is>
      </c>
      <c r="E9019" t="inlineStr">
        <is>
          <t>OVANÅKER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55489-2023</t>
        </is>
      </c>
      <c r="B9020" s="1" t="n">
        <v>45238</v>
      </c>
      <c r="C9020" s="1" t="n">
        <v>45677</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55507-2023</t>
        </is>
      </c>
      <c r="B9021" s="1" t="n">
        <v>45238</v>
      </c>
      <c r="C9021" s="1" t="n">
        <v>45677</v>
      </c>
      <c r="D9021" t="inlineStr">
        <is>
          <t>GÄVLEBORGS LÄN</t>
        </is>
      </c>
      <c r="E9021" t="inlineStr">
        <is>
          <t>OVANÅKER</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55539-2023</t>
        </is>
      </c>
      <c r="B9022" s="1" t="n">
        <v>45238</v>
      </c>
      <c r="C9022" s="1" t="n">
        <v>45677</v>
      </c>
      <c r="D9022" t="inlineStr">
        <is>
          <t>GÄVLEBORGS LÄN</t>
        </is>
      </c>
      <c r="E9022" t="inlineStr">
        <is>
          <t>SANDVIKEN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55561-2023</t>
        </is>
      </c>
      <c r="B9023" s="1" t="n">
        <v>45238</v>
      </c>
      <c r="C9023" s="1" t="n">
        <v>45677</v>
      </c>
      <c r="D9023" t="inlineStr">
        <is>
          <t>GÄVLEBORGS LÄN</t>
        </is>
      </c>
      <c r="E9023" t="inlineStr">
        <is>
          <t>SANDVIKEN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55526-2023</t>
        </is>
      </c>
      <c r="B9024" s="1" t="n">
        <v>45238</v>
      </c>
      <c r="C9024" s="1" t="n">
        <v>45677</v>
      </c>
      <c r="D9024" t="inlineStr">
        <is>
          <t>GÄVLEBORGS LÄN</t>
        </is>
      </c>
      <c r="E9024" t="inlineStr">
        <is>
          <t>OVANÅKER</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55571-2023</t>
        </is>
      </c>
      <c r="B9025" s="1" t="n">
        <v>45238</v>
      </c>
      <c r="C9025" s="1" t="n">
        <v>45677</v>
      </c>
      <c r="D9025" t="inlineStr">
        <is>
          <t>GÄVLEBORGS LÄN</t>
        </is>
      </c>
      <c r="E9025" t="inlineStr">
        <is>
          <t>GÄVLE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55608-2023</t>
        </is>
      </c>
      <c r="B9026" s="1" t="n">
        <v>45238</v>
      </c>
      <c r="C9026" s="1" t="n">
        <v>45677</v>
      </c>
      <c r="D9026" t="inlineStr">
        <is>
          <t>GÄVLEBORGS LÄN</t>
        </is>
      </c>
      <c r="E9026" t="inlineStr">
        <is>
          <t>NORDANSTIG</t>
        </is>
      </c>
      <c r="F9026" t="inlineStr">
        <is>
          <t>Holmen skog AB</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55361-2023</t>
        </is>
      </c>
      <c r="B9027" s="1" t="n">
        <v>45238</v>
      </c>
      <c r="C9027" s="1" t="n">
        <v>45677</v>
      </c>
      <c r="D9027" t="inlineStr">
        <is>
          <t>GÄVLEBORGS LÄN</t>
        </is>
      </c>
      <c r="E9027" t="inlineStr">
        <is>
          <t>SÖDERHAMN</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55435-2023</t>
        </is>
      </c>
      <c r="B9028" s="1" t="n">
        <v>45238</v>
      </c>
      <c r="C9028" s="1" t="n">
        <v>45677</v>
      </c>
      <c r="D9028" t="inlineStr">
        <is>
          <t>GÄVLEBORGS LÄN</t>
        </is>
      </c>
      <c r="E9028" t="inlineStr">
        <is>
          <t>SÖDERHAMN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55520-2023</t>
        </is>
      </c>
      <c r="B9029" s="1" t="n">
        <v>45238</v>
      </c>
      <c r="C9029" s="1" t="n">
        <v>45677</v>
      </c>
      <c r="D9029" t="inlineStr">
        <is>
          <t>GÄVLEBORGS LÄN</t>
        </is>
      </c>
      <c r="E9029" t="inlineStr">
        <is>
          <t>BOLLNÄS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55565-2023</t>
        </is>
      </c>
      <c r="B9030" s="1" t="n">
        <v>45238</v>
      </c>
      <c r="C9030" s="1" t="n">
        <v>45677</v>
      </c>
      <c r="D9030" t="inlineStr">
        <is>
          <t>GÄVLEBORGS LÄN</t>
        </is>
      </c>
      <c r="E9030" t="inlineStr">
        <is>
          <t>SANDVIKEN</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55585-2023</t>
        </is>
      </c>
      <c r="B9031" s="1" t="n">
        <v>45238</v>
      </c>
      <c r="C9031" s="1" t="n">
        <v>45677</v>
      </c>
      <c r="D9031" t="inlineStr">
        <is>
          <t>GÄVLEBORGS LÄN</t>
        </is>
      </c>
      <c r="E9031" t="inlineStr">
        <is>
          <t>NORDANSTIG</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55681-2023</t>
        </is>
      </c>
      <c r="B9032" s="1" t="n">
        <v>45239</v>
      </c>
      <c r="C9032" s="1" t="n">
        <v>45677</v>
      </c>
      <c r="D9032" t="inlineStr">
        <is>
          <t>GÄVLEBORGS LÄN</t>
        </is>
      </c>
      <c r="E9032" t="inlineStr">
        <is>
          <t>LJUSDAL</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55675-2023</t>
        </is>
      </c>
      <c r="B9033" s="1" t="n">
        <v>45239</v>
      </c>
      <c r="C9033" s="1" t="n">
        <v>45677</v>
      </c>
      <c r="D9033" t="inlineStr">
        <is>
          <t>GÄVLEBORGS LÄN</t>
        </is>
      </c>
      <c r="E9033" t="inlineStr">
        <is>
          <t>LJUSDAL</t>
        </is>
      </c>
      <c r="G9033" t="n">
        <v>11.1</v>
      </c>
      <c r="H9033" t="n">
        <v>0</v>
      </c>
      <c r="I9033" t="n">
        <v>0</v>
      </c>
      <c r="J9033" t="n">
        <v>0</v>
      </c>
      <c r="K9033" t="n">
        <v>0</v>
      </c>
      <c r="L9033" t="n">
        <v>0</v>
      </c>
      <c r="M9033" t="n">
        <v>0</v>
      </c>
      <c r="N9033" t="n">
        <v>0</v>
      </c>
      <c r="O9033" t="n">
        <v>0</v>
      </c>
      <c r="P9033" t="n">
        <v>0</v>
      </c>
      <c r="Q9033" t="n">
        <v>0</v>
      </c>
      <c r="R9033" s="2" t="inlineStr"/>
    </row>
    <row r="9034" ht="15" customHeight="1">
      <c r="A9034" t="inlineStr">
        <is>
          <t>A 55690-2023</t>
        </is>
      </c>
      <c r="B9034" s="1" t="n">
        <v>45239</v>
      </c>
      <c r="C9034" s="1" t="n">
        <v>45677</v>
      </c>
      <c r="D9034" t="inlineStr">
        <is>
          <t>GÄVLEBORGS LÄN</t>
        </is>
      </c>
      <c r="E9034" t="inlineStr">
        <is>
          <t>LJUSDAL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55715-2023</t>
        </is>
      </c>
      <c r="B9035" s="1" t="n">
        <v>45239</v>
      </c>
      <c r="C9035" s="1" t="n">
        <v>45677</v>
      </c>
      <c r="D9035" t="inlineStr">
        <is>
          <t>GÄVLEBORGS LÄN</t>
        </is>
      </c>
      <c r="E9035" t="inlineStr">
        <is>
          <t>OCKELBO</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55757-2023</t>
        </is>
      </c>
      <c r="B9036" s="1" t="n">
        <v>45239</v>
      </c>
      <c r="C9036" s="1" t="n">
        <v>45677</v>
      </c>
      <c r="D9036" t="inlineStr">
        <is>
          <t>GÄVLEBORGS LÄN</t>
        </is>
      </c>
      <c r="E9036" t="inlineStr">
        <is>
          <t>HUDIKSVALL</t>
        </is>
      </c>
      <c r="F9036" t="inlineStr">
        <is>
          <t>Holmen skog AB</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55811-2023</t>
        </is>
      </c>
      <c r="B9037" s="1" t="n">
        <v>45239</v>
      </c>
      <c r="C9037" s="1" t="n">
        <v>45677</v>
      </c>
      <c r="D9037" t="inlineStr">
        <is>
          <t>GÄVLEBORGS LÄN</t>
        </is>
      </c>
      <c r="E9037" t="inlineStr">
        <is>
          <t>OVANÅKER</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55854-2023</t>
        </is>
      </c>
      <c r="B9038" s="1" t="n">
        <v>45239</v>
      </c>
      <c r="C9038" s="1" t="n">
        <v>45677</v>
      </c>
      <c r="D9038" t="inlineStr">
        <is>
          <t>GÄVLEBORGS LÄN</t>
        </is>
      </c>
      <c r="E9038" t="inlineStr">
        <is>
          <t>GÄVLE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55918-2023</t>
        </is>
      </c>
      <c r="B9039" s="1" t="n">
        <v>45239</v>
      </c>
      <c r="C9039" s="1" t="n">
        <v>45677</v>
      </c>
      <c r="D9039" t="inlineStr">
        <is>
          <t>GÄVLEBORGS LÄN</t>
        </is>
      </c>
      <c r="E9039" t="inlineStr">
        <is>
          <t>NORDANSTIG</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55917-2023</t>
        </is>
      </c>
      <c r="B9040" s="1" t="n">
        <v>45239</v>
      </c>
      <c r="C9040" s="1" t="n">
        <v>45677</v>
      </c>
      <c r="D9040" t="inlineStr">
        <is>
          <t>GÄVLEBORGS LÄN</t>
        </is>
      </c>
      <c r="E9040" t="inlineStr">
        <is>
          <t>NORDANSTIG</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57250-2023</t>
        </is>
      </c>
      <c r="B9041" s="1" t="n">
        <v>45239</v>
      </c>
      <c r="C9041" s="1" t="n">
        <v>45677</v>
      </c>
      <c r="D9041" t="inlineStr">
        <is>
          <t>GÄVLEBORGS LÄN</t>
        </is>
      </c>
      <c r="E9041" t="inlineStr">
        <is>
          <t>BOLLNÄS</t>
        </is>
      </c>
      <c r="F9041" t="inlineStr">
        <is>
          <t>Kommuner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55741-2023</t>
        </is>
      </c>
      <c r="B9042" s="1" t="n">
        <v>45239</v>
      </c>
      <c r="C9042" s="1" t="n">
        <v>45677</v>
      </c>
      <c r="D9042" t="inlineStr">
        <is>
          <t>GÄVLEBORGS LÄN</t>
        </is>
      </c>
      <c r="E9042" t="inlineStr">
        <is>
          <t>HUDIKSVALL</t>
        </is>
      </c>
      <c r="F9042" t="inlineStr">
        <is>
          <t>Holmen skog AB</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55870-2023</t>
        </is>
      </c>
      <c r="B9043" s="1" t="n">
        <v>45239</v>
      </c>
      <c r="C9043" s="1" t="n">
        <v>45677</v>
      </c>
      <c r="D9043" t="inlineStr">
        <is>
          <t>GÄVLEBORGS LÄN</t>
        </is>
      </c>
      <c r="E9043" t="inlineStr">
        <is>
          <t>LJUSDAL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57260-2023</t>
        </is>
      </c>
      <c r="B9044" s="1" t="n">
        <v>45239</v>
      </c>
      <c r="C9044" s="1" t="n">
        <v>45677</v>
      </c>
      <c r="D9044" t="inlineStr">
        <is>
          <t>GÄVLEBORGS LÄN</t>
        </is>
      </c>
      <c r="E9044" t="inlineStr">
        <is>
          <t>BOLLNÄS</t>
        </is>
      </c>
      <c r="F9044" t="inlineStr">
        <is>
          <t>Kommuner</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56217-2023</t>
        </is>
      </c>
      <c r="B9045" s="1" t="n">
        <v>45240</v>
      </c>
      <c r="C9045" s="1" t="n">
        <v>45677</v>
      </c>
      <c r="D9045" t="inlineStr">
        <is>
          <t>GÄVLEBORGS LÄN</t>
        </is>
      </c>
      <c r="E9045" t="inlineStr">
        <is>
          <t>SANDVIKEN</t>
        </is>
      </c>
      <c r="F9045" t="inlineStr">
        <is>
          <t>Sveaskog</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56209-2023</t>
        </is>
      </c>
      <c r="B9046" s="1" t="n">
        <v>45240</v>
      </c>
      <c r="C9046" s="1" t="n">
        <v>45677</v>
      </c>
      <c r="D9046" t="inlineStr">
        <is>
          <t>GÄVLEBORGS LÄN</t>
        </is>
      </c>
      <c r="E9046" t="inlineStr">
        <is>
          <t>BOLLNÄS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56160-2023</t>
        </is>
      </c>
      <c r="B9047" s="1" t="n">
        <v>45240</v>
      </c>
      <c r="C9047" s="1" t="n">
        <v>45677</v>
      </c>
      <c r="D9047" t="inlineStr">
        <is>
          <t>GÄVLEBORGS LÄN</t>
        </is>
      </c>
      <c r="E9047" t="inlineStr">
        <is>
          <t>SÖDERHAMN</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56198-2023</t>
        </is>
      </c>
      <c r="B9048" s="1" t="n">
        <v>45240</v>
      </c>
      <c r="C9048" s="1" t="n">
        <v>45677</v>
      </c>
      <c r="D9048" t="inlineStr">
        <is>
          <t>GÄVLEBORGS LÄN</t>
        </is>
      </c>
      <c r="E9048" t="inlineStr">
        <is>
          <t>SÖDERHAMN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56165-2023</t>
        </is>
      </c>
      <c r="B9049" s="1" t="n">
        <v>45240</v>
      </c>
      <c r="C9049" s="1" t="n">
        <v>45677</v>
      </c>
      <c r="D9049" t="inlineStr">
        <is>
          <t>GÄVLEBORGS LÄN</t>
        </is>
      </c>
      <c r="E9049" t="inlineStr">
        <is>
          <t>BOLLNÄS</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56132-2023</t>
        </is>
      </c>
      <c r="B9050" s="1" t="n">
        <v>45240</v>
      </c>
      <c r="C9050" s="1" t="n">
        <v>45677</v>
      </c>
      <c r="D9050" t="inlineStr">
        <is>
          <t>GÄVLEBORGS LÄN</t>
        </is>
      </c>
      <c r="E9050" t="inlineStr">
        <is>
          <t>OVANÅKER</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56018-2023</t>
        </is>
      </c>
      <c r="B9051" s="1" t="n">
        <v>45240</v>
      </c>
      <c r="C9051" s="1" t="n">
        <v>45677</v>
      </c>
      <c r="D9051" t="inlineStr">
        <is>
          <t>GÄVLEBORGS LÄN</t>
        </is>
      </c>
      <c r="E9051" t="inlineStr">
        <is>
          <t>SANDVIKEN</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56208-2023</t>
        </is>
      </c>
      <c r="B9052" s="1" t="n">
        <v>45240</v>
      </c>
      <c r="C9052" s="1" t="n">
        <v>45677</v>
      </c>
      <c r="D9052" t="inlineStr">
        <is>
          <t>GÄVLEBORGS LÄN</t>
        </is>
      </c>
      <c r="E9052" t="inlineStr">
        <is>
          <t>BOLLNÄS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56200-2023</t>
        </is>
      </c>
      <c r="B9053" s="1" t="n">
        <v>45240</v>
      </c>
      <c r="C9053" s="1" t="n">
        <v>45677</v>
      </c>
      <c r="D9053" t="inlineStr">
        <is>
          <t>GÄVLEBORGS LÄN</t>
        </is>
      </c>
      <c r="E9053" t="inlineStr">
        <is>
          <t>SÖDERHAMN</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56142-2023</t>
        </is>
      </c>
      <c r="B9054" s="1" t="n">
        <v>45240</v>
      </c>
      <c r="C9054" s="1" t="n">
        <v>45677</v>
      </c>
      <c r="D9054" t="inlineStr">
        <is>
          <t>GÄVLEBORGS LÄN</t>
        </is>
      </c>
      <c r="E9054" t="inlineStr">
        <is>
          <t>LJUSDAL</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56138-2023</t>
        </is>
      </c>
      <c r="B9055" s="1" t="n">
        <v>45240</v>
      </c>
      <c r="C9055" s="1" t="n">
        <v>45677</v>
      </c>
      <c r="D9055" t="inlineStr">
        <is>
          <t>GÄVLEBORGS LÄN</t>
        </is>
      </c>
      <c r="E9055" t="inlineStr">
        <is>
          <t>GÄVLE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56126-2023</t>
        </is>
      </c>
      <c r="B9056" s="1" t="n">
        <v>45240</v>
      </c>
      <c r="C9056" s="1" t="n">
        <v>45677</v>
      </c>
      <c r="D9056" t="inlineStr">
        <is>
          <t>GÄVLEBORGS LÄN</t>
        </is>
      </c>
      <c r="E9056" t="inlineStr">
        <is>
          <t>SÖDERHAMN</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55978-2023</t>
        </is>
      </c>
      <c r="B9057" s="1" t="n">
        <v>45240</v>
      </c>
      <c r="C9057" s="1" t="n">
        <v>45677</v>
      </c>
      <c r="D9057" t="inlineStr">
        <is>
          <t>GÄVLEBORGS LÄN</t>
        </is>
      </c>
      <c r="E9057" t="inlineStr">
        <is>
          <t>HUDIKSVALL</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56176-2023</t>
        </is>
      </c>
      <c r="B9058" s="1" t="n">
        <v>45240</v>
      </c>
      <c r="C9058" s="1" t="n">
        <v>45677</v>
      </c>
      <c r="D9058" t="inlineStr">
        <is>
          <t>GÄVLEBORGS LÄN</t>
        </is>
      </c>
      <c r="E9058" t="inlineStr">
        <is>
          <t>SÖDERHAMN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56162-2023</t>
        </is>
      </c>
      <c r="B9059" s="1" t="n">
        <v>45240</v>
      </c>
      <c r="C9059" s="1" t="n">
        <v>45677</v>
      </c>
      <c r="D9059" t="inlineStr">
        <is>
          <t>GÄVLEBORGS LÄN</t>
        </is>
      </c>
      <c r="E9059" t="inlineStr">
        <is>
          <t>HOFORS</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56150-2023</t>
        </is>
      </c>
      <c r="B9060" s="1" t="n">
        <v>45240</v>
      </c>
      <c r="C9060" s="1" t="n">
        <v>45677</v>
      </c>
      <c r="D9060" t="inlineStr">
        <is>
          <t>GÄVLEBORGS LÄN</t>
        </is>
      </c>
      <c r="E9060" t="inlineStr">
        <is>
          <t>SANDVIKEN</t>
        </is>
      </c>
      <c r="F9060" t="inlineStr">
        <is>
          <t>Sveaskog</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56145-2023</t>
        </is>
      </c>
      <c r="B9061" s="1" t="n">
        <v>45240</v>
      </c>
      <c r="C9061" s="1" t="n">
        <v>45677</v>
      </c>
      <c r="D9061" t="inlineStr">
        <is>
          <t>GÄVLEBORGS LÄN</t>
        </is>
      </c>
      <c r="E9061" t="inlineStr">
        <is>
          <t>NORDANSTIG</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56113-2023</t>
        </is>
      </c>
      <c r="B9062" s="1" t="n">
        <v>45240</v>
      </c>
      <c r="C9062" s="1" t="n">
        <v>45677</v>
      </c>
      <c r="D9062" t="inlineStr">
        <is>
          <t>GÄVLEBORGS LÄN</t>
        </is>
      </c>
      <c r="E9062" t="inlineStr">
        <is>
          <t>LJUSDAL</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56036-2023</t>
        </is>
      </c>
      <c r="B9063" s="1" t="n">
        <v>45240</v>
      </c>
      <c r="C9063" s="1" t="n">
        <v>45677</v>
      </c>
      <c r="D9063" t="inlineStr">
        <is>
          <t>GÄVLEBORGS LÄN</t>
        </is>
      </c>
      <c r="E9063" t="inlineStr">
        <is>
          <t>SANDVIKEN</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56019-2023</t>
        </is>
      </c>
      <c r="B9064" s="1" t="n">
        <v>45240</v>
      </c>
      <c r="C9064" s="1" t="n">
        <v>45677</v>
      </c>
      <c r="D9064" t="inlineStr">
        <is>
          <t>GÄVLEBORGS LÄN</t>
        </is>
      </c>
      <c r="E9064" t="inlineStr">
        <is>
          <t>SANDVIKEN</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56156-2023</t>
        </is>
      </c>
      <c r="B9065" s="1" t="n">
        <v>45240</v>
      </c>
      <c r="C9065" s="1" t="n">
        <v>45677</v>
      </c>
      <c r="D9065" t="inlineStr">
        <is>
          <t>GÄVLEBORGS LÄN</t>
        </is>
      </c>
      <c r="E9065" t="inlineStr">
        <is>
          <t>HOFORS</t>
        </is>
      </c>
      <c r="F9065" t="inlineStr">
        <is>
          <t>Sveaskog</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56152-2023</t>
        </is>
      </c>
      <c r="B9066" s="1" t="n">
        <v>45240</v>
      </c>
      <c r="C9066" s="1" t="n">
        <v>45677</v>
      </c>
      <c r="D9066" t="inlineStr">
        <is>
          <t>GÄVLEBORGS LÄN</t>
        </is>
      </c>
      <c r="E9066" t="inlineStr">
        <is>
          <t>OVANÅKER</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56135-2023</t>
        </is>
      </c>
      <c r="B9067" s="1" t="n">
        <v>45240</v>
      </c>
      <c r="C9067" s="1" t="n">
        <v>45677</v>
      </c>
      <c r="D9067" t="inlineStr">
        <is>
          <t>GÄVLEBORGS LÄN</t>
        </is>
      </c>
      <c r="E9067" t="inlineStr">
        <is>
          <t>NORDANSTIG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56127-2023</t>
        </is>
      </c>
      <c r="B9068" s="1" t="n">
        <v>45240</v>
      </c>
      <c r="C9068" s="1" t="n">
        <v>45677</v>
      </c>
      <c r="D9068" t="inlineStr">
        <is>
          <t>GÄVLEBORGS LÄN</t>
        </is>
      </c>
      <c r="E9068" t="inlineStr">
        <is>
          <t>OVANÅKER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56117-2023</t>
        </is>
      </c>
      <c r="B9069" s="1" t="n">
        <v>45240</v>
      </c>
      <c r="C9069" s="1" t="n">
        <v>45677</v>
      </c>
      <c r="D9069" t="inlineStr">
        <is>
          <t>GÄVLEBORGS LÄN</t>
        </is>
      </c>
      <c r="E9069" t="inlineStr">
        <is>
          <t>HOFORS</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56087-2023</t>
        </is>
      </c>
      <c r="B9070" s="1" t="n">
        <v>45240</v>
      </c>
      <c r="C9070" s="1" t="n">
        <v>45677</v>
      </c>
      <c r="D9070" t="inlineStr">
        <is>
          <t>GÄVLEBORGS LÄN</t>
        </is>
      </c>
      <c r="E9070" t="inlineStr">
        <is>
          <t>HUDIKSVALL</t>
        </is>
      </c>
      <c r="F9070" t="inlineStr">
        <is>
          <t>Holmen skog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56034-2023</t>
        </is>
      </c>
      <c r="B9071" s="1" t="n">
        <v>45240</v>
      </c>
      <c r="C9071" s="1" t="n">
        <v>45677</v>
      </c>
      <c r="D9071" t="inlineStr">
        <is>
          <t>GÄVLEBORGS LÄN</t>
        </is>
      </c>
      <c r="E9071" t="inlineStr">
        <is>
          <t>OCKELBO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56017-2023</t>
        </is>
      </c>
      <c r="B9072" s="1" t="n">
        <v>45240</v>
      </c>
      <c r="C9072" s="1" t="n">
        <v>45677</v>
      </c>
      <c r="D9072" t="inlineStr">
        <is>
          <t>GÄVLEBORGS LÄN</t>
        </is>
      </c>
      <c r="E9072" t="inlineStr">
        <is>
          <t>SANDVIKEN</t>
        </is>
      </c>
      <c r="F9072" t="inlineStr">
        <is>
          <t>Sveaskog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56318-2023</t>
        </is>
      </c>
      <c r="B9073" s="1" t="n">
        <v>45243</v>
      </c>
      <c r="C9073" s="1" t="n">
        <v>45677</v>
      </c>
      <c r="D9073" t="inlineStr">
        <is>
          <t>GÄVLEBORGS LÄN</t>
        </is>
      </c>
      <c r="E9073" t="inlineStr">
        <is>
          <t>SANDVIKEN</t>
        </is>
      </c>
      <c r="F9073" t="inlineStr">
        <is>
          <t>Bergvik skog öst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56461-2023</t>
        </is>
      </c>
      <c r="B9074" s="1" t="n">
        <v>45243</v>
      </c>
      <c r="C9074" s="1" t="n">
        <v>45677</v>
      </c>
      <c r="D9074" t="inlineStr">
        <is>
          <t>GÄVLEBORGS LÄN</t>
        </is>
      </c>
      <c r="E9074" t="inlineStr">
        <is>
          <t>BOLLNÄS</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56542-2023</t>
        </is>
      </c>
      <c r="B9075" s="1" t="n">
        <v>45243</v>
      </c>
      <c r="C9075" s="1" t="n">
        <v>45677</v>
      </c>
      <c r="D9075" t="inlineStr">
        <is>
          <t>GÄVLEBORGS LÄN</t>
        </is>
      </c>
      <c r="E9075" t="inlineStr">
        <is>
          <t>BOLLNÄS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56547-2023</t>
        </is>
      </c>
      <c r="B9076" s="1" t="n">
        <v>45243</v>
      </c>
      <c r="C9076" s="1" t="n">
        <v>45677</v>
      </c>
      <c r="D9076" t="inlineStr">
        <is>
          <t>GÄVLEBORGS LÄN</t>
        </is>
      </c>
      <c r="E9076" t="inlineStr">
        <is>
          <t>BOLLNÄS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56634-2023</t>
        </is>
      </c>
      <c r="B9077" s="1" t="n">
        <v>45243</v>
      </c>
      <c r="C9077" s="1" t="n">
        <v>45677</v>
      </c>
      <c r="D9077" t="inlineStr">
        <is>
          <t>GÄVLEBORGS LÄN</t>
        </is>
      </c>
      <c r="E9077" t="inlineStr">
        <is>
          <t>OCKELBO</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56638-2023</t>
        </is>
      </c>
      <c r="B9078" s="1" t="n">
        <v>45243</v>
      </c>
      <c r="C9078" s="1" t="n">
        <v>45677</v>
      </c>
      <c r="D9078" t="inlineStr">
        <is>
          <t>GÄVLEBORGS LÄN</t>
        </is>
      </c>
      <c r="E9078" t="inlineStr">
        <is>
          <t>OCKELBO</t>
        </is>
      </c>
      <c r="G9078" t="n">
        <v>22.7</v>
      </c>
      <c r="H9078" t="n">
        <v>0</v>
      </c>
      <c r="I9078" t="n">
        <v>0</v>
      </c>
      <c r="J9078" t="n">
        <v>0</v>
      </c>
      <c r="K9078" t="n">
        <v>0</v>
      </c>
      <c r="L9078" t="n">
        <v>0</v>
      </c>
      <c r="M9078" t="n">
        <v>0</v>
      </c>
      <c r="N9078" t="n">
        <v>0</v>
      </c>
      <c r="O9078" t="n">
        <v>0</v>
      </c>
      <c r="P9078" t="n">
        <v>0</v>
      </c>
      <c r="Q9078" t="n">
        <v>0</v>
      </c>
      <c r="R9078" s="2" t="inlineStr"/>
    </row>
    <row r="9079" ht="15" customHeight="1">
      <c r="A9079" t="inlineStr">
        <is>
          <t>A 56320-2023</t>
        </is>
      </c>
      <c r="B9079" s="1" t="n">
        <v>45243</v>
      </c>
      <c r="C9079" s="1" t="n">
        <v>45677</v>
      </c>
      <c r="D9079" t="inlineStr">
        <is>
          <t>GÄVLEBORGS LÄN</t>
        </is>
      </c>
      <c r="E9079" t="inlineStr">
        <is>
          <t>SANDVIKEN</t>
        </is>
      </c>
      <c r="F9079" t="inlineStr">
        <is>
          <t>Bergvik skog öst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56380-2023</t>
        </is>
      </c>
      <c r="B9080" s="1" t="n">
        <v>45243</v>
      </c>
      <c r="C9080" s="1" t="n">
        <v>45677</v>
      </c>
      <c r="D9080" t="inlineStr">
        <is>
          <t>GÄVLEBORGS LÄN</t>
        </is>
      </c>
      <c r="E9080" t="inlineStr">
        <is>
          <t>HUDIKSVALL</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56425-2023</t>
        </is>
      </c>
      <c r="B9081" s="1" t="n">
        <v>45243</v>
      </c>
      <c r="C9081" s="1" t="n">
        <v>45677</v>
      </c>
      <c r="D9081" t="inlineStr">
        <is>
          <t>GÄVLEBORGS LÄN</t>
        </is>
      </c>
      <c r="E9081" t="inlineStr">
        <is>
          <t>LJUSDAL</t>
        </is>
      </c>
      <c r="G9081" t="n">
        <v>15.4</v>
      </c>
      <c r="H9081" t="n">
        <v>0</v>
      </c>
      <c r="I9081" t="n">
        <v>0</v>
      </c>
      <c r="J9081" t="n">
        <v>0</v>
      </c>
      <c r="K9081" t="n">
        <v>0</v>
      </c>
      <c r="L9081" t="n">
        <v>0</v>
      </c>
      <c r="M9081" t="n">
        <v>0</v>
      </c>
      <c r="N9081" t="n">
        <v>0</v>
      </c>
      <c r="O9081" t="n">
        <v>0</v>
      </c>
      <c r="P9081" t="n">
        <v>0</v>
      </c>
      <c r="Q9081" t="n">
        <v>0</v>
      </c>
      <c r="R9081" s="2" t="inlineStr"/>
    </row>
    <row r="9082" ht="15" customHeight="1">
      <c r="A9082" t="inlineStr">
        <is>
          <t>A 56446-2023</t>
        </is>
      </c>
      <c r="B9082" s="1" t="n">
        <v>45243</v>
      </c>
      <c r="C9082" s="1" t="n">
        <v>45677</v>
      </c>
      <c r="D9082" t="inlineStr">
        <is>
          <t>GÄVLEBORGS LÄN</t>
        </is>
      </c>
      <c r="E9082" t="inlineStr">
        <is>
          <t>GÄVLE</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56453-2023</t>
        </is>
      </c>
      <c r="B9083" s="1" t="n">
        <v>45243</v>
      </c>
      <c r="C9083" s="1" t="n">
        <v>45677</v>
      </c>
      <c r="D9083" t="inlineStr">
        <is>
          <t>GÄVLEBORGS LÄN</t>
        </is>
      </c>
      <c r="E9083" t="inlineStr">
        <is>
          <t>BOLLNÄS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56457-2023</t>
        </is>
      </c>
      <c r="B9084" s="1" t="n">
        <v>45243</v>
      </c>
      <c r="C9084" s="1" t="n">
        <v>45677</v>
      </c>
      <c r="D9084" t="inlineStr">
        <is>
          <t>GÄVLEBORGS LÄN</t>
        </is>
      </c>
      <c r="E9084" t="inlineStr">
        <is>
          <t>GÄVLE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56487-2023</t>
        </is>
      </c>
      <c r="B9085" s="1" t="n">
        <v>45243</v>
      </c>
      <c r="C9085" s="1" t="n">
        <v>45677</v>
      </c>
      <c r="D9085" t="inlineStr">
        <is>
          <t>GÄVLEBORGS LÄN</t>
        </is>
      </c>
      <c r="E9085" t="inlineStr">
        <is>
          <t>GÄVLE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56503-2023</t>
        </is>
      </c>
      <c r="B9086" s="1" t="n">
        <v>45243</v>
      </c>
      <c r="C9086" s="1" t="n">
        <v>45677</v>
      </c>
      <c r="D9086" t="inlineStr">
        <is>
          <t>GÄVLEBORGS LÄN</t>
        </is>
      </c>
      <c r="E9086" t="inlineStr">
        <is>
          <t>BOLLNÄS</t>
        </is>
      </c>
      <c r="F9086" t="inlineStr">
        <is>
          <t>Sveaskog</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56319-2023</t>
        </is>
      </c>
      <c r="B9087" s="1" t="n">
        <v>45243</v>
      </c>
      <c r="C9087" s="1" t="n">
        <v>45677</v>
      </c>
      <c r="D9087" t="inlineStr">
        <is>
          <t>GÄVLEBORGS LÄN</t>
        </is>
      </c>
      <c r="E9087" t="inlineStr">
        <is>
          <t>SANDVIKEN</t>
        </is>
      </c>
      <c r="F9087" t="inlineStr">
        <is>
          <t>Bergvik skog öst AB</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56644-2023</t>
        </is>
      </c>
      <c r="B9088" s="1" t="n">
        <v>45243</v>
      </c>
      <c r="C9088" s="1" t="n">
        <v>45677</v>
      </c>
      <c r="D9088" t="inlineStr">
        <is>
          <t>GÄVLEBORGS LÄN</t>
        </is>
      </c>
      <c r="E9088" t="inlineStr">
        <is>
          <t>OCKELBO</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56456-2023</t>
        </is>
      </c>
      <c r="B9089" s="1" t="n">
        <v>45243</v>
      </c>
      <c r="C9089" s="1" t="n">
        <v>45677</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56462-2023</t>
        </is>
      </c>
      <c r="B9090" s="1" t="n">
        <v>45243</v>
      </c>
      <c r="C9090" s="1" t="n">
        <v>45677</v>
      </c>
      <c r="D9090" t="inlineStr">
        <is>
          <t>GÄVLEBORGS LÄN</t>
        </is>
      </c>
      <c r="E9090" t="inlineStr">
        <is>
          <t>GÄVLE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56502-2023</t>
        </is>
      </c>
      <c r="B9091" s="1" t="n">
        <v>45243</v>
      </c>
      <c r="C9091" s="1" t="n">
        <v>45677</v>
      </c>
      <c r="D9091" t="inlineStr">
        <is>
          <t>GÄVLEBORGS LÄN</t>
        </is>
      </c>
      <c r="E9091" t="inlineStr">
        <is>
          <t>SÖDERHAMN</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56508-2023</t>
        </is>
      </c>
      <c r="B9092" s="1" t="n">
        <v>45243</v>
      </c>
      <c r="C9092" s="1" t="n">
        <v>45677</v>
      </c>
      <c r="D9092" t="inlineStr">
        <is>
          <t>GÄVLEBORGS LÄN</t>
        </is>
      </c>
      <c r="E9092" t="inlineStr">
        <is>
          <t>BOLLNÄS</t>
        </is>
      </c>
      <c r="F9092" t="inlineStr">
        <is>
          <t>Sveaskog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56586-2023</t>
        </is>
      </c>
      <c r="B9093" s="1" t="n">
        <v>45243</v>
      </c>
      <c r="C9093" s="1" t="n">
        <v>45677</v>
      </c>
      <c r="D9093" t="inlineStr">
        <is>
          <t>GÄVLEBORGS LÄN</t>
        </is>
      </c>
      <c r="E9093" t="inlineStr">
        <is>
          <t>NORDANSTIG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56591-2023</t>
        </is>
      </c>
      <c r="B9094" s="1" t="n">
        <v>45243</v>
      </c>
      <c r="C9094" s="1" t="n">
        <v>45677</v>
      </c>
      <c r="D9094" t="inlineStr">
        <is>
          <t>GÄVLEBORGS LÄN</t>
        </is>
      </c>
      <c r="E9094" t="inlineStr">
        <is>
          <t>HUDIKSVALL</t>
        </is>
      </c>
      <c r="F9094" t="inlineStr">
        <is>
          <t>Holmen skog AB</t>
        </is>
      </c>
      <c r="G9094" t="n">
        <v>16.8</v>
      </c>
      <c r="H9094" t="n">
        <v>0</v>
      </c>
      <c r="I9094" t="n">
        <v>0</v>
      </c>
      <c r="J9094" t="n">
        <v>0</v>
      </c>
      <c r="K9094" t="n">
        <v>0</v>
      </c>
      <c r="L9094" t="n">
        <v>0</v>
      </c>
      <c r="M9094" t="n">
        <v>0</v>
      </c>
      <c r="N9094" t="n">
        <v>0</v>
      </c>
      <c r="O9094" t="n">
        <v>0</v>
      </c>
      <c r="P9094" t="n">
        <v>0</v>
      </c>
      <c r="Q9094" t="n">
        <v>0</v>
      </c>
      <c r="R9094" s="2" t="inlineStr"/>
    </row>
    <row r="9095" ht="15" customHeight="1">
      <c r="A9095" t="inlineStr">
        <is>
          <t>A 56631-2023</t>
        </is>
      </c>
      <c r="B9095" s="1" t="n">
        <v>45243</v>
      </c>
      <c r="C9095" s="1" t="n">
        <v>45677</v>
      </c>
      <c r="D9095" t="inlineStr">
        <is>
          <t>GÄVLEBORGS LÄN</t>
        </is>
      </c>
      <c r="E9095" t="inlineStr">
        <is>
          <t>OCKELBO</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56643-2023</t>
        </is>
      </c>
      <c r="B9096" s="1" t="n">
        <v>45243</v>
      </c>
      <c r="C9096" s="1" t="n">
        <v>45677</v>
      </c>
      <c r="D9096" t="inlineStr">
        <is>
          <t>GÄVLEBORGS LÄN</t>
        </is>
      </c>
      <c r="E9096" t="inlineStr">
        <is>
          <t>LJUSDAL</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56321-2023</t>
        </is>
      </c>
      <c r="B9097" s="1" t="n">
        <v>45243</v>
      </c>
      <c r="C9097" s="1" t="n">
        <v>45677</v>
      </c>
      <c r="D9097" t="inlineStr">
        <is>
          <t>GÄVLEBORGS LÄN</t>
        </is>
      </c>
      <c r="E9097" t="inlineStr">
        <is>
          <t>SANDVIKEN</t>
        </is>
      </c>
      <c r="F9097" t="inlineStr">
        <is>
          <t>Bergvik skog öst AB</t>
        </is>
      </c>
      <c r="G9097" t="n">
        <v>48.7</v>
      </c>
      <c r="H9097" t="n">
        <v>0</v>
      </c>
      <c r="I9097" t="n">
        <v>0</v>
      </c>
      <c r="J9097" t="n">
        <v>0</v>
      </c>
      <c r="K9097" t="n">
        <v>0</v>
      </c>
      <c r="L9097" t="n">
        <v>0</v>
      </c>
      <c r="M9097" t="n">
        <v>0</v>
      </c>
      <c r="N9097" t="n">
        <v>0</v>
      </c>
      <c r="O9097" t="n">
        <v>0</v>
      </c>
      <c r="P9097" t="n">
        <v>0</v>
      </c>
      <c r="Q9097" t="n">
        <v>0</v>
      </c>
      <c r="R9097" s="2" t="inlineStr"/>
    </row>
    <row r="9098" ht="15" customHeight="1">
      <c r="A9098" t="inlineStr">
        <is>
          <t>A 56330-2023</t>
        </is>
      </c>
      <c r="B9098" s="1" t="n">
        <v>45243</v>
      </c>
      <c r="C9098" s="1" t="n">
        <v>45677</v>
      </c>
      <c r="D9098" t="inlineStr">
        <is>
          <t>GÄVLEBORGS LÄN</t>
        </is>
      </c>
      <c r="E9098" t="inlineStr">
        <is>
          <t>LJUSDAL</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56371-2023</t>
        </is>
      </c>
      <c r="B9099" s="1" t="n">
        <v>45243</v>
      </c>
      <c r="C9099" s="1" t="n">
        <v>45677</v>
      </c>
      <c r="D9099" t="inlineStr">
        <is>
          <t>GÄVLEBORGS LÄN</t>
        </is>
      </c>
      <c r="E9099" t="inlineStr">
        <is>
          <t>SANDVIKEN</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56447-2023</t>
        </is>
      </c>
      <c r="B9100" s="1" t="n">
        <v>45243</v>
      </c>
      <c r="C9100" s="1" t="n">
        <v>45677</v>
      </c>
      <c r="D9100" t="inlineStr">
        <is>
          <t>GÄVLEBORGS LÄN</t>
        </is>
      </c>
      <c r="E9100" t="inlineStr">
        <is>
          <t>GÄVLE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56464-2023</t>
        </is>
      </c>
      <c r="B9101" s="1" t="n">
        <v>45243</v>
      </c>
      <c r="C9101" s="1" t="n">
        <v>45677</v>
      </c>
      <c r="D9101" t="inlineStr">
        <is>
          <t>GÄVLEBORGS LÄN</t>
        </is>
      </c>
      <c r="E9101" t="inlineStr">
        <is>
          <t>LJUSDAL</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56500-2023</t>
        </is>
      </c>
      <c r="B9102" s="1" t="n">
        <v>45243</v>
      </c>
      <c r="C9102" s="1" t="n">
        <v>45677</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56598-2023</t>
        </is>
      </c>
      <c r="B9103" s="1" t="n">
        <v>45243</v>
      </c>
      <c r="C9103" s="1" t="n">
        <v>45677</v>
      </c>
      <c r="D9103" t="inlineStr">
        <is>
          <t>GÄVLEBORGS LÄN</t>
        </is>
      </c>
      <c r="E9103" t="inlineStr">
        <is>
          <t>OVANÅKER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56608-2023</t>
        </is>
      </c>
      <c r="B9104" s="1" t="n">
        <v>45243</v>
      </c>
      <c r="C9104" s="1" t="n">
        <v>45677</v>
      </c>
      <c r="D9104" t="inlineStr">
        <is>
          <t>GÄVLEBORGS LÄN</t>
        </is>
      </c>
      <c r="E9104" t="inlineStr">
        <is>
          <t>OCKELBO</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56707-2023</t>
        </is>
      </c>
      <c r="B9105" s="1" t="n">
        <v>45244</v>
      </c>
      <c r="C9105" s="1" t="n">
        <v>45677</v>
      </c>
      <c r="D9105" t="inlineStr">
        <is>
          <t>GÄVLEBORGS LÄN</t>
        </is>
      </c>
      <c r="E9105" t="inlineStr">
        <is>
          <t>OVANÅKER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56738-2023</t>
        </is>
      </c>
      <c r="B9106" s="1" t="n">
        <v>45244</v>
      </c>
      <c r="C9106" s="1" t="n">
        <v>45677</v>
      </c>
      <c r="D9106" t="inlineStr">
        <is>
          <t>GÄVLEBORGS LÄN</t>
        </is>
      </c>
      <c r="E9106" t="inlineStr">
        <is>
          <t>HUDIKSVALL</t>
        </is>
      </c>
      <c r="F9106" t="inlineStr">
        <is>
          <t>Holmen skog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56704-2023</t>
        </is>
      </c>
      <c r="B9107" s="1" t="n">
        <v>45244</v>
      </c>
      <c r="C9107" s="1" t="n">
        <v>45677</v>
      </c>
      <c r="D9107" t="inlineStr">
        <is>
          <t>GÄVLEBORGS LÄN</t>
        </is>
      </c>
      <c r="E9107" t="inlineStr">
        <is>
          <t>BOLLNÄS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56708-2023</t>
        </is>
      </c>
      <c r="B9108" s="1" t="n">
        <v>45244</v>
      </c>
      <c r="C9108" s="1" t="n">
        <v>45677</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56755-2023</t>
        </is>
      </c>
      <c r="B9109" s="1" t="n">
        <v>45244</v>
      </c>
      <c r="C9109" s="1" t="n">
        <v>45677</v>
      </c>
      <c r="D9109" t="inlineStr">
        <is>
          <t>GÄVLEBORGS LÄN</t>
        </is>
      </c>
      <c r="E9109" t="inlineStr">
        <is>
          <t>HUDIKSVALL</t>
        </is>
      </c>
      <c r="F9109" t="inlineStr">
        <is>
          <t>Holmen skog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56817-2023</t>
        </is>
      </c>
      <c r="B9110" s="1" t="n">
        <v>45244</v>
      </c>
      <c r="C9110" s="1" t="n">
        <v>45677</v>
      </c>
      <c r="D9110" t="inlineStr">
        <is>
          <t>GÄVLEBORGS LÄN</t>
        </is>
      </c>
      <c r="E9110" t="inlineStr">
        <is>
          <t>HUDIKSVALL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56862-2023</t>
        </is>
      </c>
      <c r="B9111" s="1" t="n">
        <v>45244</v>
      </c>
      <c r="C9111" s="1" t="n">
        <v>45677</v>
      </c>
      <c r="D9111" t="inlineStr">
        <is>
          <t>GÄVLEBORGS LÄN</t>
        </is>
      </c>
      <c r="E9111" t="inlineStr">
        <is>
          <t>HUDIKSVALL</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56985-2023</t>
        </is>
      </c>
      <c r="B9112" s="1" t="n">
        <v>45244</v>
      </c>
      <c r="C9112" s="1" t="n">
        <v>45677</v>
      </c>
      <c r="D9112" t="inlineStr">
        <is>
          <t>GÄVLEBORGS LÄN</t>
        </is>
      </c>
      <c r="E9112" t="inlineStr">
        <is>
          <t>LJUSDAL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57015-2023</t>
        </is>
      </c>
      <c r="B9113" s="1" t="n">
        <v>45244</v>
      </c>
      <c r="C9113" s="1" t="n">
        <v>45677</v>
      </c>
      <c r="D9113" t="inlineStr">
        <is>
          <t>GÄVLEBORGS LÄN</t>
        </is>
      </c>
      <c r="E9113" t="inlineStr">
        <is>
          <t>HUDIKSVALL</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56816-2023</t>
        </is>
      </c>
      <c r="B9114" s="1" t="n">
        <v>45244</v>
      </c>
      <c r="C9114" s="1" t="n">
        <v>45677</v>
      </c>
      <c r="D9114" t="inlineStr">
        <is>
          <t>GÄVLEBORGS LÄN</t>
        </is>
      </c>
      <c r="E9114" t="inlineStr">
        <is>
          <t>HUDIKSVALL</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56820-2023</t>
        </is>
      </c>
      <c r="B9115" s="1" t="n">
        <v>45244</v>
      </c>
      <c r="C9115" s="1" t="n">
        <v>45677</v>
      </c>
      <c r="D9115" t="inlineStr">
        <is>
          <t>GÄVLEBORGS LÄN</t>
        </is>
      </c>
      <c r="E9115" t="inlineStr">
        <is>
          <t>HUDIKSVALL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56865-2023</t>
        </is>
      </c>
      <c r="B9116" s="1" t="n">
        <v>45244</v>
      </c>
      <c r="C9116" s="1" t="n">
        <v>45677</v>
      </c>
      <c r="D9116" t="inlineStr">
        <is>
          <t>GÄVLEBORGS LÄN</t>
        </is>
      </c>
      <c r="E9116" t="inlineStr">
        <is>
          <t>HUDIKSVALL</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56825-2023</t>
        </is>
      </c>
      <c r="B9117" s="1" t="n">
        <v>45244</v>
      </c>
      <c r="C9117" s="1" t="n">
        <v>45677</v>
      </c>
      <c r="D9117" t="inlineStr">
        <is>
          <t>GÄVLEBORGS LÄN</t>
        </is>
      </c>
      <c r="E9117" t="inlineStr">
        <is>
          <t>HUDIKSVALL</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56864-2023</t>
        </is>
      </c>
      <c r="B9118" s="1" t="n">
        <v>45244</v>
      </c>
      <c r="C9118" s="1" t="n">
        <v>45677</v>
      </c>
      <c r="D9118" t="inlineStr">
        <is>
          <t>GÄVLEBORGS LÄN</t>
        </is>
      </c>
      <c r="E9118" t="inlineStr">
        <is>
          <t>HUDIKSVALL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56882-2023</t>
        </is>
      </c>
      <c r="B9119" s="1" t="n">
        <v>45244</v>
      </c>
      <c r="C9119" s="1" t="n">
        <v>45677</v>
      </c>
      <c r="D9119" t="inlineStr">
        <is>
          <t>GÄVLEBORGS LÄN</t>
        </is>
      </c>
      <c r="E9119" t="inlineStr">
        <is>
          <t>HUDIKSVALL</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56894-2023</t>
        </is>
      </c>
      <c r="B9120" s="1" t="n">
        <v>45244</v>
      </c>
      <c r="C9120" s="1" t="n">
        <v>45677</v>
      </c>
      <c r="D9120" t="inlineStr">
        <is>
          <t>GÄVLEBORGS LÄN</t>
        </is>
      </c>
      <c r="E9120" t="inlineStr">
        <is>
          <t>HUDIKSVALL</t>
        </is>
      </c>
      <c r="F9120" t="inlineStr">
        <is>
          <t>Holmen skog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56898-2023</t>
        </is>
      </c>
      <c r="B9121" s="1" t="n">
        <v>45244</v>
      </c>
      <c r="C9121" s="1" t="n">
        <v>45677</v>
      </c>
      <c r="D9121" t="inlineStr">
        <is>
          <t>GÄVLEBORGS LÄN</t>
        </is>
      </c>
      <c r="E9121" t="inlineStr">
        <is>
          <t>HUDIKSVALL</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56945-2023</t>
        </is>
      </c>
      <c r="B9122" s="1" t="n">
        <v>45244</v>
      </c>
      <c r="C9122" s="1" t="n">
        <v>45677</v>
      </c>
      <c r="D9122" t="inlineStr">
        <is>
          <t>GÄVLEBORGS LÄN</t>
        </is>
      </c>
      <c r="E9122" t="inlineStr">
        <is>
          <t>BOLLNÄS</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56983-2023</t>
        </is>
      </c>
      <c r="B9123" s="1" t="n">
        <v>45244</v>
      </c>
      <c r="C9123" s="1" t="n">
        <v>45677</v>
      </c>
      <c r="D9123" t="inlineStr">
        <is>
          <t>GÄVLEBORGS LÄN</t>
        </is>
      </c>
      <c r="E9123" t="inlineStr">
        <is>
          <t>LJUSDAL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57064-2023</t>
        </is>
      </c>
      <c r="B9124" s="1" t="n">
        <v>45245</v>
      </c>
      <c r="C9124" s="1" t="n">
        <v>45677</v>
      </c>
      <c r="D9124" t="inlineStr">
        <is>
          <t>GÄVLEBORGS LÄN</t>
        </is>
      </c>
      <c r="E9124" t="inlineStr">
        <is>
          <t>LJUSDAL</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57065-2023</t>
        </is>
      </c>
      <c r="B9125" s="1" t="n">
        <v>45245</v>
      </c>
      <c r="C9125" s="1" t="n">
        <v>45677</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57061-2023</t>
        </is>
      </c>
      <c r="B9126" s="1" t="n">
        <v>45244</v>
      </c>
      <c r="C9126" s="1" t="n">
        <v>45677</v>
      </c>
      <c r="D9126" t="inlineStr">
        <is>
          <t>GÄVLEBORGS LÄN</t>
        </is>
      </c>
      <c r="E9126" t="inlineStr">
        <is>
          <t>LJUSDAL</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57949-2023</t>
        </is>
      </c>
      <c r="B9127" s="1" t="n">
        <v>45244</v>
      </c>
      <c r="C9127" s="1" t="n">
        <v>45677</v>
      </c>
      <c r="D9127" t="inlineStr">
        <is>
          <t>GÄVLEBORGS LÄN</t>
        </is>
      </c>
      <c r="E9127" t="inlineStr">
        <is>
          <t>HUDIKSVALL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57095-2023</t>
        </is>
      </c>
      <c r="B9128" s="1" t="n">
        <v>45245</v>
      </c>
      <c r="C9128" s="1" t="n">
        <v>45677</v>
      </c>
      <c r="D9128" t="inlineStr">
        <is>
          <t>GÄVLEBORGS LÄN</t>
        </is>
      </c>
      <c r="E9128" t="inlineStr">
        <is>
          <t>SANDVIKEN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57156-2023</t>
        </is>
      </c>
      <c r="B9129" s="1" t="n">
        <v>45245</v>
      </c>
      <c r="C9129" s="1" t="n">
        <v>45677</v>
      </c>
      <c r="D9129" t="inlineStr">
        <is>
          <t>GÄVLEBORGS LÄN</t>
        </is>
      </c>
      <c r="E9129" t="inlineStr">
        <is>
          <t>GÄVLE</t>
        </is>
      </c>
      <c r="F9129" t="inlineStr">
        <is>
          <t>Kyrkan</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57161-2023</t>
        </is>
      </c>
      <c r="B9130" s="1" t="n">
        <v>45245</v>
      </c>
      <c r="C9130" s="1" t="n">
        <v>45677</v>
      </c>
      <c r="D9130" t="inlineStr">
        <is>
          <t>GÄVLEBORGS LÄN</t>
        </is>
      </c>
      <c r="E9130" t="inlineStr">
        <is>
          <t>GÄVLE</t>
        </is>
      </c>
      <c r="F9130" t="inlineStr">
        <is>
          <t>Kyrkan</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57165-2023</t>
        </is>
      </c>
      <c r="B9131" s="1" t="n">
        <v>45245</v>
      </c>
      <c r="C9131" s="1" t="n">
        <v>45677</v>
      </c>
      <c r="D9131" t="inlineStr">
        <is>
          <t>GÄVLEBORGS LÄN</t>
        </is>
      </c>
      <c r="E9131" t="inlineStr">
        <is>
          <t>OVANÅKER</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57171-2023</t>
        </is>
      </c>
      <c r="B9132" s="1" t="n">
        <v>45245</v>
      </c>
      <c r="C9132" s="1" t="n">
        <v>45677</v>
      </c>
      <c r="D9132" t="inlineStr">
        <is>
          <t>GÄVLEBORGS LÄN</t>
        </is>
      </c>
      <c r="E9132" t="inlineStr">
        <is>
          <t>GÄVLE</t>
        </is>
      </c>
      <c r="F9132" t="inlineStr">
        <is>
          <t>Kyrkan</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57228-2023</t>
        </is>
      </c>
      <c r="B9133" s="1" t="n">
        <v>45245</v>
      </c>
      <c r="C9133" s="1" t="n">
        <v>45677</v>
      </c>
      <c r="D9133" t="inlineStr">
        <is>
          <t>GÄVLEBORGS LÄN</t>
        </is>
      </c>
      <c r="E9133" t="inlineStr">
        <is>
          <t>SANDVIKEN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57341-2023</t>
        </is>
      </c>
      <c r="B9134" s="1" t="n">
        <v>45245</v>
      </c>
      <c r="C9134" s="1" t="n">
        <v>45677</v>
      </c>
      <c r="D9134" t="inlineStr">
        <is>
          <t>GÄVLEBORGS LÄN</t>
        </is>
      </c>
      <c r="E9134" t="inlineStr">
        <is>
          <t>GÄVLE</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57129-2023</t>
        </is>
      </c>
      <c r="B9135" s="1" t="n">
        <v>45245</v>
      </c>
      <c r="C9135" s="1" t="n">
        <v>45677</v>
      </c>
      <c r="D9135" t="inlineStr">
        <is>
          <t>GÄVLEBORGS LÄN</t>
        </is>
      </c>
      <c r="E9135" t="inlineStr">
        <is>
          <t>SANDVIKEN</t>
        </is>
      </c>
      <c r="F9135" t="inlineStr">
        <is>
          <t>Bergvik skog öst AB</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57177-2023</t>
        </is>
      </c>
      <c r="B9136" s="1" t="n">
        <v>45245</v>
      </c>
      <c r="C9136" s="1" t="n">
        <v>45677</v>
      </c>
      <c r="D9136" t="inlineStr">
        <is>
          <t>GÄVLEBORGS LÄN</t>
        </is>
      </c>
      <c r="E9136" t="inlineStr">
        <is>
          <t>GÄVLE</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57184-2023</t>
        </is>
      </c>
      <c r="B9137" s="1" t="n">
        <v>45245</v>
      </c>
      <c r="C9137" s="1" t="n">
        <v>45677</v>
      </c>
      <c r="D9137" t="inlineStr">
        <is>
          <t>GÄVLEBORGS LÄN</t>
        </is>
      </c>
      <c r="E9137" t="inlineStr">
        <is>
          <t>GÄVLE</t>
        </is>
      </c>
      <c r="F9137" t="inlineStr">
        <is>
          <t>Kyrkan</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57096-2023</t>
        </is>
      </c>
      <c r="B9138" s="1" t="n">
        <v>45245</v>
      </c>
      <c r="C9138" s="1" t="n">
        <v>45677</v>
      </c>
      <c r="D9138" t="inlineStr">
        <is>
          <t>GÄVLEBORGS LÄN</t>
        </is>
      </c>
      <c r="E9138" t="inlineStr">
        <is>
          <t>LJUSDAL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57101-2023</t>
        </is>
      </c>
      <c r="B9139" s="1" t="n">
        <v>45245</v>
      </c>
      <c r="C9139" s="1" t="n">
        <v>45677</v>
      </c>
      <c r="D9139" t="inlineStr">
        <is>
          <t>GÄVLEBORGS LÄN</t>
        </is>
      </c>
      <c r="E9139" t="inlineStr">
        <is>
          <t>LJUSDAL</t>
        </is>
      </c>
      <c r="F9139" t="inlineStr">
        <is>
          <t>Holmen skog AB</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57227-2023</t>
        </is>
      </c>
      <c r="B9140" s="1" t="n">
        <v>45245</v>
      </c>
      <c r="C9140" s="1" t="n">
        <v>45677</v>
      </c>
      <c r="D9140" t="inlineStr">
        <is>
          <t>GÄVLEBORGS LÄN</t>
        </is>
      </c>
      <c r="E9140" t="inlineStr">
        <is>
          <t>SANDVIKEN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57122-2023</t>
        </is>
      </c>
      <c r="B9141" s="1" t="n">
        <v>45245</v>
      </c>
      <c r="C9141" s="1" t="n">
        <v>45677</v>
      </c>
      <c r="D9141" t="inlineStr">
        <is>
          <t>GÄVLEBORGS LÄN</t>
        </is>
      </c>
      <c r="E9141" t="inlineStr">
        <is>
          <t>GÄVLE</t>
        </is>
      </c>
      <c r="F9141" t="inlineStr">
        <is>
          <t>Kyrkan</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57166-2023</t>
        </is>
      </c>
      <c r="B9142" s="1" t="n">
        <v>45245</v>
      </c>
      <c r="C9142" s="1" t="n">
        <v>45677</v>
      </c>
      <c r="D9142" t="inlineStr">
        <is>
          <t>GÄVLEBORGS LÄN</t>
        </is>
      </c>
      <c r="E9142" t="inlineStr">
        <is>
          <t>GÄVLE</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57172-2023</t>
        </is>
      </c>
      <c r="B9143" s="1" t="n">
        <v>45245</v>
      </c>
      <c r="C9143" s="1" t="n">
        <v>45677</v>
      </c>
      <c r="D9143" t="inlineStr">
        <is>
          <t>GÄVLEBORGS LÄN</t>
        </is>
      </c>
      <c r="E9143" t="inlineStr">
        <is>
          <t>HUDIKSVALL</t>
        </is>
      </c>
      <c r="F9143" t="inlineStr">
        <is>
          <t>Holmen skog AB</t>
        </is>
      </c>
      <c r="G9143" t="n">
        <v>22.5</v>
      </c>
      <c r="H9143" t="n">
        <v>0</v>
      </c>
      <c r="I9143" t="n">
        <v>0</v>
      </c>
      <c r="J9143" t="n">
        <v>0</v>
      </c>
      <c r="K9143" t="n">
        <v>0</v>
      </c>
      <c r="L9143" t="n">
        <v>0</v>
      </c>
      <c r="M9143" t="n">
        <v>0</v>
      </c>
      <c r="N9143" t="n">
        <v>0</v>
      </c>
      <c r="O9143" t="n">
        <v>0</v>
      </c>
      <c r="P9143" t="n">
        <v>0</v>
      </c>
      <c r="Q9143" t="n">
        <v>0</v>
      </c>
      <c r="R9143" s="2" t="inlineStr"/>
    </row>
    <row r="9144" ht="15" customHeight="1">
      <c r="A9144" t="inlineStr">
        <is>
          <t>A 57253-2023</t>
        </is>
      </c>
      <c r="B9144" s="1" t="n">
        <v>45245</v>
      </c>
      <c r="C9144" s="1" t="n">
        <v>45677</v>
      </c>
      <c r="D9144" t="inlineStr">
        <is>
          <t>GÄVLEBORGS LÄN</t>
        </is>
      </c>
      <c r="E9144" t="inlineStr">
        <is>
          <t>NORDANSTIG</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57087-2023</t>
        </is>
      </c>
      <c r="B9145" s="1" t="n">
        <v>45245</v>
      </c>
      <c r="C9145" s="1" t="n">
        <v>45677</v>
      </c>
      <c r="D9145" t="inlineStr">
        <is>
          <t>GÄVLEBORGS LÄN</t>
        </is>
      </c>
      <c r="E9145" t="inlineStr">
        <is>
          <t>SANDVIKEN</t>
        </is>
      </c>
      <c r="F9145" t="inlineStr">
        <is>
          <t>Bergvik skog öst AB</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57098-2023</t>
        </is>
      </c>
      <c r="B9146" s="1" t="n">
        <v>45245</v>
      </c>
      <c r="C9146" s="1" t="n">
        <v>45677</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57103-2023</t>
        </is>
      </c>
      <c r="B9147" s="1" t="n">
        <v>45245</v>
      </c>
      <c r="C9147" s="1" t="n">
        <v>45677</v>
      </c>
      <c r="D9147" t="inlineStr">
        <is>
          <t>GÄVLEBORGS LÄN</t>
        </is>
      </c>
      <c r="E9147" t="inlineStr">
        <is>
          <t>SÖDERHAMN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57145-2023</t>
        </is>
      </c>
      <c r="B9148" s="1" t="n">
        <v>45245</v>
      </c>
      <c r="C9148" s="1" t="n">
        <v>45677</v>
      </c>
      <c r="D9148" t="inlineStr">
        <is>
          <t>GÄVLEBORGS LÄN</t>
        </is>
      </c>
      <c r="E9148" t="inlineStr">
        <is>
          <t>SANDVIKEN</t>
        </is>
      </c>
      <c r="F9148" t="inlineStr">
        <is>
          <t>Bergvik skog öst AB</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57163-2023</t>
        </is>
      </c>
      <c r="B9149" s="1" t="n">
        <v>45245</v>
      </c>
      <c r="C9149" s="1" t="n">
        <v>45677</v>
      </c>
      <c r="D9149" t="inlineStr">
        <is>
          <t>GÄVLEBORGS LÄN</t>
        </is>
      </c>
      <c r="E9149" t="inlineStr">
        <is>
          <t>SANDVIKEN</t>
        </is>
      </c>
      <c r="F9149" t="inlineStr">
        <is>
          <t>Bergvik skog öst AB</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57168-2023</t>
        </is>
      </c>
      <c r="B9150" s="1" t="n">
        <v>45245</v>
      </c>
      <c r="C9150" s="1" t="n">
        <v>45677</v>
      </c>
      <c r="D9150" t="inlineStr">
        <is>
          <t>GÄVLEBORGS LÄN</t>
        </is>
      </c>
      <c r="E9150" t="inlineStr">
        <is>
          <t>GÄVLE</t>
        </is>
      </c>
      <c r="F9150" t="inlineStr">
        <is>
          <t>Kyrkan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58182-2023</t>
        </is>
      </c>
      <c r="B9151" s="1" t="n">
        <v>45245</v>
      </c>
      <c r="C9151" s="1" t="n">
        <v>45677</v>
      </c>
      <c r="D9151" t="inlineStr">
        <is>
          <t>GÄVLEBORGS LÄN</t>
        </is>
      </c>
      <c r="E9151" t="inlineStr">
        <is>
          <t>SANDVIKEN</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57479-2023</t>
        </is>
      </c>
      <c r="B9152" s="1" t="n">
        <v>45246</v>
      </c>
      <c r="C9152" s="1" t="n">
        <v>45677</v>
      </c>
      <c r="D9152" t="inlineStr">
        <is>
          <t>GÄVLEBORGS LÄN</t>
        </is>
      </c>
      <c r="E9152" t="inlineStr">
        <is>
          <t>LJUSDAL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57510-2023</t>
        </is>
      </c>
      <c r="B9153" s="1" t="n">
        <v>45246</v>
      </c>
      <c r="C9153" s="1" t="n">
        <v>45677</v>
      </c>
      <c r="D9153" t="inlineStr">
        <is>
          <t>GÄVLEBORGS LÄN</t>
        </is>
      </c>
      <c r="E9153" t="inlineStr">
        <is>
          <t>BOLLNÄS</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57430-2023</t>
        </is>
      </c>
      <c r="B9154" s="1" t="n">
        <v>45246</v>
      </c>
      <c r="C9154" s="1" t="n">
        <v>45677</v>
      </c>
      <c r="D9154" t="inlineStr">
        <is>
          <t>GÄVLEBORGS LÄN</t>
        </is>
      </c>
      <c r="E9154" t="inlineStr">
        <is>
          <t>HUDIKSVALL</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57464-2023</t>
        </is>
      </c>
      <c r="B9155" s="1" t="n">
        <v>45246</v>
      </c>
      <c r="C9155" s="1" t="n">
        <v>45677</v>
      </c>
      <c r="D9155" t="inlineStr">
        <is>
          <t>GÄVLEBORGS LÄN</t>
        </is>
      </c>
      <c r="E9155" t="inlineStr">
        <is>
          <t>HUDIKSVALL</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57475-2023</t>
        </is>
      </c>
      <c r="B9156" s="1" t="n">
        <v>45246</v>
      </c>
      <c r="C9156" s="1" t="n">
        <v>45677</v>
      </c>
      <c r="D9156" t="inlineStr">
        <is>
          <t>GÄVLEBORGS LÄN</t>
        </is>
      </c>
      <c r="E9156" t="inlineStr">
        <is>
          <t>LJUSDAL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57463-2023</t>
        </is>
      </c>
      <c r="B9157" s="1" t="n">
        <v>45246</v>
      </c>
      <c r="C9157" s="1" t="n">
        <v>45677</v>
      </c>
      <c r="D9157" t="inlineStr">
        <is>
          <t>GÄVLEBORGS LÄN</t>
        </is>
      </c>
      <c r="E9157" t="inlineStr">
        <is>
          <t>NORDANSTIG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57488-2023</t>
        </is>
      </c>
      <c r="B9158" s="1" t="n">
        <v>45246</v>
      </c>
      <c r="C9158" s="1" t="n">
        <v>45677</v>
      </c>
      <c r="D9158" t="inlineStr">
        <is>
          <t>GÄVLEBORGS LÄN</t>
        </is>
      </c>
      <c r="E9158" t="inlineStr">
        <is>
          <t>NORDANSTIG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57609-2023</t>
        </is>
      </c>
      <c r="B9159" s="1" t="n">
        <v>45246</v>
      </c>
      <c r="C9159" s="1" t="n">
        <v>45677</v>
      </c>
      <c r="D9159" t="inlineStr">
        <is>
          <t>GÄVLEBORGS LÄN</t>
        </is>
      </c>
      <c r="E9159" t="inlineStr">
        <is>
          <t>SANDVIKEN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57500-2023</t>
        </is>
      </c>
      <c r="B9160" s="1" t="n">
        <v>45246</v>
      </c>
      <c r="C9160" s="1" t="n">
        <v>45677</v>
      </c>
      <c r="D9160" t="inlineStr">
        <is>
          <t>GÄVLEBORGS LÄN</t>
        </is>
      </c>
      <c r="E9160" t="inlineStr">
        <is>
          <t>SÖDERHAMN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57505-2023</t>
        </is>
      </c>
      <c r="B9161" s="1" t="n">
        <v>45246</v>
      </c>
      <c r="C9161" s="1" t="n">
        <v>45677</v>
      </c>
      <c r="D9161" t="inlineStr">
        <is>
          <t>GÄVLEBORGS LÄN</t>
        </is>
      </c>
      <c r="E9161" t="inlineStr">
        <is>
          <t>BOLLNÄS</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57649-2023</t>
        </is>
      </c>
      <c r="B9162" s="1" t="n">
        <v>45246</v>
      </c>
      <c r="C9162" s="1" t="n">
        <v>45677</v>
      </c>
      <c r="D9162" t="inlineStr">
        <is>
          <t>GÄVLEBORGS LÄN</t>
        </is>
      </c>
      <c r="E9162" t="inlineStr">
        <is>
          <t>LJUSDAL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57546-2023</t>
        </is>
      </c>
      <c r="B9163" s="1" t="n">
        <v>45246</v>
      </c>
      <c r="C9163" s="1" t="n">
        <v>45677</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57594-2023</t>
        </is>
      </c>
      <c r="B9164" s="1" t="n">
        <v>45246</v>
      </c>
      <c r="C9164" s="1" t="n">
        <v>45677</v>
      </c>
      <c r="D9164" t="inlineStr">
        <is>
          <t>GÄVLEBORGS LÄN</t>
        </is>
      </c>
      <c r="E9164" t="inlineStr">
        <is>
          <t>SANDVIKEN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57714-2023</t>
        </is>
      </c>
      <c r="B9165" s="1" t="n">
        <v>45246</v>
      </c>
      <c r="C9165" s="1" t="n">
        <v>45677</v>
      </c>
      <c r="D9165" t="inlineStr">
        <is>
          <t>GÄVLEBORGS LÄN</t>
        </is>
      </c>
      <c r="E9165" t="inlineStr">
        <is>
          <t>BOLLNÄS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57644-2023</t>
        </is>
      </c>
      <c r="B9166" s="1" t="n">
        <v>45246</v>
      </c>
      <c r="C9166" s="1" t="n">
        <v>45677</v>
      </c>
      <c r="D9166" t="inlineStr">
        <is>
          <t>GÄVLEBORGS LÄN</t>
        </is>
      </c>
      <c r="E9166" t="inlineStr">
        <is>
          <t>LJUSDAL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57656-2023</t>
        </is>
      </c>
      <c r="B9167" s="1" t="n">
        <v>45246</v>
      </c>
      <c r="C9167" s="1" t="n">
        <v>45677</v>
      </c>
      <c r="D9167" t="inlineStr">
        <is>
          <t>GÄVLEBORGS LÄN</t>
        </is>
      </c>
      <c r="E9167" t="inlineStr">
        <is>
          <t>NORDANSTIG</t>
        </is>
      </c>
      <c r="F9167" t="inlineStr">
        <is>
          <t>Holmen skog AB</t>
        </is>
      </c>
      <c r="G9167" t="n">
        <v>10</v>
      </c>
      <c r="H9167" t="n">
        <v>0</v>
      </c>
      <c r="I9167" t="n">
        <v>0</v>
      </c>
      <c r="J9167" t="n">
        <v>0</v>
      </c>
      <c r="K9167" t="n">
        <v>0</v>
      </c>
      <c r="L9167" t="n">
        <v>0</v>
      </c>
      <c r="M9167" t="n">
        <v>0</v>
      </c>
      <c r="N9167" t="n">
        <v>0</v>
      </c>
      <c r="O9167" t="n">
        <v>0</v>
      </c>
      <c r="P9167" t="n">
        <v>0</v>
      </c>
      <c r="Q9167" t="n">
        <v>0</v>
      </c>
      <c r="R9167" s="2" t="inlineStr"/>
    </row>
    <row r="9168" ht="15" customHeight="1">
      <c r="A9168" t="inlineStr">
        <is>
          <t>A 57753-2023</t>
        </is>
      </c>
      <c r="B9168" s="1" t="n">
        <v>45246</v>
      </c>
      <c r="C9168" s="1" t="n">
        <v>45677</v>
      </c>
      <c r="D9168" t="inlineStr">
        <is>
          <t>GÄVLEBORGS LÄN</t>
        </is>
      </c>
      <c r="E9168" t="inlineStr">
        <is>
          <t>SÖDERHAMN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57796-2023</t>
        </is>
      </c>
      <c r="B9169" s="1" t="n">
        <v>45246</v>
      </c>
      <c r="C9169" s="1" t="n">
        <v>45677</v>
      </c>
      <c r="D9169" t="inlineStr">
        <is>
          <t>GÄVLEBORGS LÄN</t>
        </is>
      </c>
      <c r="E9169" t="inlineStr">
        <is>
          <t>NORDANSTIG</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57840-2023</t>
        </is>
      </c>
      <c r="B9170" s="1" t="n">
        <v>45247</v>
      </c>
      <c r="C9170" s="1" t="n">
        <v>45677</v>
      </c>
      <c r="D9170" t="inlineStr">
        <is>
          <t>GÄVLEBORGS LÄN</t>
        </is>
      </c>
      <c r="E9170" t="inlineStr">
        <is>
          <t>LJUSDAL</t>
        </is>
      </c>
      <c r="G9170" t="n">
        <v>10.2</v>
      </c>
      <c r="H9170" t="n">
        <v>0</v>
      </c>
      <c r="I9170" t="n">
        <v>0</v>
      </c>
      <c r="J9170" t="n">
        <v>0</v>
      </c>
      <c r="K9170" t="n">
        <v>0</v>
      </c>
      <c r="L9170" t="n">
        <v>0</v>
      </c>
      <c r="M9170" t="n">
        <v>0</v>
      </c>
      <c r="N9170" t="n">
        <v>0</v>
      </c>
      <c r="O9170" t="n">
        <v>0</v>
      </c>
      <c r="P9170" t="n">
        <v>0</v>
      </c>
      <c r="Q9170" t="n">
        <v>0</v>
      </c>
      <c r="R9170" s="2" t="inlineStr"/>
    </row>
    <row r="9171" ht="15" customHeight="1">
      <c r="A9171" t="inlineStr">
        <is>
          <t>A 57891-2023</t>
        </is>
      </c>
      <c r="B9171" s="1" t="n">
        <v>45247</v>
      </c>
      <c r="C9171" s="1" t="n">
        <v>45677</v>
      </c>
      <c r="D9171" t="inlineStr">
        <is>
          <t>GÄVLEBORGS LÄN</t>
        </is>
      </c>
      <c r="E9171" t="inlineStr">
        <is>
          <t>HUDIKSVALL</t>
        </is>
      </c>
      <c r="F9171" t="inlineStr">
        <is>
          <t>Holmen skog AB</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57871-2023</t>
        </is>
      </c>
      <c r="B9172" s="1" t="n">
        <v>45247</v>
      </c>
      <c r="C9172" s="1" t="n">
        <v>45677</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57899-2023</t>
        </is>
      </c>
      <c r="B9173" s="1" t="n">
        <v>45247</v>
      </c>
      <c r="C9173" s="1" t="n">
        <v>45677</v>
      </c>
      <c r="D9173" t="inlineStr">
        <is>
          <t>GÄVLEBORGS LÄN</t>
        </is>
      </c>
      <c r="E9173" t="inlineStr">
        <is>
          <t>OCKELBO</t>
        </is>
      </c>
      <c r="F9173" t="inlineStr">
        <is>
          <t>Bergvik skog väst AB</t>
        </is>
      </c>
      <c r="G9173" t="n">
        <v>14.2</v>
      </c>
      <c r="H9173" t="n">
        <v>0</v>
      </c>
      <c r="I9173" t="n">
        <v>0</v>
      </c>
      <c r="J9173" t="n">
        <v>0</v>
      </c>
      <c r="K9173" t="n">
        <v>0</v>
      </c>
      <c r="L9173" t="n">
        <v>0</v>
      </c>
      <c r="M9173" t="n">
        <v>0</v>
      </c>
      <c r="N9173" t="n">
        <v>0</v>
      </c>
      <c r="O9173" t="n">
        <v>0</v>
      </c>
      <c r="P9173" t="n">
        <v>0</v>
      </c>
      <c r="Q9173" t="n">
        <v>0</v>
      </c>
      <c r="R9173" s="2" t="inlineStr"/>
    </row>
    <row r="9174" ht="15" customHeight="1">
      <c r="A9174" t="inlineStr">
        <is>
          <t>A 57935-2023</t>
        </is>
      </c>
      <c r="B9174" s="1" t="n">
        <v>45247</v>
      </c>
      <c r="C9174" s="1" t="n">
        <v>45677</v>
      </c>
      <c r="D9174" t="inlineStr">
        <is>
          <t>GÄVLEBORGS LÄN</t>
        </is>
      </c>
      <c r="E9174" t="inlineStr">
        <is>
          <t>OCKELBO</t>
        </is>
      </c>
      <c r="F9174" t="inlineStr">
        <is>
          <t>Bergvik skog väst AB</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57940-2023</t>
        </is>
      </c>
      <c r="B9175" s="1" t="n">
        <v>45247</v>
      </c>
      <c r="C9175" s="1" t="n">
        <v>45677</v>
      </c>
      <c r="D9175" t="inlineStr">
        <is>
          <t>GÄVLEBORGS LÄN</t>
        </is>
      </c>
      <c r="E9175" t="inlineStr">
        <is>
          <t>OCKELBO</t>
        </is>
      </c>
      <c r="F9175" t="inlineStr">
        <is>
          <t>Bergvik skog väst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57951-2023</t>
        </is>
      </c>
      <c r="B9176" s="1" t="n">
        <v>45247</v>
      </c>
      <c r="C9176" s="1" t="n">
        <v>45677</v>
      </c>
      <c r="D9176" t="inlineStr">
        <is>
          <t>GÄVLEBORGS LÄN</t>
        </is>
      </c>
      <c r="E9176" t="inlineStr">
        <is>
          <t>OCKELBO</t>
        </is>
      </c>
      <c r="F9176" t="inlineStr">
        <is>
          <t>Bergvik skog väst AB</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58856-2023</t>
        </is>
      </c>
      <c r="B9177" s="1" t="n">
        <v>45247</v>
      </c>
      <c r="C9177" s="1" t="n">
        <v>45677</v>
      </c>
      <c r="D9177" t="inlineStr">
        <is>
          <t>GÄVLEBORGS LÄN</t>
        </is>
      </c>
      <c r="E9177" t="inlineStr">
        <is>
          <t>HUDIKSVALL</t>
        </is>
      </c>
      <c r="F9177" t="inlineStr">
        <is>
          <t>Holmen skog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57997-2023</t>
        </is>
      </c>
      <c r="B9178" s="1" t="n">
        <v>45247</v>
      </c>
      <c r="C9178" s="1" t="n">
        <v>45677</v>
      </c>
      <c r="D9178" t="inlineStr">
        <is>
          <t>GÄVLEBORGS LÄN</t>
        </is>
      </c>
      <c r="E9178" t="inlineStr">
        <is>
          <t>LJUSDAL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57857-2023</t>
        </is>
      </c>
      <c r="B9179" s="1" t="n">
        <v>45247</v>
      </c>
      <c r="C9179" s="1" t="n">
        <v>45677</v>
      </c>
      <c r="D9179" t="inlineStr">
        <is>
          <t>GÄVLEBORGS LÄN</t>
        </is>
      </c>
      <c r="E9179" t="inlineStr">
        <is>
          <t>GÄVLE</t>
        </is>
      </c>
      <c r="F9179" t="inlineStr">
        <is>
          <t>Bergvik skog öst AB</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57822-2023</t>
        </is>
      </c>
      <c r="B9180" s="1" t="n">
        <v>45247</v>
      </c>
      <c r="C9180" s="1" t="n">
        <v>45677</v>
      </c>
      <c r="D9180" t="inlineStr">
        <is>
          <t>GÄVLEBORGS LÄN</t>
        </is>
      </c>
      <c r="E9180" t="inlineStr">
        <is>
          <t>HUDIKSVALL</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57815-2023</t>
        </is>
      </c>
      <c r="B9181" s="1" t="n">
        <v>45247</v>
      </c>
      <c r="C9181" s="1" t="n">
        <v>45677</v>
      </c>
      <c r="D9181" t="inlineStr">
        <is>
          <t>GÄVLEBORGS LÄN</t>
        </is>
      </c>
      <c r="E9181" t="inlineStr">
        <is>
          <t>HUDIKSVALL</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58103-2023</t>
        </is>
      </c>
      <c r="B9182" s="1" t="n">
        <v>45249</v>
      </c>
      <c r="C9182" s="1" t="n">
        <v>45677</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58104-2023</t>
        </is>
      </c>
      <c r="B9183" s="1" t="n">
        <v>45249</v>
      </c>
      <c r="C9183" s="1" t="n">
        <v>45677</v>
      </c>
      <c r="D9183" t="inlineStr">
        <is>
          <t>GÄVLEBORGS LÄN</t>
        </is>
      </c>
      <c r="E9183" t="inlineStr">
        <is>
          <t>LJUSDAL</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58165-2023</t>
        </is>
      </c>
      <c r="B9184" s="1" t="n">
        <v>45250</v>
      </c>
      <c r="C9184" s="1" t="n">
        <v>45677</v>
      </c>
      <c r="D9184" t="inlineStr">
        <is>
          <t>GÄVLEBORGS LÄN</t>
        </is>
      </c>
      <c r="E9184" t="inlineStr">
        <is>
          <t>NORDANSTIG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58151-2023</t>
        </is>
      </c>
      <c r="B9185" s="1" t="n">
        <v>45250</v>
      </c>
      <c r="C9185" s="1" t="n">
        <v>45677</v>
      </c>
      <c r="D9185" t="inlineStr">
        <is>
          <t>GÄVLEBORGS LÄN</t>
        </is>
      </c>
      <c r="E9185" t="inlineStr">
        <is>
          <t>SANDVIKEN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58230-2023</t>
        </is>
      </c>
      <c r="B9186" s="1" t="n">
        <v>45250</v>
      </c>
      <c r="C9186" s="1" t="n">
        <v>45677</v>
      </c>
      <c r="D9186" t="inlineStr">
        <is>
          <t>GÄVLEBORGS LÄN</t>
        </is>
      </c>
      <c r="E9186" t="inlineStr">
        <is>
          <t>OCKELBO</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58153-2023</t>
        </is>
      </c>
      <c r="B9187" s="1" t="n">
        <v>45250</v>
      </c>
      <c r="C9187" s="1" t="n">
        <v>45677</v>
      </c>
      <c r="D9187" t="inlineStr">
        <is>
          <t>GÄVLEBORGS LÄN</t>
        </is>
      </c>
      <c r="E9187" t="inlineStr">
        <is>
          <t>GÄVLE</t>
        </is>
      </c>
      <c r="F9187" t="inlineStr">
        <is>
          <t>Kyrkan</t>
        </is>
      </c>
      <c r="G9187" t="n">
        <v>12.6</v>
      </c>
      <c r="H9187" t="n">
        <v>0</v>
      </c>
      <c r="I9187" t="n">
        <v>0</v>
      </c>
      <c r="J9187" t="n">
        <v>0</v>
      </c>
      <c r="K9187" t="n">
        <v>0</v>
      </c>
      <c r="L9187" t="n">
        <v>0</v>
      </c>
      <c r="M9187" t="n">
        <v>0</v>
      </c>
      <c r="N9187" t="n">
        <v>0</v>
      </c>
      <c r="O9187" t="n">
        <v>0</v>
      </c>
      <c r="P9187" t="n">
        <v>0</v>
      </c>
      <c r="Q9187" t="n">
        <v>0</v>
      </c>
      <c r="R9187" s="2" t="inlineStr"/>
    </row>
    <row r="9188" ht="15" customHeight="1">
      <c r="A9188" t="inlineStr">
        <is>
          <t>A 58166-2023</t>
        </is>
      </c>
      <c r="B9188" s="1" t="n">
        <v>45250</v>
      </c>
      <c r="C9188" s="1" t="n">
        <v>45677</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58239-2023</t>
        </is>
      </c>
      <c r="B9189" s="1" t="n">
        <v>45250</v>
      </c>
      <c r="C9189" s="1" t="n">
        <v>45677</v>
      </c>
      <c r="D9189" t="inlineStr">
        <is>
          <t>GÄVLEBORGS LÄN</t>
        </is>
      </c>
      <c r="E9189" t="inlineStr">
        <is>
          <t>BOLLNÄS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58309-2023</t>
        </is>
      </c>
      <c r="B9190" s="1" t="n">
        <v>45250</v>
      </c>
      <c r="C9190" s="1" t="n">
        <v>45677</v>
      </c>
      <c r="D9190" t="inlineStr">
        <is>
          <t>GÄVLEBORGS LÄN</t>
        </is>
      </c>
      <c r="E9190" t="inlineStr">
        <is>
          <t>LJUSDAL</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58908-2023</t>
        </is>
      </c>
      <c r="B9191" s="1" t="n">
        <v>45250</v>
      </c>
      <c r="C9191" s="1" t="n">
        <v>45677</v>
      </c>
      <c r="D9191" t="inlineStr">
        <is>
          <t>GÄVLEBORGS LÄN</t>
        </is>
      </c>
      <c r="E9191" t="inlineStr">
        <is>
          <t>SANDVIKEN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58353-2023</t>
        </is>
      </c>
      <c r="B9192" s="1" t="n">
        <v>45250</v>
      </c>
      <c r="C9192" s="1" t="n">
        <v>45677</v>
      </c>
      <c r="D9192" t="inlineStr">
        <is>
          <t>GÄVLEBORGS LÄN</t>
        </is>
      </c>
      <c r="E9192" t="inlineStr">
        <is>
          <t>SANDVIKEN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58369-2023</t>
        </is>
      </c>
      <c r="B9193" s="1" t="n">
        <v>45250</v>
      </c>
      <c r="C9193" s="1" t="n">
        <v>45677</v>
      </c>
      <c r="D9193" t="inlineStr">
        <is>
          <t>GÄVLEBORGS LÄN</t>
        </is>
      </c>
      <c r="E9193" t="inlineStr">
        <is>
          <t>HOFORS</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58373-2023</t>
        </is>
      </c>
      <c r="B9194" s="1" t="n">
        <v>45250</v>
      </c>
      <c r="C9194" s="1" t="n">
        <v>45677</v>
      </c>
      <c r="D9194" t="inlineStr">
        <is>
          <t>GÄVLEBORGS LÄN</t>
        </is>
      </c>
      <c r="E9194" t="inlineStr">
        <is>
          <t>HOFORS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58419-2023</t>
        </is>
      </c>
      <c r="B9195" s="1" t="n">
        <v>45250</v>
      </c>
      <c r="C9195" s="1" t="n">
        <v>45677</v>
      </c>
      <c r="D9195" t="inlineStr">
        <is>
          <t>GÄVLEBORGS LÄN</t>
        </is>
      </c>
      <c r="E9195" t="inlineStr">
        <is>
          <t>SANDVIKEN</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58327-2023</t>
        </is>
      </c>
      <c r="B9196" s="1" t="n">
        <v>45250</v>
      </c>
      <c r="C9196" s="1" t="n">
        <v>45677</v>
      </c>
      <c r="D9196" t="inlineStr">
        <is>
          <t>GÄVLEBORGS LÄN</t>
        </is>
      </c>
      <c r="E9196" t="inlineStr">
        <is>
          <t>HUDIKSVALL</t>
        </is>
      </c>
      <c r="F9196" t="inlineStr">
        <is>
          <t>Holmen skog AB</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58351-2023</t>
        </is>
      </c>
      <c r="B9197" s="1" t="n">
        <v>45250</v>
      </c>
      <c r="C9197" s="1" t="n">
        <v>45677</v>
      </c>
      <c r="D9197" t="inlineStr">
        <is>
          <t>GÄVLEBORGS LÄN</t>
        </is>
      </c>
      <c r="E9197" t="inlineStr">
        <is>
          <t>SÖDERHAMN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59014-2023</t>
        </is>
      </c>
      <c r="B9198" s="1" t="n">
        <v>45250</v>
      </c>
      <c r="C9198" s="1" t="n">
        <v>45677</v>
      </c>
      <c r="D9198" t="inlineStr">
        <is>
          <t>GÄVLEBORGS LÄN</t>
        </is>
      </c>
      <c r="E9198" t="inlineStr">
        <is>
          <t>OCKELBO</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58911-2023</t>
        </is>
      </c>
      <c r="B9199" s="1" t="n">
        <v>45250</v>
      </c>
      <c r="C9199" s="1" t="n">
        <v>45677</v>
      </c>
      <c r="D9199" t="inlineStr">
        <is>
          <t>GÄVLEBORGS LÄN</t>
        </is>
      </c>
      <c r="E9199" t="inlineStr">
        <is>
          <t>SANDVIKEN</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58506-2023</t>
        </is>
      </c>
      <c r="B9200" s="1" t="n">
        <v>45251</v>
      </c>
      <c r="C9200" s="1" t="n">
        <v>45677</v>
      </c>
      <c r="D9200" t="inlineStr">
        <is>
          <t>GÄVLEBORGS LÄN</t>
        </is>
      </c>
      <c r="E9200" t="inlineStr">
        <is>
          <t>BOLLNÄS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58483-2023</t>
        </is>
      </c>
      <c r="B9201" s="1" t="n">
        <v>45251</v>
      </c>
      <c r="C9201" s="1" t="n">
        <v>45677</v>
      </c>
      <c r="D9201" t="inlineStr">
        <is>
          <t>GÄVLEBORGS LÄN</t>
        </is>
      </c>
      <c r="E9201" t="inlineStr">
        <is>
          <t>SÖDERHAMN</t>
        </is>
      </c>
      <c r="F9201" t="inlineStr">
        <is>
          <t>Bergvik skog väst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58544-2023</t>
        </is>
      </c>
      <c r="B9202" s="1" t="n">
        <v>45251</v>
      </c>
      <c r="C9202" s="1" t="n">
        <v>45677</v>
      </c>
      <c r="D9202" t="inlineStr">
        <is>
          <t>GÄVLEBORGS LÄN</t>
        </is>
      </c>
      <c r="E9202" t="inlineStr">
        <is>
          <t>SÖDERHAMN</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58543-2023</t>
        </is>
      </c>
      <c r="B9203" s="1" t="n">
        <v>45251</v>
      </c>
      <c r="C9203" s="1" t="n">
        <v>45677</v>
      </c>
      <c r="D9203" t="inlineStr">
        <is>
          <t>GÄVLEBORGS LÄN</t>
        </is>
      </c>
      <c r="E9203" t="inlineStr">
        <is>
          <t>OVANÅKER</t>
        </is>
      </c>
      <c r="G9203" t="n">
        <v>26.8</v>
      </c>
      <c r="H9203" t="n">
        <v>0</v>
      </c>
      <c r="I9203" t="n">
        <v>0</v>
      </c>
      <c r="J9203" t="n">
        <v>0</v>
      </c>
      <c r="K9203" t="n">
        <v>0</v>
      </c>
      <c r="L9203" t="n">
        <v>0</v>
      </c>
      <c r="M9203" t="n">
        <v>0</v>
      </c>
      <c r="N9203" t="n">
        <v>0</v>
      </c>
      <c r="O9203" t="n">
        <v>0</v>
      </c>
      <c r="P9203" t="n">
        <v>0</v>
      </c>
      <c r="Q9203" t="n">
        <v>0</v>
      </c>
      <c r="R9203" s="2" t="inlineStr"/>
    </row>
    <row r="9204" ht="15" customHeight="1">
      <c r="A9204" t="inlineStr">
        <is>
          <t>A 58562-2023</t>
        </is>
      </c>
      <c r="B9204" s="1" t="n">
        <v>45251</v>
      </c>
      <c r="C9204" s="1" t="n">
        <v>45677</v>
      </c>
      <c r="D9204" t="inlineStr">
        <is>
          <t>GÄVLEBORGS LÄN</t>
        </is>
      </c>
      <c r="E9204" t="inlineStr">
        <is>
          <t>SANDVIKEN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58610-2023</t>
        </is>
      </c>
      <c r="B9205" s="1" t="n">
        <v>45251</v>
      </c>
      <c r="C9205" s="1" t="n">
        <v>45677</v>
      </c>
      <c r="D9205" t="inlineStr">
        <is>
          <t>GÄVLEBORGS LÄN</t>
        </is>
      </c>
      <c r="E9205" t="inlineStr">
        <is>
          <t>SÖDERHAMN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58622-2023</t>
        </is>
      </c>
      <c r="B9206" s="1" t="n">
        <v>45251</v>
      </c>
      <c r="C9206" s="1" t="n">
        <v>45677</v>
      </c>
      <c r="D9206" t="inlineStr">
        <is>
          <t>GÄVLEBORGS LÄN</t>
        </is>
      </c>
      <c r="E9206" t="inlineStr">
        <is>
          <t>LJUSDAL</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58626-2023</t>
        </is>
      </c>
      <c r="B9207" s="1" t="n">
        <v>45251</v>
      </c>
      <c r="C9207" s="1" t="n">
        <v>45677</v>
      </c>
      <c r="D9207" t="inlineStr">
        <is>
          <t>GÄVLEBORGS LÄN</t>
        </is>
      </c>
      <c r="E9207" t="inlineStr">
        <is>
          <t>LJUSDAL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58630-2023</t>
        </is>
      </c>
      <c r="B9208" s="1" t="n">
        <v>45251</v>
      </c>
      <c r="C9208" s="1" t="n">
        <v>45677</v>
      </c>
      <c r="D9208" t="inlineStr">
        <is>
          <t>GÄVLEBORGS LÄN</t>
        </is>
      </c>
      <c r="E9208" t="inlineStr">
        <is>
          <t>BOLLNÄS</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58638-2023</t>
        </is>
      </c>
      <c r="B9209" s="1" t="n">
        <v>45251</v>
      </c>
      <c r="C9209" s="1" t="n">
        <v>45677</v>
      </c>
      <c r="D9209" t="inlineStr">
        <is>
          <t>GÄVLEBORGS LÄN</t>
        </is>
      </c>
      <c r="E9209" t="inlineStr">
        <is>
          <t>BOLLNÄS</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58629-2023</t>
        </is>
      </c>
      <c r="B9210" s="1" t="n">
        <v>45251</v>
      </c>
      <c r="C9210" s="1" t="n">
        <v>45677</v>
      </c>
      <c r="D9210" t="inlineStr">
        <is>
          <t>GÄVLEBORGS LÄN</t>
        </is>
      </c>
      <c r="E9210" t="inlineStr">
        <is>
          <t>LJUSDAL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58612-2023</t>
        </is>
      </c>
      <c r="B9211" s="1" t="n">
        <v>45251</v>
      </c>
      <c r="C9211" s="1" t="n">
        <v>45677</v>
      </c>
      <c r="D9211" t="inlineStr">
        <is>
          <t>GÄVLEBORGS LÄN</t>
        </is>
      </c>
      <c r="E9211" t="inlineStr">
        <is>
          <t>SÖDERHAMN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58661-2023</t>
        </is>
      </c>
      <c r="B9212" s="1" t="n">
        <v>45251</v>
      </c>
      <c r="C9212" s="1" t="n">
        <v>45677</v>
      </c>
      <c r="D9212" t="inlineStr">
        <is>
          <t>GÄVLEBORGS LÄN</t>
        </is>
      </c>
      <c r="E9212" t="inlineStr">
        <is>
          <t>SANDVIKEN</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58683-2023</t>
        </is>
      </c>
      <c r="B9213" s="1" t="n">
        <v>45251</v>
      </c>
      <c r="C9213" s="1" t="n">
        <v>45677</v>
      </c>
      <c r="D9213" t="inlineStr">
        <is>
          <t>GÄVLEBORGS LÄN</t>
        </is>
      </c>
      <c r="E9213" t="inlineStr">
        <is>
          <t>LJUSDAL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58716-2023</t>
        </is>
      </c>
      <c r="B9214" s="1" t="n">
        <v>45251</v>
      </c>
      <c r="C9214" s="1" t="n">
        <v>45677</v>
      </c>
      <c r="D9214" t="inlineStr">
        <is>
          <t>GÄVLEBORGS LÄN</t>
        </is>
      </c>
      <c r="E9214" t="inlineStr">
        <is>
          <t>BOLLNÄS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58674-2023</t>
        </is>
      </c>
      <c r="B9215" s="1" t="n">
        <v>45251</v>
      </c>
      <c r="C9215" s="1" t="n">
        <v>45677</v>
      </c>
      <c r="D9215" t="inlineStr">
        <is>
          <t>GÄVLEBORGS LÄN</t>
        </is>
      </c>
      <c r="E9215" t="inlineStr">
        <is>
          <t>SANDVIKEN</t>
        </is>
      </c>
      <c r="F9215" t="inlineStr">
        <is>
          <t>Sveaskog</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58687-2023</t>
        </is>
      </c>
      <c r="B9216" s="1" t="n">
        <v>45251</v>
      </c>
      <c r="C9216" s="1" t="n">
        <v>45677</v>
      </c>
      <c r="D9216" t="inlineStr">
        <is>
          <t>GÄVLEBORGS LÄN</t>
        </is>
      </c>
      <c r="E9216" t="inlineStr">
        <is>
          <t>SÖDERHAMN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58611-2023</t>
        </is>
      </c>
      <c r="B9217" s="1" t="n">
        <v>45251</v>
      </c>
      <c r="C9217" s="1" t="n">
        <v>45677</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58623-2023</t>
        </is>
      </c>
      <c r="B9218" s="1" t="n">
        <v>45251</v>
      </c>
      <c r="C9218" s="1" t="n">
        <v>45677</v>
      </c>
      <c r="D9218" t="inlineStr">
        <is>
          <t>GÄVLEBORGS LÄN</t>
        </is>
      </c>
      <c r="E9218" t="inlineStr">
        <is>
          <t>LJUSDAL</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58820-2023</t>
        </is>
      </c>
      <c r="B9219" s="1" t="n">
        <v>45252</v>
      </c>
      <c r="C9219" s="1" t="n">
        <v>45677</v>
      </c>
      <c r="D9219" t="inlineStr">
        <is>
          <t>GÄVLEBORGS LÄN</t>
        </is>
      </c>
      <c r="E9219" t="inlineStr">
        <is>
          <t>OCKELBO</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58796-2023</t>
        </is>
      </c>
      <c r="B9220" s="1" t="n">
        <v>45252</v>
      </c>
      <c r="C9220" s="1" t="n">
        <v>45677</v>
      </c>
      <c r="D9220" t="inlineStr">
        <is>
          <t>GÄVLEBORGS LÄN</t>
        </is>
      </c>
      <c r="E9220" t="inlineStr">
        <is>
          <t>LJUSDAL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58811-2023</t>
        </is>
      </c>
      <c r="B9221" s="1" t="n">
        <v>45252</v>
      </c>
      <c r="C9221" s="1" t="n">
        <v>45677</v>
      </c>
      <c r="D9221" t="inlineStr">
        <is>
          <t>GÄVLEBORGS LÄN</t>
        </is>
      </c>
      <c r="E9221" t="inlineStr">
        <is>
          <t>BOLLNÄS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58840-2023</t>
        </is>
      </c>
      <c r="B9222" s="1" t="n">
        <v>45252</v>
      </c>
      <c r="C9222" s="1" t="n">
        <v>45677</v>
      </c>
      <c r="D9222" t="inlineStr">
        <is>
          <t>GÄVLEBORGS LÄN</t>
        </is>
      </c>
      <c r="E9222" t="inlineStr">
        <is>
          <t>SANDVIKEN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58867-2023</t>
        </is>
      </c>
      <c r="B9223" s="1" t="n">
        <v>45252</v>
      </c>
      <c r="C9223" s="1" t="n">
        <v>45677</v>
      </c>
      <c r="D9223" t="inlineStr">
        <is>
          <t>GÄVLEBORGS LÄN</t>
        </is>
      </c>
      <c r="E9223" t="inlineStr">
        <is>
          <t>GÄVLE</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58883-2023</t>
        </is>
      </c>
      <c r="B9224" s="1" t="n">
        <v>45252</v>
      </c>
      <c r="C9224" s="1" t="n">
        <v>45677</v>
      </c>
      <c r="D9224" t="inlineStr">
        <is>
          <t>GÄVLEBORGS LÄN</t>
        </is>
      </c>
      <c r="E9224" t="inlineStr">
        <is>
          <t>LJUSDAL</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58955-2023</t>
        </is>
      </c>
      <c r="B9225" s="1" t="n">
        <v>45252</v>
      </c>
      <c r="C9225" s="1" t="n">
        <v>45677</v>
      </c>
      <c r="D9225" t="inlineStr">
        <is>
          <t>GÄVLEBORGS LÄN</t>
        </is>
      </c>
      <c r="E9225" t="inlineStr">
        <is>
          <t>HOFORS</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58964-2023</t>
        </is>
      </c>
      <c r="B9226" s="1" t="n">
        <v>45252</v>
      </c>
      <c r="C9226" s="1" t="n">
        <v>45677</v>
      </c>
      <c r="D9226" t="inlineStr">
        <is>
          <t>GÄVLEBORGS LÄN</t>
        </is>
      </c>
      <c r="E9226" t="inlineStr">
        <is>
          <t>LJUSDAL</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58825-2023</t>
        </is>
      </c>
      <c r="B9227" s="1" t="n">
        <v>45252</v>
      </c>
      <c r="C9227" s="1" t="n">
        <v>45677</v>
      </c>
      <c r="D9227" t="inlineStr">
        <is>
          <t>GÄVLEBORGS LÄN</t>
        </is>
      </c>
      <c r="E9227" t="inlineStr">
        <is>
          <t>LJUSDAL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58860-2023</t>
        </is>
      </c>
      <c r="B9228" s="1" t="n">
        <v>45252</v>
      </c>
      <c r="C9228" s="1" t="n">
        <v>45677</v>
      </c>
      <c r="D9228" t="inlineStr">
        <is>
          <t>GÄVLEBORGS LÄN</t>
        </is>
      </c>
      <c r="E9228" t="inlineStr">
        <is>
          <t>HUDIKSVALL</t>
        </is>
      </c>
      <c r="F9228" t="inlineStr">
        <is>
          <t>Holmen skog AB</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58988-2023</t>
        </is>
      </c>
      <c r="B9229" s="1" t="n">
        <v>45252</v>
      </c>
      <c r="C9229" s="1" t="n">
        <v>45677</v>
      </c>
      <c r="D9229" t="inlineStr">
        <is>
          <t>GÄVLEBORGS LÄN</t>
        </is>
      </c>
      <c r="E9229" t="inlineStr">
        <is>
          <t>SANDVIKEN</t>
        </is>
      </c>
      <c r="F9229" t="inlineStr">
        <is>
          <t>Bergvik skog öst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58994-2023</t>
        </is>
      </c>
      <c r="B9230" s="1" t="n">
        <v>45252</v>
      </c>
      <c r="C9230" s="1" t="n">
        <v>45677</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59000-2023</t>
        </is>
      </c>
      <c r="B9231" s="1" t="n">
        <v>45252</v>
      </c>
      <c r="C9231" s="1" t="n">
        <v>45677</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59009-2023</t>
        </is>
      </c>
      <c r="B9232" s="1" t="n">
        <v>45252</v>
      </c>
      <c r="C9232" s="1" t="n">
        <v>45677</v>
      </c>
      <c r="D9232" t="inlineStr">
        <is>
          <t>GÄVLEBORGS LÄN</t>
        </is>
      </c>
      <c r="E9232" t="inlineStr">
        <is>
          <t>HOFORS</t>
        </is>
      </c>
      <c r="F9232" t="inlineStr">
        <is>
          <t>Sveaskog</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58885-2023</t>
        </is>
      </c>
      <c r="B9233" s="1" t="n">
        <v>45252</v>
      </c>
      <c r="C9233" s="1" t="n">
        <v>45677</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58909-2023</t>
        </is>
      </c>
      <c r="B9234" s="1" t="n">
        <v>45252</v>
      </c>
      <c r="C9234" s="1" t="n">
        <v>45677</v>
      </c>
      <c r="D9234" t="inlineStr">
        <is>
          <t>GÄVLEBORGS LÄN</t>
        </is>
      </c>
      <c r="E9234" t="inlineStr">
        <is>
          <t>LJUSDAL</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58916-2023</t>
        </is>
      </c>
      <c r="B9235" s="1" t="n">
        <v>45252</v>
      </c>
      <c r="C9235" s="1" t="n">
        <v>45677</v>
      </c>
      <c r="D9235" t="inlineStr">
        <is>
          <t>GÄVLEBORGS LÄN</t>
        </is>
      </c>
      <c r="E9235" t="inlineStr">
        <is>
          <t>SANDVIKEN</t>
        </is>
      </c>
      <c r="F9235" t="inlineStr">
        <is>
          <t>Bergvik skog öst AB</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58929-2023</t>
        </is>
      </c>
      <c r="B9236" s="1" t="n">
        <v>45252</v>
      </c>
      <c r="C9236" s="1" t="n">
        <v>45677</v>
      </c>
      <c r="D9236" t="inlineStr">
        <is>
          <t>GÄVLEBORGS LÄN</t>
        </is>
      </c>
      <c r="E9236" t="inlineStr">
        <is>
          <t>BOLLNÄS</t>
        </is>
      </c>
      <c r="F9236" t="inlineStr">
        <is>
          <t>Holmen skog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58945-2023</t>
        </is>
      </c>
      <c r="B9237" s="1" t="n">
        <v>45252</v>
      </c>
      <c r="C9237" s="1" t="n">
        <v>45677</v>
      </c>
      <c r="D9237" t="inlineStr">
        <is>
          <t>GÄVLEBORGS LÄN</t>
        </is>
      </c>
      <c r="E9237" t="inlineStr">
        <is>
          <t>HUDIKSVALL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58983-2023</t>
        </is>
      </c>
      <c r="B9238" s="1" t="n">
        <v>45252</v>
      </c>
      <c r="C9238" s="1" t="n">
        <v>45677</v>
      </c>
      <c r="D9238" t="inlineStr">
        <is>
          <t>GÄVLEBORGS LÄN</t>
        </is>
      </c>
      <c r="E9238" t="inlineStr">
        <is>
          <t>SANDVIKEN</t>
        </is>
      </c>
      <c r="F9238" t="inlineStr">
        <is>
          <t>Bergvik skog öst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59044-2023</t>
        </is>
      </c>
      <c r="B9239" s="1" t="n">
        <v>45252</v>
      </c>
      <c r="C9239" s="1" t="n">
        <v>45677</v>
      </c>
      <c r="D9239" t="inlineStr">
        <is>
          <t>GÄVLEBORGS LÄN</t>
        </is>
      </c>
      <c r="E9239" t="inlineStr">
        <is>
          <t>GÄVLE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59049-2023</t>
        </is>
      </c>
      <c r="B9240" s="1" t="n">
        <v>45252</v>
      </c>
      <c r="C9240" s="1" t="n">
        <v>45677</v>
      </c>
      <c r="D9240" t="inlineStr">
        <is>
          <t>GÄVLEBORGS LÄN</t>
        </is>
      </c>
      <c r="E9240" t="inlineStr">
        <is>
          <t>BOLLNÄS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58986-2023</t>
        </is>
      </c>
      <c r="B9241" s="1" t="n">
        <v>45252</v>
      </c>
      <c r="C9241" s="1" t="n">
        <v>45677</v>
      </c>
      <c r="D9241" t="inlineStr">
        <is>
          <t>GÄVLEBORGS LÄN</t>
        </is>
      </c>
      <c r="E9241" t="inlineStr">
        <is>
          <t>SANDVIKEN</t>
        </is>
      </c>
      <c r="F9241" t="inlineStr">
        <is>
          <t>Bergvik skog öst AB</t>
        </is>
      </c>
      <c r="G9241" t="n">
        <v>19.1</v>
      </c>
      <c r="H9241" t="n">
        <v>0</v>
      </c>
      <c r="I9241" t="n">
        <v>0</v>
      </c>
      <c r="J9241" t="n">
        <v>0</v>
      </c>
      <c r="K9241" t="n">
        <v>0</v>
      </c>
      <c r="L9241" t="n">
        <v>0</v>
      </c>
      <c r="M9241" t="n">
        <v>0</v>
      </c>
      <c r="N9241" t="n">
        <v>0</v>
      </c>
      <c r="O9241" t="n">
        <v>0</v>
      </c>
      <c r="P9241" t="n">
        <v>0</v>
      </c>
      <c r="Q9241" t="n">
        <v>0</v>
      </c>
      <c r="R9241" s="2" t="inlineStr"/>
    </row>
    <row r="9242" ht="15" customHeight="1">
      <c r="A9242" t="inlineStr">
        <is>
          <t>A 59002-2023</t>
        </is>
      </c>
      <c r="B9242" s="1" t="n">
        <v>45252</v>
      </c>
      <c r="C9242" s="1" t="n">
        <v>45677</v>
      </c>
      <c r="D9242" t="inlineStr">
        <is>
          <t>GÄVLEBORGS LÄN</t>
        </is>
      </c>
      <c r="E9242" t="inlineStr">
        <is>
          <t>HOFORS</t>
        </is>
      </c>
      <c r="F9242" t="inlineStr">
        <is>
          <t>Sveaskog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59007-2023</t>
        </is>
      </c>
      <c r="B9243" s="1" t="n">
        <v>45252</v>
      </c>
      <c r="C9243" s="1" t="n">
        <v>45677</v>
      </c>
      <c r="D9243" t="inlineStr">
        <is>
          <t>GÄVLEBORGS LÄN</t>
        </is>
      </c>
      <c r="E9243" t="inlineStr">
        <is>
          <t>HOFORS</t>
        </is>
      </c>
      <c r="F9243" t="inlineStr">
        <is>
          <t>Sveaskog</t>
        </is>
      </c>
      <c r="G9243" t="n">
        <v>17.7</v>
      </c>
      <c r="H9243" t="n">
        <v>0</v>
      </c>
      <c r="I9243" t="n">
        <v>0</v>
      </c>
      <c r="J9243" t="n">
        <v>0</v>
      </c>
      <c r="K9243" t="n">
        <v>0</v>
      </c>
      <c r="L9243" t="n">
        <v>0</v>
      </c>
      <c r="M9243" t="n">
        <v>0</v>
      </c>
      <c r="N9243" t="n">
        <v>0</v>
      </c>
      <c r="O9243" t="n">
        <v>0</v>
      </c>
      <c r="P9243" t="n">
        <v>0</v>
      </c>
      <c r="Q9243" t="n">
        <v>0</v>
      </c>
      <c r="R9243" s="2" t="inlineStr"/>
    </row>
    <row r="9244" ht="15" customHeight="1">
      <c r="A9244" t="inlineStr">
        <is>
          <t>A 58791-2023</t>
        </is>
      </c>
      <c r="B9244" s="1" t="n">
        <v>45252</v>
      </c>
      <c r="C9244" s="1" t="n">
        <v>45677</v>
      </c>
      <c r="D9244" t="inlineStr">
        <is>
          <t>GÄVLEBORGS LÄN</t>
        </is>
      </c>
      <c r="E9244" t="inlineStr">
        <is>
          <t>OVANÅKER</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58837-2023</t>
        </is>
      </c>
      <c r="B9245" s="1" t="n">
        <v>45252</v>
      </c>
      <c r="C9245" s="1" t="n">
        <v>45677</v>
      </c>
      <c r="D9245" t="inlineStr">
        <is>
          <t>GÄVLEBORGS LÄN</t>
        </is>
      </c>
      <c r="E9245" t="inlineStr">
        <is>
          <t>SANDVIKEN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58870-2023</t>
        </is>
      </c>
      <c r="B9246" s="1" t="n">
        <v>45252</v>
      </c>
      <c r="C9246" s="1" t="n">
        <v>45677</v>
      </c>
      <c r="D9246" t="inlineStr">
        <is>
          <t>GÄVLEBORGS LÄN</t>
        </is>
      </c>
      <c r="E9246" t="inlineStr">
        <is>
          <t>NORDANSTIG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58952-2023</t>
        </is>
      </c>
      <c r="B9247" s="1" t="n">
        <v>45252</v>
      </c>
      <c r="C9247" s="1" t="n">
        <v>45677</v>
      </c>
      <c r="D9247" t="inlineStr">
        <is>
          <t>GÄVLEBORGS LÄN</t>
        </is>
      </c>
      <c r="E9247" t="inlineStr">
        <is>
          <t>BOLLNÄS</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58980-2023</t>
        </is>
      </c>
      <c r="B9248" s="1" t="n">
        <v>45252</v>
      </c>
      <c r="C9248" s="1" t="n">
        <v>45677</v>
      </c>
      <c r="D9248" t="inlineStr">
        <is>
          <t>GÄVLEBORGS LÄN</t>
        </is>
      </c>
      <c r="E9248" t="inlineStr">
        <is>
          <t>SANDVIKEN</t>
        </is>
      </c>
      <c r="F9248" t="inlineStr">
        <is>
          <t>Bergvik skog öst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59001-2023</t>
        </is>
      </c>
      <c r="B9249" s="1" t="n">
        <v>45252</v>
      </c>
      <c r="C9249" s="1" t="n">
        <v>45677</v>
      </c>
      <c r="D9249" t="inlineStr">
        <is>
          <t>GÄVLEBORGS LÄN</t>
        </is>
      </c>
      <c r="E9249" t="inlineStr">
        <is>
          <t>HOFORS</t>
        </is>
      </c>
      <c r="F9249" t="inlineStr">
        <is>
          <t>Sveaskog</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59063-2023</t>
        </is>
      </c>
      <c r="B9250" s="1" t="n">
        <v>45252</v>
      </c>
      <c r="C9250" s="1" t="n">
        <v>45677</v>
      </c>
      <c r="D9250" t="inlineStr">
        <is>
          <t>GÄVLEBORGS LÄN</t>
        </is>
      </c>
      <c r="E9250" t="inlineStr">
        <is>
          <t>OCKELBO</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59118-2023</t>
        </is>
      </c>
      <c r="B9251" s="1" t="n">
        <v>45253</v>
      </c>
      <c r="C9251" s="1" t="n">
        <v>45677</v>
      </c>
      <c r="D9251" t="inlineStr">
        <is>
          <t>GÄVLEBORGS LÄN</t>
        </is>
      </c>
      <c r="E9251" t="inlineStr">
        <is>
          <t>OCKELBO</t>
        </is>
      </c>
      <c r="F9251" t="inlineStr">
        <is>
          <t>Bergvik skog väst AB</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59143-2023</t>
        </is>
      </c>
      <c r="B9252" s="1" t="n">
        <v>45253</v>
      </c>
      <c r="C9252" s="1" t="n">
        <v>45677</v>
      </c>
      <c r="D9252" t="inlineStr">
        <is>
          <t>GÄVLEBORGS LÄN</t>
        </is>
      </c>
      <c r="E9252" t="inlineStr">
        <is>
          <t>LJUSDAL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59196-2023</t>
        </is>
      </c>
      <c r="B9253" s="1" t="n">
        <v>45253</v>
      </c>
      <c r="C9253" s="1" t="n">
        <v>45677</v>
      </c>
      <c r="D9253" t="inlineStr">
        <is>
          <t>GÄVLEBORGS LÄN</t>
        </is>
      </c>
      <c r="E9253" t="inlineStr">
        <is>
          <t>GÄVLE</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59243-2023</t>
        </is>
      </c>
      <c r="B9254" s="1" t="n">
        <v>45253</v>
      </c>
      <c r="C9254" s="1" t="n">
        <v>45677</v>
      </c>
      <c r="D9254" t="inlineStr">
        <is>
          <t>GÄVLEBORGS LÄN</t>
        </is>
      </c>
      <c r="E9254" t="inlineStr">
        <is>
          <t>LJUSDAL</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59257-2023</t>
        </is>
      </c>
      <c r="B9255" s="1" t="n">
        <v>45253</v>
      </c>
      <c r="C9255" s="1" t="n">
        <v>45677</v>
      </c>
      <c r="D9255" t="inlineStr">
        <is>
          <t>GÄVLEBORGS LÄN</t>
        </is>
      </c>
      <c r="E9255" t="inlineStr">
        <is>
          <t>OVANÅKER</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59253-2023</t>
        </is>
      </c>
      <c r="B9256" s="1" t="n">
        <v>45253</v>
      </c>
      <c r="C9256" s="1" t="n">
        <v>45677</v>
      </c>
      <c r="D9256" t="inlineStr">
        <is>
          <t>GÄVLEBORGS LÄN</t>
        </is>
      </c>
      <c r="E9256" t="inlineStr">
        <is>
          <t>OVANÅKER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59359-2023</t>
        </is>
      </c>
      <c r="B9257" s="1" t="n">
        <v>45253</v>
      </c>
      <c r="C9257" s="1" t="n">
        <v>45677</v>
      </c>
      <c r="D9257" t="inlineStr">
        <is>
          <t>GÄVLEBORGS LÄN</t>
        </is>
      </c>
      <c r="E9257" t="inlineStr">
        <is>
          <t>GÄVLE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59363-2023</t>
        </is>
      </c>
      <c r="B9258" s="1" t="n">
        <v>45253</v>
      </c>
      <c r="C9258" s="1" t="n">
        <v>45677</v>
      </c>
      <c r="D9258" t="inlineStr">
        <is>
          <t>GÄVLEBORGS LÄN</t>
        </is>
      </c>
      <c r="E9258" t="inlineStr">
        <is>
          <t>GÄVLE</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59115-2023</t>
        </is>
      </c>
      <c r="B9259" s="1" t="n">
        <v>45253</v>
      </c>
      <c r="C9259" s="1" t="n">
        <v>45677</v>
      </c>
      <c r="D9259" t="inlineStr">
        <is>
          <t>GÄVLEBORGS LÄN</t>
        </is>
      </c>
      <c r="E9259" t="inlineStr">
        <is>
          <t>SÖDERHAMN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59227-2023</t>
        </is>
      </c>
      <c r="B9260" s="1" t="n">
        <v>45253</v>
      </c>
      <c r="C9260" s="1" t="n">
        <v>45677</v>
      </c>
      <c r="D9260" t="inlineStr">
        <is>
          <t>GÄVLEBORGS LÄN</t>
        </is>
      </c>
      <c r="E9260" t="inlineStr">
        <is>
          <t>LJUSDAL</t>
        </is>
      </c>
      <c r="G9260" t="n">
        <v>11.3</v>
      </c>
      <c r="H9260" t="n">
        <v>0</v>
      </c>
      <c r="I9260" t="n">
        <v>0</v>
      </c>
      <c r="J9260" t="n">
        <v>0</v>
      </c>
      <c r="K9260" t="n">
        <v>0</v>
      </c>
      <c r="L9260" t="n">
        <v>0</v>
      </c>
      <c r="M9260" t="n">
        <v>0</v>
      </c>
      <c r="N9260" t="n">
        <v>0</v>
      </c>
      <c r="O9260" t="n">
        <v>0</v>
      </c>
      <c r="P9260" t="n">
        <v>0</v>
      </c>
      <c r="Q9260" t="n">
        <v>0</v>
      </c>
      <c r="R9260" s="2" t="inlineStr"/>
    </row>
    <row r="9261" ht="15" customHeight="1">
      <c r="A9261" t="inlineStr">
        <is>
          <t>A 59409-2023</t>
        </is>
      </c>
      <c r="B9261" s="1" t="n">
        <v>45253</v>
      </c>
      <c r="C9261" s="1" t="n">
        <v>45677</v>
      </c>
      <c r="D9261" t="inlineStr">
        <is>
          <t>GÄVLEBORGS LÄN</t>
        </is>
      </c>
      <c r="E9261" t="inlineStr">
        <is>
          <t>NORDANSTIG</t>
        </is>
      </c>
      <c r="G9261" t="n">
        <v>12.5</v>
      </c>
      <c r="H9261" t="n">
        <v>0</v>
      </c>
      <c r="I9261" t="n">
        <v>0</v>
      </c>
      <c r="J9261" t="n">
        <v>0</v>
      </c>
      <c r="K9261" t="n">
        <v>0</v>
      </c>
      <c r="L9261" t="n">
        <v>0</v>
      </c>
      <c r="M9261" t="n">
        <v>0</v>
      </c>
      <c r="N9261" t="n">
        <v>0</v>
      </c>
      <c r="O9261" t="n">
        <v>0</v>
      </c>
      <c r="P9261" t="n">
        <v>0</v>
      </c>
      <c r="Q9261" t="n">
        <v>0</v>
      </c>
      <c r="R9261" s="2" t="inlineStr"/>
    </row>
    <row r="9262" ht="15" customHeight="1">
      <c r="A9262" t="inlineStr">
        <is>
          <t>A 59453-2023</t>
        </is>
      </c>
      <c r="B9262" s="1" t="n">
        <v>45254</v>
      </c>
      <c r="C9262" s="1" t="n">
        <v>45677</v>
      </c>
      <c r="D9262" t="inlineStr">
        <is>
          <t>GÄVLEBORGS LÄN</t>
        </is>
      </c>
      <c r="E9262" t="inlineStr">
        <is>
          <t>OVANÅKER</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59467-2023</t>
        </is>
      </c>
      <c r="B9263" s="1" t="n">
        <v>45254</v>
      </c>
      <c r="C9263" s="1" t="n">
        <v>45677</v>
      </c>
      <c r="D9263" t="inlineStr">
        <is>
          <t>GÄVLEBORGS LÄN</t>
        </is>
      </c>
      <c r="E9263" t="inlineStr">
        <is>
          <t>HUDIKSVALL</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59536-2023</t>
        </is>
      </c>
      <c r="B9264" s="1" t="n">
        <v>45254</v>
      </c>
      <c r="C9264" s="1" t="n">
        <v>45677</v>
      </c>
      <c r="D9264" t="inlineStr">
        <is>
          <t>GÄVLEBORGS LÄN</t>
        </is>
      </c>
      <c r="E9264" t="inlineStr">
        <is>
          <t>HUDIKSVALL</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59569-2023</t>
        </is>
      </c>
      <c r="B9265" s="1" t="n">
        <v>45254</v>
      </c>
      <c r="C9265" s="1" t="n">
        <v>45677</v>
      </c>
      <c r="D9265" t="inlineStr">
        <is>
          <t>GÄVLEBORGS LÄN</t>
        </is>
      </c>
      <c r="E9265" t="inlineStr">
        <is>
          <t>HUDIKSVALL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59533-2023</t>
        </is>
      </c>
      <c r="B9266" s="1" t="n">
        <v>45254</v>
      </c>
      <c r="C9266" s="1" t="n">
        <v>45677</v>
      </c>
      <c r="D9266" t="inlineStr">
        <is>
          <t>GÄVLEBORGS LÄN</t>
        </is>
      </c>
      <c r="E9266" t="inlineStr">
        <is>
          <t>OCKELBO</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59652-2023</t>
        </is>
      </c>
      <c r="B9267" s="1" t="n">
        <v>45254</v>
      </c>
      <c r="C9267" s="1" t="n">
        <v>45677</v>
      </c>
      <c r="D9267" t="inlineStr">
        <is>
          <t>GÄVLEBORGS LÄN</t>
        </is>
      </c>
      <c r="E9267" t="inlineStr">
        <is>
          <t>HUDIKSVALL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59615-2023</t>
        </is>
      </c>
      <c r="B9268" s="1" t="n">
        <v>45254</v>
      </c>
      <c r="C9268" s="1" t="n">
        <v>45677</v>
      </c>
      <c r="D9268" t="inlineStr">
        <is>
          <t>GÄVLEBORGS LÄN</t>
        </is>
      </c>
      <c r="E9268" t="inlineStr">
        <is>
          <t>HOFORS</t>
        </is>
      </c>
      <c r="F9268" t="inlineStr">
        <is>
          <t>Sveaskog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59654-2023</t>
        </is>
      </c>
      <c r="B9269" s="1" t="n">
        <v>45254</v>
      </c>
      <c r="C9269" s="1" t="n">
        <v>45677</v>
      </c>
      <c r="D9269" t="inlineStr">
        <is>
          <t>GÄVLEBORGS LÄN</t>
        </is>
      </c>
      <c r="E9269" t="inlineStr">
        <is>
          <t>HUDIKSVALL</t>
        </is>
      </c>
      <c r="G9269" t="n">
        <v>30.9</v>
      </c>
      <c r="H9269" t="n">
        <v>0</v>
      </c>
      <c r="I9269" t="n">
        <v>0</v>
      </c>
      <c r="J9269" t="n">
        <v>0</v>
      </c>
      <c r="K9269" t="n">
        <v>0</v>
      </c>
      <c r="L9269" t="n">
        <v>0</v>
      </c>
      <c r="M9269" t="n">
        <v>0</v>
      </c>
      <c r="N9269" t="n">
        <v>0</v>
      </c>
      <c r="O9269" t="n">
        <v>0</v>
      </c>
      <c r="P9269" t="n">
        <v>0</v>
      </c>
      <c r="Q9269" t="n">
        <v>0</v>
      </c>
      <c r="R9269" s="2" t="inlineStr"/>
    </row>
    <row r="9270" ht="15" customHeight="1">
      <c r="A9270" t="inlineStr">
        <is>
          <t>A 59901-2023</t>
        </is>
      </c>
      <c r="B9270" s="1" t="n">
        <v>45254</v>
      </c>
      <c r="C9270" s="1" t="n">
        <v>45677</v>
      </c>
      <c r="D9270" t="inlineStr">
        <is>
          <t>GÄVLEBORGS LÄN</t>
        </is>
      </c>
      <c r="E9270" t="inlineStr">
        <is>
          <t>OCKELBO</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59922-2023</t>
        </is>
      </c>
      <c r="B9271" s="1" t="n">
        <v>45254</v>
      </c>
      <c r="C9271" s="1" t="n">
        <v>45677</v>
      </c>
      <c r="D9271" t="inlineStr">
        <is>
          <t>GÄVLEBORGS LÄN</t>
        </is>
      </c>
      <c r="E9271" t="inlineStr">
        <is>
          <t>SÖDERHAMN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59672-2023</t>
        </is>
      </c>
      <c r="B9272" s="1" t="n">
        <v>45255</v>
      </c>
      <c r="C9272" s="1" t="n">
        <v>45677</v>
      </c>
      <c r="D9272" t="inlineStr">
        <is>
          <t>GÄVLEBORGS LÄN</t>
        </is>
      </c>
      <c r="E9272" t="inlineStr">
        <is>
          <t>GÄVLE</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59917-2023</t>
        </is>
      </c>
      <c r="B9273" s="1" t="n">
        <v>45254</v>
      </c>
      <c r="C9273" s="1" t="n">
        <v>45677</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59902-2023</t>
        </is>
      </c>
      <c r="B9274" s="1" t="n">
        <v>45254</v>
      </c>
      <c r="C9274" s="1" t="n">
        <v>45677</v>
      </c>
      <c r="D9274" t="inlineStr">
        <is>
          <t>GÄVLEBORGS LÄN</t>
        </is>
      </c>
      <c r="E9274" t="inlineStr">
        <is>
          <t>OCKELBO</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59978-2023</t>
        </is>
      </c>
      <c r="B9275" s="1" t="n">
        <v>45254</v>
      </c>
      <c r="C9275" s="1" t="n">
        <v>45677</v>
      </c>
      <c r="D9275" t="inlineStr">
        <is>
          <t>GÄVLEBORGS LÄN</t>
        </is>
      </c>
      <c r="E9275" t="inlineStr">
        <is>
          <t>OCKELBO</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59976-2023</t>
        </is>
      </c>
      <c r="B9276" s="1" t="n">
        <v>45254</v>
      </c>
      <c r="C9276" s="1" t="n">
        <v>45677</v>
      </c>
      <c r="D9276" t="inlineStr">
        <is>
          <t>GÄVLEBORGS LÄN</t>
        </is>
      </c>
      <c r="E9276" t="inlineStr">
        <is>
          <t>OCKELBO</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59590-2023</t>
        </is>
      </c>
      <c r="B9277" s="1" t="n">
        <v>45254</v>
      </c>
      <c r="C9277" s="1" t="n">
        <v>45677</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59616-2023</t>
        </is>
      </c>
      <c r="B9278" s="1" t="n">
        <v>45254</v>
      </c>
      <c r="C9278" s="1" t="n">
        <v>45677</v>
      </c>
      <c r="D9278" t="inlineStr">
        <is>
          <t>GÄVLEBORGS LÄN</t>
        </is>
      </c>
      <c r="E9278" t="inlineStr">
        <is>
          <t>SANDVIKEN</t>
        </is>
      </c>
      <c r="F9278" t="inlineStr">
        <is>
          <t>Sveaskog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59817-2023</t>
        </is>
      </c>
      <c r="B9279" s="1" t="n">
        <v>45257</v>
      </c>
      <c r="C9279" s="1" t="n">
        <v>45677</v>
      </c>
      <c r="D9279" t="inlineStr">
        <is>
          <t>GÄVLEBORGS LÄN</t>
        </is>
      </c>
      <c r="E9279" t="inlineStr">
        <is>
          <t>GÄVLE</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59841-2023</t>
        </is>
      </c>
      <c r="B9280" s="1" t="n">
        <v>45257</v>
      </c>
      <c r="C9280" s="1" t="n">
        <v>45677</v>
      </c>
      <c r="D9280" t="inlineStr">
        <is>
          <t>GÄVLEBORGS LÄN</t>
        </is>
      </c>
      <c r="E9280" t="inlineStr">
        <is>
          <t>SANDVIKEN</t>
        </is>
      </c>
      <c r="F9280" t="inlineStr">
        <is>
          <t>Bergvik skog öst AB</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59860-2023</t>
        </is>
      </c>
      <c r="B9281" s="1" t="n">
        <v>45257</v>
      </c>
      <c r="C9281" s="1" t="n">
        <v>45677</v>
      </c>
      <c r="D9281" t="inlineStr">
        <is>
          <t>GÄVLEBORGS LÄN</t>
        </is>
      </c>
      <c r="E9281" t="inlineStr">
        <is>
          <t>HUDIKSVALL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59869-2023</t>
        </is>
      </c>
      <c r="B9282" s="1" t="n">
        <v>45257</v>
      </c>
      <c r="C9282" s="1" t="n">
        <v>45677</v>
      </c>
      <c r="D9282" t="inlineStr">
        <is>
          <t>GÄVLEBORGS LÄN</t>
        </is>
      </c>
      <c r="E9282" t="inlineStr">
        <is>
          <t>SÖDERHAMN</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59875-2023</t>
        </is>
      </c>
      <c r="B9283" s="1" t="n">
        <v>45257</v>
      </c>
      <c r="C9283" s="1" t="n">
        <v>45677</v>
      </c>
      <c r="D9283" t="inlineStr">
        <is>
          <t>GÄVLEBORGS LÄN</t>
        </is>
      </c>
      <c r="E9283" t="inlineStr">
        <is>
          <t>HUDIKSVALL</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59912-2023</t>
        </is>
      </c>
      <c r="B9284" s="1" t="n">
        <v>45257</v>
      </c>
      <c r="C9284" s="1" t="n">
        <v>45677</v>
      </c>
      <c r="D9284" t="inlineStr">
        <is>
          <t>GÄVLEBORGS LÄN</t>
        </is>
      </c>
      <c r="E9284" t="inlineStr">
        <is>
          <t>OVANÅKER</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59720-2023</t>
        </is>
      </c>
      <c r="B9285" s="1" t="n">
        <v>45257</v>
      </c>
      <c r="C9285" s="1" t="n">
        <v>45677</v>
      </c>
      <c r="D9285" t="inlineStr">
        <is>
          <t>GÄVLEBORGS LÄN</t>
        </is>
      </c>
      <c r="E9285" t="inlineStr">
        <is>
          <t>OVANÅKER</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59744-2023</t>
        </is>
      </c>
      <c r="B9286" s="1" t="n">
        <v>45257</v>
      </c>
      <c r="C9286" s="1" t="n">
        <v>45677</v>
      </c>
      <c r="D9286" t="inlineStr">
        <is>
          <t>GÄVLEBORGS LÄN</t>
        </is>
      </c>
      <c r="E9286" t="inlineStr">
        <is>
          <t>BOLLNÄS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59848-2023</t>
        </is>
      </c>
      <c r="B9287" s="1" t="n">
        <v>45257</v>
      </c>
      <c r="C9287" s="1" t="n">
        <v>45677</v>
      </c>
      <c r="D9287" t="inlineStr">
        <is>
          <t>GÄVLEBORGS LÄN</t>
        </is>
      </c>
      <c r="E9287" t="inlineStr">
        <is>
          <t>HUDIKSVALL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59852-2023</t>
        </is>
      </c>
      <c r="B9288" s="1" t="n">
        <v>45257</v>
      </c>
      <c r="C9288" s="1" t="n">
        <v>45677</v>
      </c>
      <c r="D9288" t="inlineStr">
        <is>
          <t>GÄVLEBORGS LÄN</t>
        </is>
      </c>
      <c r="E9288" t="inlineStr">
        <is>
          <t>HUDIKSVALL</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59867-2023</t>
        </is>
      </c>
      <c r="B9289" s="1" t="n">
        <v>45257</v>
      </c>
      <c r="C9289" s="1" t="n">
        <v>45677</v>
      </c>
      <c r="D9289" t="inlineStr">
        <is>
          <t>GÄVLEBORGS LÄN</t>
        </is>
      </c>
      <c r="E9289" t="inlineStr">
        <is>
          <t>HUDIKSVALL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59882-2023</t>
        </is>
      </c>
      <c r="B9290" s="1" t="n">
        <v>45257</v>
      </c>
      <c r="C9290" s="1" t="n">
        <v>45677</v>
      </c>
      <c r="D9290" t="inlineStr">
        <is>
          <t>GÄVLEBORGS LÄN</t>
        </is>
      </c>
      <c r="E9290" t="inlineStr">
        <is>
          <t>HOFORS</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59894-2023</t>
        </is>
      </c>
      <c r="B9291" s="1" t="n">
        <v>45257</v>
      </c>
      <c r="C9291" s="1" t="n">
        <v>45677</v>
      </c>
      <c r="D9291" t="inlineStr">
        <is>
          <t>GÄVLEBORGS LÄN</t>
        </is>
      </c>
      <c r="E9291" t="inlineStr">
        <is>
          <t>SANDVIKEN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59729-2023</t>
        </is>
      </c>
      <c r="B9292" s="1" t="n">
        <v>45257</v>
      </c>
      <c r="C9292" s="1" t="n">
        <v>45677</v>
      </c>
      <c r="D9292" t="inlineStr">
        <is>
          <t>GÄVLEBORGS LÄN</t>
        </is>
      </c>
      <c r="E9292" t="inlineStr">
        <is>
          <t>OVANÅKER</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59914-2023</t>
        </is>
      </c>
      <c r="B9293" s="1" t="n">
        <v>45257</v>
      </c>
      <c r="C9293" s="1" t="n">
        <v>45677</v>
      </c>
      <c r="D9293" t="inlineStr">
        <is>
          <t>GÄVLEBORGS LÄN</t>
        </is>
      </c>
      <c r="E9293" t="inlineStr">
        <is>
          <t>HUDIKSVALL</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59796-2023</t>
        </is>
      </c>
      <c r="B9294" s="1" t="n">
        <v>45257</v>
      </c>
      <c r="C9294" s="1" t="n">
        <v>45677</v>
      </c>
      <c r="D9294" t="inlineStr">
        <is>
          <t>GÄVLEBORGS LÄN</t>
        </is>
      </c>
      <c r="E9294" t="inlineStr">
        <is>
          <t>SÖDERHAMN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59806-2023</t>
        </is>
      </c>
      <c r="B9295" s="1" t="n">
        <v>45257</v>
      </c>
      <c r="C9295" s="1" t="n">
        <v>45677</v>
      </c>
      <c r="D9295" t="inlineStr">
        <is>
          <t>GÄVLEBORGS LÄN</t>
        </is>
      </c>
      <c r="E9295" t="inlineStr">
        <is>
          <t>GÄVLE</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59812-2023</t>
        </is>
      </c>
      <c r="B9296" s="1" t="n">
        <v>45257</v>
      </c>
      <c r="C9296" s="1" t="n">
        <v>45677</v>
      </c>
      <c r="D9296" t="inlineStr">
        <is>
          <t>GÄVLEBORGS LÄN</t>
        </is>
      </c>
      <c r="E9296" t="inlineStr">
        <is>
          <t>GÄVLE</t>
        </is>
      </c>
      <c r="F9296" t="inlineStr">
        <is>
          <t>Bergvik skog väst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59776-2023</t>
        </is>
      </c>
      <c r="B9297" s="1" t="n">
        <v>45257</v>
      </c>
      <c r="C9297" s="1" t="n">
        <v>45677</v>
      </c>
      <c r="D9297" t="inlineStr">
        <is>
          <t>GÄVLEBORGS LÄN</t>
        </is>
      </c>
      <c r="E9297" t="inlineStr">
        <is>
          <t>SÖDERHAMN</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59816-2023</t>
        </is>
      </c>
      <c r="B9298" s="1" t="n">
        <v>45257</v>
      </c>
      <c r="C9298" s="1" t="n">
        <v>45677</v>
      </c>
      <c r="D9298" t="inlineStr">
        <is>
          <t>GÄVLEBORGS LÄN</t>
        </is>
      </c>
      <c r="E9298" t="inlineStr">
        <is>
          <t>GÄVLE</t>
        </is>
      </c>
      <c r="F9298" t="inlineStr">
        <is>
          <t>Bergvik skog väst AB</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59853-2023</t>
        </is>
      </c>
      <c r="B9299" s="1" t="n">
        <v>45257</v>
      </c>
      <c r="C9299" s="1" t="n">
        <v>45677</v>
      </c>
      <c r="D9299" t="inlineStr">
        <is>
          <t>GÄVLEBORGS LÄN</t>
        </is>
      </c>
      <c r="E9299" t="inlineStr">
        <is>
          <t>SÖDERHAMN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59883-2023</t>
        </is>
      </c>
      <c r="B9300" s="1" t="n">
        <v>45257</v>
      </c>
      <c r="C9300" s="1" t="n">
        <v>45677</v>
      </c>
      <c r="D9300" t="inlineStr">
        <is>
          <t>GÄVLEBORGS LÄN</t>
        </is>
      </c>
      <c r="E9300" t="inlineStr">
        <is>
          <t>LJUSDAL</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59900-2023</t>
        </is>
      </c>
      <c r="B9301" s="1" t="n">
        <v>45257</v>
      </c>
      <c r="C9301" s="1" t="n">
        <v>45677</v>
      </c>
      <c r="D9301" t="inlineStr">
        <is>
          <t>GÄVLEBORGS LÄN</t>
        </is>
      </c>
      <c r="E9301" t="inlineStr">
        <is>
          <t>LJUSDAL</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59931-2023</t>
        </is>
      </c>
      <c r="B9302" s="1" t="n">
        <v>45257</v>
      </c>
      <c r="C9302" s="1" t="n">
        <v>45677</v>
      </c>
      <c r="D9302" t="inlineStr">
        <is>
          <t>GÄVLEBORGS LÄN</t>
        </is>
      </c>
      <c r="E9302" t="inlineStr">
        <is>
          <t>LJUSDAL</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59783-2023</t>
        </is>
      </c>
      <c r="B9303" s="1" t="n">
        <v>45257</v>
      </c>
      <c r="C9303" s="1" t="n">
        <v>45677</v>
      </c>
      <c r="D9303" t="inlineStr">
        <is>
          <t>GÄVLEBORGS LÄN</t>
        </is>
      </c>
      <c r="E9303" t="inlineStr">
        <is>
          <t>SÖDERHAMN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59773-2023</t>
        </is>
      </c>
      <c r="B9304" s="1" t="n">
        <v>45257</v>
      </c>
      <c r="C9304" s="1" t="n">
        <v>45677</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59740-2023</t>
        </is>
      </c>
      <c r="B9305" s="1" t="n">
        <v>45257</v>
      </c>
      <c r="C9305" s="1" t="n">
        <v>45677</v>
      </c>
      <c r="D9305" t="inlineStr">
        <is>
          <t>GÄVLEBORGS LÄN</t>
        </is>
      </c>
      <c r="E9305" t="inlineStr">
        <is>
          <t>BOLLNÄS</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59723-2023</t>
        </is>
      </c>
      <c r="B9306" s="1" t="n">
        <v>45257</v>
      </c>
      <c r="C9306" s="1" t="n">
        <v>45677</v>
      </c>
      <c r="D9306" t="inlineStr">
        <is>
          <t>GÄVLEBORGS LÄN</t>
        </is>
      </c>
      <c r="E9306" t="inlineStr">
        <is>
          <t>OVANÅKER</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59719-2023</t>
        </is>
      </c>
      <c r="B9307" s="1" t="n">
        <v>45257</v>
      </c>
      <c r="C9307" s="1" t="n">
        <v>45677</v>
      </c>
      <c r="D9307" t="inlineStr">
        <is>
          <t>GÄVLEBORGS LÄN</t>
        </is>
      </c>
      <c r="E9307" t="inlineStr">
        <is>
          <t>OVANÅKER</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59950-2023</t>
        </is>
      </c>
      <c r="B9308" s="1" t="n">
        <v>45257</v>
      </c>
      <c r="C9308" s="1" t="n">
        <v>45677</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59851-2023</t>
        </is>
      </c>
      <c r="B9309" s="1" t="n">
        <v>45257</v>
      </c>
      <c r="C9309" s="1" t="n">
        <v>45677</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59861-2023</t>
        </is>
      </c>
      <c r="B9310" s="1" t="n">
        <v>45257</v>
      </c>
      <c r="C9310" s="1" t="n">
        <v>45677</v>
      </c>
      <c r="D9310" t="inlineStr">
        <is>
          <t>GÄVLEBORGS LÄN</t>
        </is>
      </c>
      <c r="E9310" t="inlineStr">
        <is>
          <t>GÄVLE</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59886-2023</t>
        </is>
      </c>
      <c r="B9311" s="1" t="n">
        <v>45257</v>
      </c>
      <c r="C9311" s="1" t="n">
        <v>45677</v>
      </c>
      <c r="D9311" t="inlineStr">
        <is>
          <t>GÄVLEBORGS LÄN</t>
        </is>
      </c>
      <c r="E9311" t="inlineStr">
        <is>
          <t>HOFORS</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59951-2023</t>
        </is>
      </c>
      <c r="B9312" s="1" t="n">
        <v>45257</v>
      </c>
      <c r="C9312" s="1" t="n">
        <v>45677</v>
      </c>
      <c r="D9312" t="inlineStr">
        <is>
          <t>GÄVLEBORGS LÄN</t>
        </is>
      </c>
      <c r="E9312" t="inlineStr">
        <is>
          <t>NORDANSTIG</t>
        </is>
      </c>
      <c r="F9312" t="inlineStr">
        <is>
          <t>Holmen skog AB</t>
        </is>
      </c>
      <c r="G9312" t="n">
        <v>13.4</v>
      </c>
      <c r="H9312" t="n">
        <v>0</v>
      </c>
      <c r="I9312" t="n">
        <v>0</v>
      </c>
      <c r="J9312" t="n">
        <v>0</v>
      </c>
      <c r="K9312" t="n">
        <v>0</v>
      </c>
      <c r="L9312" t="n">
        <v>0</v>
      </c>
      <c r="M9312" t="n">
        <v>0</v>
      </c>
      <c r="N9312" t="n">
        <v>0</v>
      </c>
      <c r="O9312" t="n">
        <v>0</v>
      </c>
      <c r="P9312" t="n">
        <v>0</v>
      </c>
      <c r="Q9312" t="n">
        <v>0</v>
      </c>
      <c r="R9312" s="2" t="inlineStr"/>
    </row>
    <row r="9313" ht="15" customHeight="1">
      <c r="A9313" t="inlineStr">
        <is>
          <t>A 59960-2023</t>
        </is>
      </c>
      <c r="B9313" s="1" t="n">
        <v>45257</v>
      </c>
      <c r="C9313" s="1" t="n">
        <v>45677</v>
      </c>
      <c r="D9313" t="inlineStr">
        <is>
          <t>GÄVLEBORGS LÄN</t>
        </is>
      </c>
      <c r="E9313" t="inlineStr">
        <is>
          <t>OCKELBO</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60030-2023</t>
        </is>
      </c>
      <c r="B9314" s="1" t="n">
        <v>45258</v>
      </c>
      <c r="C9314" s="1" t="n">
        <v>45677</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60041-2023</t>
        </is>
      </c>
      <c r="B9315" s="1" t="n">
        <v>45258</v>
      </c>
      <c r="C9315" s="1" t="n">
        <v>45677</v>
      </c>
      <c r="D9315" t="inlineStr">
        <is>
          <t>GÄVLEBORGS LÄN</t>
        </is>
      </c>
      <c r="E9315" t="inlineStr">
        <is>
          <t>NORDANSTIG</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60090-2023</t>
        </is>
      </c>
      <c r="B9316" s="1" t="n">
        <v>45258</v>
      </c>
      <c r="C9316" s="1" t="n">
        <v>45677</v>
      </c>
      <c r="D9316" t="inlineStr">
        <is>
          <t>GÄVLEBORGS LÄN</t>
        </is>
      </c>
      <c r="E9316" t="inlineStr">
        <is>
          <t>BOLLNÄS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60098-2023</t>
        </is>
      </c>
      <c r="B9317" s="1" t="n">
        <v>45258</v>
      </c>
      <c r="C9317" s="1" t="n">
        <v>45677</v>
      </c>
      <c r="D9317" t="inlineStr">
        <is>
          <t>GÄVLEBORGS LÄN</t>
        </is>
      </c>
      <c r="E9317" t="inlineStr">
        <is>
          <t>LJUSDAL</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60160-2023</t>
        </is>
      </c>
      <c r="B9318" s="1" t="n">
        <v>45258</v>
      </c>
      <c r="C9318" s="1" t="n">
        <v>45677</v>
      </c>
      <c r="D9318" t="inlineStr">
        <is>
          <t>GÄVLEBORGS LÄN</t>
        </is>
      </c>
      <c r="E9318" t="inlineStr">
        <is>
          <t>LJUSDAL</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60190-2023</t>
        </is>
      </c>
      <c r="B9319" s="1" t="n">
        <v>45258</v>
      </c>
      <c r="C9319" s="1" t="n">
        <v>45677</v>
      </c>
      <c r="D9319" t="inlineStr">
        <is>
          <t>GÄVLEBORGS LÄN</t>
        </is>
      </c>
      <c r="E9319" t="inlineStr">
        <is>
          <t>HUDIKSVALL</t>
        </is>
      </c>
      <c r="F9319" t="inlineStr">
        <is>
          <t>Holmen skog AB</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60218-2023</t>
        </is>
      </c>
      <c r="B9320" s="1" t="n">
        <v>45258</v>
      </c>
      <c r="C9320" s="1" t="n">
        <v>45677</v>
      </c>
      <c r="D9320" t="inlineStr">
        <is>
          <t>GÄVLEBORGS LÄN</t>
        </is>
      </c>
      <c r="E9320" t="inlineStr">
        <is>
          <t>OVANÅKER</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60076-2023</t>
        </is>
      </c>
      <c r="B9321" s="1" t="n">
        <v>45258</v>
      </c>
      <c r="C9321" s="1" t="n">
        <v>45677</v>
      </c>
      <c r="D9321" t="inlineStr">
        <is>
          <t>GÄVLEBORGS LÄN</t>
        </is>
      </c>
      <c r="E9321" t="inlineStr">
        <is>
          <t>LJUSDAL</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60148-2023</t>
        </is>
      </c>
      <c r="B9322" s="1" t="n">
        <v>45258</v>
      </c>
      <c r="C9322" s="1" t="n">
        <v>45677</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60192-2023</t>
        </is>
      </c>
      <c r="B9323" s="1" t="n">
        <v>45258</v>
      </c>
      <c r="C9323" s="1" t="n">
        <v>45677</v>
      </c>
      <c r="D9323" t="inlineStr">
        <is>
          <t>GÄVLEBORGS LÄN</t>
        </is>
      </c>
      <c r="E9323" t="inlineStr">
        <is>
          <t>HUDIKSVALL</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60197-2023</t>
        </is>
      </c>
      <c r="B9324" s="1" t="n">
        <v>45258</v>
      </c>
      <c r="C9324" s="1" t="n">
        <v>45677</v>
      </c>
      <c r="D9324" t="inlineStr">
        <is>
          <t>GÄVLEBORGS LÄN</t>
        </is>
      </c>
      <c r="E9324" t="inlineStr">
        <is>
          <t>LJUSDAL</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60214-2023</t>
        </is>
      </c>
      <c r="B9325" s="1" t="n">
        <v>45258</v>
      </c>
      <c r="C9325" s="1" t="n">
        <v>45677</v>
      </c>
      <c r="D9325" t="inlineStr">
        <is>
          <t>GÄVLEBORGS LÄN</t>
        </is>
      </c>
      <c r="E9325" t="inlineStr">
        <is>
          <t>OCKELBO</t>
        </is>
      </c>
      <c r="F9325" t="inlineStr">
        <is>
          <t>Bergvik skog väst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60182-2023</t>
        </is>
      </c>
      <c r="B9326" s="1" t="n">
        <v>45258</v>
      </c>
      <c r="C9326" s="1" t="n">
        <v>45677</v>
      </c>
      <c r="D9326" t="inlineStr">
        <is>
          <t>GÄVLEBORGS LÄN</t>
        </is>
      </c>
      <c r="E9326" t="inlineStr">
        <is>
          <t>HUDIKSVALL</t>
        </is>
      </c>
      <c r="G9326" t="n">
        <v>10.1</v>
      </c>
      <c r="H9326" t="n">
        <v>0</v>
      </c>
      <c r="I9326" t="n">
        <v>0</v>
      </c>
      <c r="J9326" t="n">
        <v>0</v>
      </c>
      <c r="K9326" t="n">
        <v>0</v>
      </c>
      <c r="L9326" t="n">
        <v>0</v>
      </c>
      <c r="M9326" t="n">
        <v>0</v>
      </c>
      <c r="N9326" t="n">
        <v>0</v>
      </c>
      <c r="O9326" t="n">
        <v>0</v>
      </c>
      <c r="P9326" t="n">
        <v>0</v>
      </c>
      <c r="Q9326" t="n">
        <v>0</v>
      </c>
      <c r="R9326" s="2" t="inlineStr"/>
    </row>
    <row r="9327" ht="15" customHeight="1">
      <c r="A9327" t="inlineStr">
        <is>
          <t>A 60188-2023</t>
        </is>
      </c>
      <c r="B9327" s="1" t="n">
        <v>45258</v>
      </c>
      <c r="C9327" s="1" t="n">
        <v>45677</v>
      </c>
      <c r="D9327" t="inlineStr">
        <is>
          <t>GÄVLEBORGS LÄN</t>
        </is>
      </c>
      <c r="E9327" t="inlineStr">
        <is>
          <t>HUDIKSVALL</t>
        </is>
      </c>
      <c r="F9327" t="inlineStr">
        <is>
          <t>Holmen skog AB</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60253-2023</t>
        </is>
      </c>
      <c r="B9328" s="1" t="n">
        <v>45258</v>
      </c>
      <c r="C9328" s="1" t="n">
        <v>45677</v>
      </c>
      <c r="D9328" t="inlineStr">
        <is>
          <t>GÄVLEBORGS LÄN</t>
        </is>
      </c>
      <c r="E9328" t="inlineStr">
        <is>
          <t>OCKELBO</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60194-2023</t>
        </is>
      </c>
      <c r="B9329" s="1" t="n">
        <v>45258</v>
      </c>
      <c r="C9329" s="1" t="n">
        <v>45677</v>
      </c>
      <c r="D9329" t="inlineStr">
        <is>
          <t>GÄVLEBORGS LÄN</t>
        </is>
      </c>
      <c r="E9329" t="inlineStr">
        <is>
          <t>HUDIKSVALL</t>
        </is>
      </c>
      <c r="F9329" t="inlineStr">
        <is>
          <t>Holmen skog AB</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60476-2023</t>
        </is>
      </c>
      <c r="B9330" s="1" t="n">
        <v>45258</v>
      </c>
      <c r="C9330" s="1" t="n">
        <v>45677</v>
      </c>
      <c r="D9330" t="inlineStr">
        <is>
          <t>GÄVLEBORGS LÄN</t>
        </is>
      </c>
      <c r="E9330" t="inlineStr">
        <is>
          <t>BOLLNÄS</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60495-2023</t>
        </is>
      </c>
      <c r="B9331" s="1" t="n">
        <v>45258</v>
      </c>
      <c r="C9331" s="1" t="n">
        <v>45677</v>
      </c>
      <c r="D9331" t="inlineStr">
        <is>
          <t>GÄVLEBORGS LÄN</t>
        </is>
      </c>
      <c r="E9331" t="inlineStr">
        <is>
          <t>BOLLNÄS</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60491-2023</t>
        </is>
      </c>
      <c r="B9332" s="1" t="n">
        <v>45258</v>
      </c>
      <c r="C9332" s="1" t="n">
        <v>45677</v>
      </c>
      <c r="D9332" t="inlineStr">
        <is>
          <t>GÄVLEBORGS LÄN</t>
        </is>
      </c>
      <c r="E9332" t="inlineStr">
        <is>
          <t>BOLLNÄS</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60490-2023</t>
        </is>
      </c>
      <c r="B9333" s="1" t="n">
        <v>45258</v>
      </c>
      <c r="C9333" s="1" t="n">
        <v>45677</v>
      </c>
      <c r="D9333" t="inlineStr">
        <is>
          <t>GÄVLEBORGS LÄN</t>
        </is>
      </c>
      <c r="E9333" t="inlineStr">
        <is>
          <t>BOLLNÄS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60345-2023</t>
        </is>
      </c>
      <c r="B9334" s="1" t="n">
        <v>45259</v>
      </c>
      <c r="C9334" s="1" t="n">
        <v>45677</v>
      </c>
      <c r="D9334" t="inlineStr">
        <is>
          <t>GÄVLEBORGS LÄN</t>
        </is>
      </c>
      <c r="E9334" t="inlineStr">
        <is>
          <t>NORDANSTIG</t>
        </is>
      </c>
      <c r="F9334" t="inlineStr">
        <is>
          <t>Holmen skog AB</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60454-2023</t>
        </is>
      </c>
      <c r="B9335" s="1" t="n">
        <v>45259</v>
      </c>
      <c r="C9335" s="1" t="n">
        <v>45677</v>
      </c>
      <c r="D9335" t="inlineStr">
        <is>
          <t>GÄVLEBORGS LÄN</t>
        </is>
      </c>
      <c r="E9335" t="inlineStr">
        <is>
          <t>BOLLNÄS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60502-2023</t>
        </is>
      </c>
      <c r="B9336" s="1" t="n">
        <v>45259</v>
      </c>
      <c r="C9336" s="1" t="n">
        <v>45677</v>
      </c>
      <c r="D9336" t="inlineStr">
        <is>
          <t>GÄVLEBORGS LÄN</t>
        </is>
      </c>
      <c r="E9336" t="inlineStr">
        <is>
          <t>GÄVLE</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60520-2023</t>
        </is>
      </c>
      <c r="B9337" s="1" t="n">
        <v>45259</v>
      </c>
      <c r="C9337" s="1" t="n">
        <v>45677</v>
      </c>
      <c r="D9337" t="inlineStr">
        <is>
          <t>GÄVLEBORGS LÄN</t>
        </is>
      </c>
      <c r="E9337" t="inlineStr">
        <is>
          <t>NORDANSTIG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60449-2023</t>
        </is>
      </c>
      <c r="B9338" s="1" t="n">
        <v>45259</v>
      </c>
      <c r="C9338" s="1" t="n">
        <v>45677</v>
      </c>
      <c r="D9338" t="inlineStr">
        <is>
          <t>GÄVLEBORGS LÄN</t>
        </is>
      </c>
      <c r="E9338" t="inlineStr">
        <is>
          <t>BOLLNÄS</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60398-2023</t>
        </is>
      </c>
      <c r="B9339" s="1" t="n">
        <v>45259</v>
      </c>
      <c r="C9339" s="1" t="n">
        <v>45677</v>
      </c>
      <c r="D9339" t="inlineStr">
        <is>
          <t>GÄVLEBORGS LÄN</t>
        </is>
      </c>
      <c r="E9339" t="inlineStr">
        <is>
          <t>NORDANSTIG</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60417-2023</t>
        </is>
      </c>
      <c r="B9340" s="1" t="n">
        <v>45259</v>
      </c>
      <c r="C9340" s="1" t="n">
        <v>45677</v>
      </c>
      <c r="D9340" t="inlineStr">
        <is>
          <t>GÄVLEBORGS LÄN</t>
        </is>
      </c>
      <c r="E9340" t="inlineStr">
        <is>
          <t>OVANÅKER</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60473-2023</t>
        </is>
      </c>
      <c r="B9341" s="1" t="n">
        <v>45259</v>
      </c>
      <c r="C9341" s="1" t="n">
        <v>45677</v>
      </c>
      <c r="D9341" t="inlineStr">
        <is>
          <t>GÄVLEBORGS LÄN</t>
        </is>
      </c>
      <c r="E9341" t="inlineStr">
        <is>
          <t>HUDIKSVALL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60452-2023</t>
        </is>
      </c>
      <c r="B9342" s="1" t="n">
        <v>45259</v>
      </c>
      <c r="C9342" s="1" t="n">
        <v>45677</v>
      </c>
      <c r="D9342" t="inlineStr">
        <is>
          <t>GÄVLEBORGS LÄN</t>
        </is>
      </c>
      <c r="E9342" t="inlineStr">
        <is>
          <t>BOLLNÄS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60610-2023</t>
        </is>
      </c>
      <c r="B9343" s="1" t="n">
        <v>45260</v>
      </c>
      <c r="C9343" s="1" t="n">
        <v>45677</v>
      </c>
      <c r="D9343" t="inlineStr">
        <is>
          <t>GÄVLEBORGS LÄN</t>
        </is>
      </c>
      <c r="E9343" t="inlineStr">
        <is>
          <t>HOFORS</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60691-2023</t>
        </is>
      </c>
      <c r="B9344" s="1" t="n">
        <v>45260</v>
      </c>
      <c r="C9344" s="1" t="n">
        <v>45677</v>
      </c>
      <c r="D9344" t="inlineStr">
        <is>
          <t>GÄVLEBORGS LÄN</t>
        </is>
      </c>
      <c r="E9344" t="inlineStr">
        <is>
          <t>SÖDERHAMN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60590-2023</t>
        </is>
      </c>
      <c r="B9345" s="1" t="n">
        <v>45260</v>
      </c>
      <c r="C9345" s="1" t="n">
        <v>45677</v>
      </c>
      <c r="D9345" t="inlineStr">
        <is>
          <t>GÄVLEBORGS LÄN</t>
        </is>
      </c>
      <c r="E9345" t="inlineStr">
        <is>
          <t>LJUSDAL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60608-2023</t>
        </is>
      </c>
      <c r="B9346" s="1" t="n">
        <v>45260</v>
      </c>
      <c r="C9346" s="1" t="n">
        <v>45677</v>
      </c>
      <c r="D9346" t="inlineStr">
        <is>
          <t>GÄVLEBORGS LÄN</t>
        </is>
      </c>
      <c r="E9346" t="inlineStr">
        <is>
          <t>LJUSDAL</t>
        </is>
      </c>
      <c r="F9346" t="inlineStr">
        <is>
          <t>Holmen skog AB</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60695-2023</t>
        </is>
      </c>
      <c r="B9347" s="1" t="n">
        <v>45260</v>
      </c>
      <c r="C9347" s="1" t="n">
        <v>45677</v>
      </c>
      <c r="D9347" t="inlineStr">
        <is>
          <t>GÄVLEBORGS LÄN</t>
        </is>
      </c>
      <c r="E9347" t="inlineStr">
        <is>
          <t>SÖDERHAMN</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60694-2023</t>
        </is>
      </c>
      <c r="B9348" s="1" t="n">
        <v>45260</v>
      </c>
      <c r="C9348" s="1" t="n">
        <v>45677</v>
      </c>
      <c r="D9348" t="inlineStr">
        <is>
          <t>GÄVLEBORGS LÄN</t>
        </is>
      </c>
      <c r="E9348" t="inlineStr">
        <is>
          <t>SÖDERHAMN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60698-2023</t>
        </is>
      </c>
      <c r="B9349" s="1" t="n">
        <v>45260</v>
      </c>
      <c r="C9349" s="1" t="n">
        <v>45677</v>
      </c>
      <c r="D9349" t="inlineStr">
        <is>
          <t>GÄVLEBORGS LÄN</t>
        </is>
      </c>
      <c r="E9349" t="inlineStr">
        <is>
          <t>SÖDERHAMN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60710-2023</t>
        </is>
      </c>
      <c r="B9350" s="1" t="n">
        <v>45260</v>
      </c>
      <c r="C9350" s="1" t="n">
        <v>45677</v>
      </c>
      <c r="D9350" t="inlineStr">
        <is>
          <t>GÄVLEBORGS LÄN</t>
        </is>
      </c>
      <c r="E9350" t="inlineStr">
        <is>
          <t>HUDIKSVALL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60719-2023</t>
        </is>
      </c>
      <c r="B9351" s="1" t="n">
        <v>45260</v>
      </c>
      <c r="C9351" s="1" t="n">
        <v>45677</v>
      </c>
      <c r="D9351" t="inlineStr">
        <is>
          <t>GÄVLEBORGS LÄN</t>
        </is>
      </c>
      <c r="E9351" t="inlineStr">
        <is>
          <t>NORDANSTIG</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60736-2023</t>
        </is>
      </c>
      <c r="B9352" s="1" t="n">
        <v>45260</v>
      </c>
      <c r="C9352" s="1" t="n">
        <v>45677</v>
      </c>
      <c r="D9352" t="inlineStr">
        <is>
          <t>GÄVLEBORGS LÄN</t>
        </is>
      </c>
      <c r="E9352" t="inlineStr">
        <is>
          <t>HUDIKSVALL</t>
        </is>
      </c>
      <c r="F9352" t="inlineStr">
        <is>
          <t>Holmen skog AB</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60775-2023</t>
        </is>
      </c>
      <c r="B9353" s="1" t="n">
        <v>45260</v>
      </c>
      <c r="C9353" s="1" t="n">
        <v>45677</v>
      </c>
      <c r="D9353" t="inlineStr">
        <is>
          <t>GÄVLEBORGS LÄN</t>
        </is>
      </c>
      <c r="E9353" t="inlineStr">
        <is>
          <t>OCKELBO</t>
        </is>
      </c>
      <c r="F9353" t="inlineStr">
        <is>
          <t>Bergvik skog väst AB</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60789-2023</t>
        </is>
      </c>
      <c r="B9354" s="1" t="n">
        <v>45260</v>
      </c>
      <c r="C9354" s="1" t="n">
        <v>45677</v>
      </c>
      <c r="D9354" t="inlineStr">
        <is>
          <t>GÄVLEBORGS LÄN</t>
        </is>
      </c>
      <c r="E9354" t="inlineStr">
        <is>
          <t>HUDIKSVALL</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60801-2023</t>
        </is>
      </c>
      <c r="B9355" s="1" t="n">
        <v>45260</v>
      </c>
      <c r="C9355" s="1" t="n">
        <v>45677</v>
      </c>
      <c r="D9355" t="inlineStr">
        <is>
          <t>GÄVLEBORGS LÄN</t>
        </is>
      </c>
      <c r="E9355" t="inlineStr">
        <is>
          <t>HUDIKSVALL</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60617-2023</t>
        </is>
      </c>
      <c r="B9356" s="1" t="n">
        <v>45260</v>
      </c>
      <c r="C9356" s="1" t="n">
        <v>45677</v>
      </c>
      <c r="D9356" t="inlineStr">
        <is>
          <t>GÄVLEBORGS LÄN</t>
        </is>
      </c>
      <c r="E9356" t="inlineStr">
        <is>
          <t>HUDIKSVALL</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60701-2023</t>
        </is>
      </c>
      <c r="B9357" s="1" t="n">
        <v>45260</v>
      </c>
      <c r="C9357" s="1" t="n">
        <v>45677</v>
      </c>
      <c r="D9357" t="inlineStr">
        <is>
          <t>GÄVLEBORGS LÄN</t>
        </is>
      </c>
      <c r="E9357" t="inlineStr">
        <is>
          <t>SÖDERHAMN</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60705-2023</t>
        </is>
      </c>
      <c r="B9358" s="1" t="n">
        <v>45260</v>
      </c>
      <c r="C9358" s="1" t="n">
        <v>45677</v>
      </c>
      <c r="D9358" t="inlineStr">
        <is>
          <t>GÄVLEBORGS LÄN</t>
        </is>
      </c>
      <c r="E9358" t="inlineStr">
        <is>
          <t>HOFORS</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60798-2023</t>
        </is>
      </c>
      <c r="B9359" s="1" t="n">
        <v>45260</v>
      </c>
      <c r="C9359" s="1" t="n">
        <v>45677</v>
      </c>
      <c r="D9359" t="inlineStr">
        <is>
          <t>GÄVLEBORGS LÄN</t>
        </is>
      </c>
      <c r="E9359" t="inlineStr">
        <is>
          <t>SANDVIKEN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60737-2023</t>
        </is>
      </c>
      <c r="B9360" s="1" t="n">
        <v>45260</v>
      </c>
      <c r="C9360" s="1" t="n">
        <v>45677</v>
      </c>
      <c r="D9360" t="inlineStr">
        <is>
          <t>GÄVLEBORGS LÄN</t>
        </is>
      </c>
      <c r="E9360" t="inlineStr">
        <is>
          <t>OCKELBO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60628-2023</t>
        </is>
      </c>
      <c r="B9361" s="1" t="n">
        <v>45260</v>
      </c>
      <c r="C9361" s="1" t="n">
        <v>45677</v>
      </c>
      <c r="D9361" t="inlineStr">
        <is>
          <t>GÄVLEBORGS LÄN</t>
        </is>
      </c>
      <c r="E9361" t="inlineStr">
        <is>
          <t>HUDIKSVALL</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60700-2023</t>
        </is>
      </c>
      <c r="B9362" s="1" t="n">
        <v>45260</v>
      </c>
      <c r="C9362" s="1" t="n">
        <v>45677</v>
      </c>
      <c r="D9362" t="inlineStr">
        <is>
          <t>GÄVLEBORGS LÄN</t>
        </is>
      </c>
      <c r="E9362" t="inlineStr">
        <is>
          <t>SANDVIKEN</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60708-2023</t>
        </is>
      </c>
      <c r="B9363" s="1" t="n">
        <v>45260</v>
      </c>
      <c r="C9363" s="1" t="n">
        <v>45677</v>
      </c>
      <c r="D9363" t="inlineStr">
        <is>
          <t>GÄVLEBORGS LÄN</t>
        </is>
      </c>
      <c r="E9363" t="inlineStr">
        <is>
          <t>NORDANSTIG</t>
        </is>
      </c>
      <c r="F9363" t="inlineStr">
        <is>
          <t>Holmen skog AB</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60750-2023</t>
        </is>
      </c>
      <c r="B9364" s="1" t="n">
        <v>45260</v>
      </c>
      <c r="C9364" s="1" t="n">
        <v>45677</v>
      </c>
      <c r="D9364" t="inlineStr">
        <is>
          <t>GÄVLEBORGS LÄN</t>
        </is>
      </c>
      <c r="E9364" t="inlineStr">
        <is>
          <t>HUDIKSVALL</t>
        </is>
      </c>
      <c r="F9364" t="inlineStr">
        <is>
          <t>Holmen skog AB</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60796-2023</t>
        </is>
      </c>
      <c r="B9365" s="1" t="n">
        <v>45260</v>
      </c>
      <c r="C9365" s="1" t="n">
        <v>45677</v>
      </c>
      <c r="D9365" t="inlineStr">
        <is>
          <t>GÄVLEBORGS LÄN</t>
        </is>
      </c>
      <c r="E9365" t="inlineStr">
        <is>
          <t>HUDIKSVALL</t>
        </is>
      </c>
      <c r="F9365" t="inlineStr">
        <is>
          <t>Holmen skog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60804-2023</t>
        </is>
      </c>
      <c r="B9366" s="1" t="n">
        <v>45260</v>
      </c>
      <c r="C9366" s="1" t="n">
        <v>45677</v>
      </c>
      <c r="D9366" t="inlineStr">
        <is>
          <t>GÄVLEBORGS LÄN</t>
        </is>
      </c>
      <c r="E9366" t="inlineStr">
        <is>
          <t>OVANÅKER</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60839-2023</t>
        </is>
      </c>
      <c r="B9367" s="1" t="n">
        <v>45260</v>
      </c>
      <c r="C9367" s="1" t="n">
        <v>45677</v>
      </c>
      <c r="D9367" t="inlineStr">
        <is>
          <t>GÄVLEBORGS LÄN</t>
        </is>
      </c>
      <c r="E9367" t="inlineStr">
        <is>
          <t>NORDANSTIG</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60834-2023</t>
        </is>
      </c>
      <c r="B9368" s="1" t="n">
        <v>45260</v>
      </c>
      <c r="C9368" s="1" t="n">
        <v>45677</v>
      </c>
      <c r="D9368" t="inlineStr">
        <is>
          <t>GÄVLEBORGS LÄN</t>
        </is>
      </c>
      <c r="E9368" t="inlineStr">
        <is>
          <t>NORDANSTIG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60853-2023</t>
        </is>
      </c>
      <c r="B9369" s="1" t="n">
        <v>45260</v>
      </c>
      <c r="C9369" s="1" t="n">
        <v>45677</v>
      </c>
      <c r="D9369" t="inlineStr">
        <is>
          <t>GÄVLEBORGS LÄN</t>
        </is>
      </c>
      <c r="E9369" t="inlineStr">
        <is>
          <t>NORDANSTIG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60885-2023</t>
        </is>
      </c>
      <c r="B9370" s="1" t="n">
        <v>45261</v>
      </c>
      <c r="C9370" s="1" t="n">
        <v>45677</v>
      </c>
      <c r="D9370" t="inlineStr">
        <is>
          <t>GÄVLEBORGS LÄN</t>
        </is>
      </c>
      <c r="E9370" t="inlineStr">
        <is>
          <t>GÄVLE</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60897-2023</t>
        </is>
      </c>
      <c r="B9371" s="1" t="n">
        <v>45261</v>
      </c>
      <c r="C9371" s="1" t="n">
        <v>45677</v>
      </c>
      <c r="D9371" t="inlineStr">
        <is>
          <t>GÄVLEBORGS LÄN</t>
        </is>
      </c>
      <c r="E9371" t="inlineStr">
        <is>
          <t>SANDVIKEN</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60901-2023</t>
        </is>
      </c>
      <c r="B9372" s="1" t="n">
        <v>45261</v>
      </c>
      <c r="C9372" s="1" t="n">
        <v>45677</v>
      </c>
      <c r="D9372" t="inlineStr">
        <is>
          <t>GÄVLEBORGS LÄN</t>
        </is>
      </c>
      <c r="E9372" t="inlineStr">
        <is>
          <t>HUDIKSVALL</t>
        </is>
      </c>
      <c r="F9372" t="inlineStr">
        <is>
          <t>Holmen skog AB</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60917-2023</t>
        </is>
      </c>
      <c r="B9373" s="1" t="n">
        <v>45261</v>
      </c>
      <c r="C9373" s="1" t="n">
        <v>45677</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60933-2023</t>
        </is>
      </c>
      <c r="B9374" s="1" t="n">
        <v>45261</v>
      </c>
      <c r="C9374" s="1" t="n">
        <v>45677</v>
      </c>
      <c r="D9374" t="inlineStr">
        <is>
          <t>GÄVLEBORGS LÄN</t>
        </is>
      </c>
      <c r="E9374" t="inlineStr">
        <is>
          <t>HUDIKSVALL</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60938-2023</t>
        </is>
      </c>
      <c r="B9375" s="1" t="n">
        <v>45261</v>
      </c>
      <c r="C9375" s="1" t="n">
        <v>45677</v>
      </c>
      <c r="D9375" t="inlineStr">
        <is>
          <t>GÄVLEBORGS LÄN</t>
        </is>
      </c>
      <c r="E9375" t="inlineStr">
        <is>
          <t>HUDIKSVALL</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60879-2023</t>
        </is>
      </c>
      <c r="B9376" s="1" t="n">
        <v>45261</v>
      </c>
      <c r="C9376" s="1" t="n">
        <v>45677</v>
      </c>
      <c r="D9376" t="inlineStr">
        <is>
          <t>GÄVLEBORGS LÄN</t>
        </is>
      </c>
      <c r="E9376" t="inlineStr">
        <is>
          <t>GÄVLE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60891-2023</t>
        </is>
      </c>
      <c r="B9377" s="1" t="n">
        <v>45261</v>
      </c>
      <c r="C9377" s="1" t="n">
        <v>45677</v>
      </c>
      <c r="D9377" t="inlineStr">
        <is>
          <t>GÄVLEBORGS LÄN</t>
        </is>
      </c>
      <c r="E9377" t="inlineStr">
        <is>
          <t>SANDVIKEN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60895-2023</t>
        </is>
      </c>
      <c r="B9378" s="1" t="n">
        <v>45261</v>
      </c>
      <c r="C9378" s="1" t="n">
        <v>45677</v>
      </c>
      <c r="D9378" t="inlineStr">
        <is>
          <t>GÄVLEBORGS LÄN</t>
        </is>
      </c>
      <c r="E9378" t="inlineStr">
        <is>
          <t>SANDVIKEN</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60899-2023</t>
        </is>
      </c>
      <c r="B9379" s="1" t="n">
        <v>45261</v>
      </c>
      <c r="C9379" s="1" t="n">
        <v>45677</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60931-2023</t>
        </is>
      </c>
      <c r="B9380" s="1" t="n">
        <v>45261</v>
      </c>
      <c r="C9380" s="1" t="n">
        <v>45677</v>
      </c>
      <c r="D9380" t="inlineStr">
        <is>
          <t>GÄVLEBORGS LÄN</t>
        </is>
      </c>
      <c r="E9380" t="inlineStr">
        <is>
          <t>HUDIKSVALL</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60892-2023</t>
        </is>
      </c>
      <c r="B9381" s="1" t="n">
        <v>45261</v>
      </c>
      <c r="C9381" s="1" t="n">
        <v>45677</v>
      </c>
      <c r="D9381" t="inlineStr">
        <is>
          <t>GÄVLEBORGS LÄN</t>
        </is>
      </c>
      <c r="E9381" t="inlineStr">
        <is>
          <t>NORDANSTIG</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60948-2023</t>
        </is>
      </c>
      <c r="B9382" s="1" t="n">
        <v>45261</v>
      </c>
      <c r="C9382" s="1" t="n">
        <v>45677</v>
      </c>
      <c r="D9382" t="inlineStr">
        <is>
          <t>GÄVLEBORGS LÄN</t>
        </is>
      </c>
      <c r="E9382" t="inlineStr">
        <is>
          <t>LJUSDAL</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61031-2023</t>
        </is>
      </c>
      <c r="B9383" s="1" t="n">
        <v>45261</v>
      </c>
      <c r="C9383" s="1" t="n">
        <v>45677</v>
      </c>
      <c r="D9383" t="inlineStr">
        <is>
          <t>GÄVLEBORGS LÄN</t>
        </is>
      </c>
      <c r="E9383" t="inlineStr">
        <is>
          <t>SÖDERHAMN</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60972-2023</t>
        </is>
      </c>
      <c r="B9384" s="1" t="n">
        <v>45261</v>
      </c>
      <c r="C9384" s="1" t="n">
        <v>45677</v>
      </c>
      <c r="D9384" t="inlineStr">
        <is>
          <t>GÄVLEBORGS LÄN</t>
        </is>
      </c>
      <c r="E9384" t="inlineStr">
        <is>
          <t>OCKELBO</t>
        </is>
      </c>
      <c r="F9384" t="inlineStr">
        <is>
          <t>Bergvik skog väst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61020-2023</t>
        </is>
      </c>
      <c r="B9385" s="1" t="n">
        <v>45261</v>
      </c>
      <c r="C9385" s="1" t="n">
        <v>45677</v>
      </c>
      <c r="D9385" t="inlineStr">
        <is>
          <t>GÄVLEBORGS LÄN</t>
        </is>
      </c>
      <c r="E9385" t="inlineStr">
        <is>
          <t>LJUSDAL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61053-2023</t>
        </is>
      </c>
      <c r="B9386" s="1" t="n">
        <v>45261</v>
      </c>
      <c r="C9386" s="1" t="n">
        <v>45677</v>
      </c>
      <c r="D9386" t="inlineStr">
        <is>
          <t>GÄVLEBORGS LÄN</t>
        </is>
      </c>
      <c r="E9386" t="inlineStr">
        <is>
          <t>LJUSDAL</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61065-2023</t>
        </is>
      </c>
      <c r="B9387" s="1" t="n">
        <v>45261</v>
      </c>
      <c r="C9387" s="1" t="n">
        <v>45677</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61116-2023</t>
        </is>
      </c>
      <c r="B9388" s="1" t="n">
        <v>45261</v>
      </c>
      <c r="C9388" s="1" t="n">
        <v>45677</v>
      </c>
      <c r="D9388" t="inlineStr">
        <is>
          <t>GÄVLEBORGS LÄN</t>
        </is>
      </c>
      <c r="E9388" t="inlineStr">
        <is>
          <t>OCKELBO</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60952-2023</t>
        </is>
      </c>
      <c r="B9389" s="1" t="n">
        <v>45261</v>
      </c>
      <c r="C9389" s="1" t="n">
        <v>45677</v>
      </c>
      <c r="D9389" t="inlineStr">
        <is>
          <t>GÄVLEBORGS LÄN</t>
        </is>
      </c>
      <c r="E9389" t="inlineStr">
        <is>
          <t>LJUSDAL</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60957-2023</t>
        </is>
      </c>
      <c r="B9390" s="1" t="n">
        <v>45261</v>
      </c>
      <c r="C9390" s="1" t="n">
        <v>45677</v>
      </c>
      <c r="D9390" t="inlineStr">
        <is>
          <t>GÄVLEBORGS LÄN</t>
        </is>
      </c>
      <c r="E9390" t="inlineStr">
        <is>
          <t>LJUSDAL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61098-2023</t>
        </is>
      </c>
      <c r="B9391" s="1" t="n">
        <v>45261</v>
      </c>
      <c r="C9391" s="1" t="n">
        <v>45677</v>
      </c>
      <c r="D9391" t="inlineStr">
        <is>
          <t>GÄVLEBORGS LÄN</t>
        </is>
      </c>
      <c r="E9391" t="inlineStr">
        <is>
          <t>BOLLNÄS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61060-2023</t>
        </is>
      </c>
      <c r="B9392" s="1" t="n">
        <v>45261</v>
      </c>
      <c r="C9392" s="1" t="n">
        <v>45677</v>
      </c>
      <c r="D9392" t="inlineStr">
        <is>
          <t>GÄVLEBORGS LÄN</t>
        </is>
      </c>
      <c r="E9392" t="inlineStr">
        <is>
          <t>BOLLNÄS</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61092-2023</t>
        </is>
      </c>
      <c r="B9393" s="1" t="n">
        <v>45261</v>
      </c>
      <c r="C9393" s="1" t="n">
        <v>45677</v>
      </c>
      <c r="D9393" t="inlineStr">
        <is>
          <t>GÄVLEBORGS LÄN</t>
        </is>
      </c>
      <c r="E9393" t="inlineStr">
        <is>
          <t>LJUSDAL</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61097-2023</t>
        </is>
      </c>
      <c r="B9394" s="1" t="n">
        <v>45261</v>
      </c>
      <c r="C9394" s="1" t="n">
        <v>45677</v>
      </c>
      <c r="D9394" t="inlineStr">
        <is>
          <t>GÄVLEBORGS LÄN</t>
        </is>
      </c>
      <c r="E9394" t="inlineStr">
        <is>
          <t>SÖDERHAMN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61114-2023</t>
        </is>
      </c>
      <c r="B9395" s="1" t="n">
        <v>45261</v>
      </c>
      <c r="C9395" s="1" t="n">
        <v>45677</v>
      </c>
      <c r="D9395" t="inlineStr">
        <is>
          <t>GÄVLEBORGS LÄN</t>
        </is>
      </c>
      <c r="E9395" t="inlineStr">
        <is>
          <t>LJUSDAL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61215-2023</t>
        </is>
      </c>
      <c r="B9396" s="1" t="n">
        <v>45264</v>
      </c>
      <c r="C9396" s="1" t="n">
        <v>45677</v>
      </c>
      <c r="D9396" t="inlineStr">
        <is>
          <t>GÄVLEBORGS LÄN</t>
        </is>
      </c>
      <c r="E9396" t="inlineStr">
        <is>
          <t>BOLLNÄS</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61231-2023</t>
        </is>
      </c>
      <c r="B9397" s="1" t="n">
        <v>45264</v>
      </c>
      <c r="C9397" s="1" t="n">
        <v>45677</v>
      </c>
      <c r="D9397" t="inlineStr">
        <is>
          <t>GÄVLEBORGS LÄN</t>
        </is>
      </c>
      <c r="E9397" t="inlineStr">
        <is>
          <t>GÄVLE</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61211-2023</t>
        </is>
      </c>
      <c r="B9398" s="1" t="n">
        <v>45264</v>
      </c>
      <c r="C9398" s="1" t="n">
        <v>45677</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61234-2023</t>
        </is>
      </c>
      <c r="B9399" s="1" t="n">
        <v>45264</v>
      </c>
      <c r="C9399" s="1" t="n">
        <v>45677</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61255-2023</t>
        </is>
      </c>
      <c r="B9400" s="1" t="n">
        <v>45264</v>
      </c>
      <c r="C9400" s="1" t="n">
        <v>45677</v>
      </c>
      <c r="D9400" t="inlineStr">
        <is>
          <t>GÄVLEBORGS LÄN</t>
        </is>
      </c>
      <c r="E9400" t="inlineStr">
        <is>
          <t>HUDIKSVALL</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61265-2023</t>
        </is>
      </c>
      <c r="B9401" s="1" t="n">
        <v>45264</v>
      </c>
      <c r="C9401" s="1" t="n">
        <v>45677</v>
      </c>
      <c r="D9401" t="inlineStr">
        <is>
          <t>GÄVLEBORGS LÄN</t>
        </is>
      </c>
      <c r="E9401" t="inlineStr">
        <is>
          <t>NORDANSTIG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61212-2023</t>
        </is>
      </c>
      <c r="B9402" s="1" t="n">
        <v>45264</v>
      </c>
      <c r="C9402" s="1" t="n">
        <v>45677</v>
      </c>
      <c r="D9402" t="inlineStr">
        <is>
          <t>GÄVLEBORGS LÄN</t>
        </is>
      </c>
      <c r="E9402" t="inlineStr">
        <is>
          <t>HUDIKSVALL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61340-2023</t>
        </is>
      </c>
      <c r="B9403" s="1" t="n">
        <v>45264</v>
      </c>
      <c r="C9403" s="1" t="n">
        <v>45677</v>
      </c>
      <c r="D9403" t="inlineStr">
        <is>
          <t>GÄVLEBORGS LÄN</t>
        </is>
      </c>
      <c r="E9403" t="inlineStr">
        <is>
          <t>GÄVLE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61406-2023</t>
        </is>
      </c>
      <c r="B9404" s="1" t="n">
        <v>45264</v>
      </c>
      <c r="C9404" s="1" t="n">
        <v>45677</v>
      </c>
      <c r="D9404" t="inlineStr">
        <is>
          <t>GÄVLEBORGS LÄN</t>
        </is>
      </c>
      <c r="E9404" t="inlineStr">
        <is>
          <t>HUDIKSVALL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61214-2023</t>
        </is>
      </c>
      <c r="B9405" s="1" t="n">
        <v>45264</v>
      </c>
      <c r="C9405" s="1" t="n">
        <v>45677</v>
      </c>
      <c r="D9405" t="inlineStr">
        <is>
          <t>GÄVLEBORGS LÄN</t>
        </is>
      </c>
      <c r="E9405" t="inlineStr">
        <is>
          <t>LJUSDAL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61325-2023</t>
        </is>
      </c>
      <c r="B9406" s="1" t="n">
        <v>45264</v>
      </c>
      <c r="C9406" s="1" t="n">
        <v>45677</v>
      </c>
      <c r="D9406" t="inlineStr">
        <is>
          <t>GÄVLEBORGS LÄN</t>
        </is>
      </c>
      <c r="E9406" t="inlineStr">
        <is>
          <t>HOFORS</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61363-2023</t>
        </is>
      </c>
      <c r="B9407" s="1" t="n">
        <v>45264</v>
      </c>
      <c r="C9407" s="1" t="n">
        <v>45677</v>
      </c>
      <c r="D9407" t="inlineStr">
        <is>
          <t>GÄVLEBORGS LÄN</t>
        </is>
      </c>
      <c r="E9407" t="inlineStr">
        <is>
          <t>SANDVIKEN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61390-2023</t>
        </is>
      </c>
      <c r="B9408" s="1" t="n">
        <v>45264</v>
      </c>
      <c r="C9408" s="1" t="n">
        <v>45677</v>
      </c>
      <c r="D9408" t="inlineStr">
        <is>
          <t>GÄVLEBORGS LÄN</t>
        </is>
      </c>
      <c r="E9408" t="inlineStr">
        <is>
          <t>GÄVLE</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61399-2023</t>
        </is>
      </c>
      <c r="B9409" s="1" t="n">
        <v>45264</v>
      </c>
      <c r="C9409" s="1" t="n">
        <v>45677</v>
      </c>
      <c r="D9409" t="inlineStr">
        <is>
          <t>GÄVLEBORGS LÄN</t>
        </is>
      </c>
      <c r="E9409" t="inlineStr">
        <is>
          <t>BOLLNÄS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61408-2023</t>
        </is>
      </c>
      <c r="B9410" s="1" t="n">
        <v>45264</v>
      </c>
      <c r="C9410" s="1" t="n">
        <v>45677</v>
      </c>
      <c r="D9410" t="inlineStr">
        <is>
          <t>GÄVLEBORGS LÄN</t>
        </is>
      </c>
      <c r="E9410" t="inlineStr">
        <is>
          <t>SÖDERHAMN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61412-2023</t>
        </is>
      </c>
      <c r="B9411" s="1" t="n">
        <v>45264</v>
      </c>
      <c r="C9411" s="1" t="n">
        <v>45677</v>
      </c>
      <c r="D9411" t="inlineStr">
        <is>
          <t>GÄVLEBORGS LÄN</t>
        </is>
      </c>
      <c r="E9411" t="inlineStr">
        <is>
          <t>HUDIKSVALL</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61478-2023</t>
        </is>
      </c>
      <c r="B9412" s="1" t="n">
        <v>45264</v>
      </c>
      <c r="C9412" s="1" t="n">
        <v>45677</v>
      </c>
      <c r="D9412" t="inlineStr">
        <is>
          <t>GÄVLEBORGS LÄN</t>
        </is>
      </c>
      <c r="E9412" t="inlineStr">
        <is>
          <t>HUDIKSVALL</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61431-2023</t>
        </is>
      </c>
      <c r="B9413" s="1" t="n">
        <v>45264</v>
      </c>
      <c r="C9413" s="1" t="n">
        <v>45677</v>
      </c>
      <c r="D9413" t="inlineStr">
        <is>
          <t>GÄVLEBORGS LÄN</t>
        </is>
      </c>
      <c r="E9413" t="inlineStr">
        <is>
          <t>LJUSDAL</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61706-2023</t>
        </is>
      </c>
      <c r="B9414" s="1" t="n">
        <v>45264</v>
      </c>
      <c r="C9414" s="1" t="n">
        <v>45677</v>
      </c>
      <c r="D9414" t="inlineStr">
        <is>
          <t>GÄVLEBORGS LÄN</t>
        </is>
      </c>
      <c r="E9414" t="inlineStr">
        <is>
          <t>SÖDERHAMN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61537-2023</t>
        </is>
      </c>
      <c r="B9415" s="1" t="n">
        <v>45265</v>
      </c>
      <c r="C9415" s="1" t="n">
        <v>45677</v>
      </c>
      <c r="D9415" t="inlineStr">
        <is>
          <t>GÄVLEBORGS LÄN</t>
        </is>
      </c>
      <c r="E9415" t="inlineStr">
        <is>
          <t>SANDVIKEN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61582-2023</t>
        </is>
      </c>
      <c r="B9416" s="1" t="n">
        <v>45265</v>
      </c>
      <c r="C9416" s="1" t="n">
        <v>45677</v>
      </c>
      <c r="D9416" t="inlineStr">
        <is>
          <t>GÄVLEBORGS LÄN</t>
        </is>
      </c>
      <c r="E9416" t="inlineStr">
        <is>
          <t>OVANÅKER</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61673-2023</t>
        </is>
      </c>
      <c r="B9417" s="1" t="n">
        <v>45265</v>
      </c>
      <c r="C9417" s="1" t="n">
        <v>45677</v>
      </c>
      <c r="D9417" t="inlineStr">
        <is>
          <t>GÄVLEBORGS LÄN</t>
        </is>
      </c>
      <c r="E9417" t="inlineStr">
        <is>
          <t>OVANÅKER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61686-2023</t>
        </is>
      </c>
      <c r="B9418" s="1" t="n">
        <v>45265</v>
      </c>
      <c r="C9418" s="1" t="n">
        <v>45677</v>
      </c>
      <c r="D9418" t="inlineStr">
        <is>
          <t>GÄVLEBORGS LÄN</t>
        </is>
      </c>
      <c r="E9418" t="inlineStr">
        <is>
          <t>SÖDERHAMN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61718-2023</t>
        </is>
      </c>
      <c r="B9419" s="1" t="n">
        <v>45265</v>
      </c>
      <c r="C9419" s="1" t="n">
        <v>45677</v>
      </c>
      <c r="D9419" t="inlineStr">
        <is>
          <t>GÄVLEBORGS LÄN</t>
        </is>
      </c>
      <c r="E9419" t="inlineStr">
        <is>
          <t>LJUSDAL</t>
        </is>
      </c>
      <c r="F9419" t="inlineStr">
        <is>
          <t>Kommuner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61528-2023</t>
        </is>
      </c>
      <c r="B9420" s="1" t="n">
        <v>45265</v>
      </c>
      <c r="C9420" s="1" t="n">
        <v>45677</v>
      </c>
      <c r="D9420" t="inlineStr">
        <is>
          <t>GÄVLEBORGS LÄN</t>
        </is>
      </c>
      <c r="E9420" t="inlineStr">
        <is>
          <t>OVANÅKER</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61567-2023</t>
        </is>
      </c>
      <c r="B9421" s="1" t="n">
        <v>45265</v>
      </c>
      <c r="C9421" s="1" t="n">
        <v>45677</v>
      </c>
      <c r="D9421" t="inlineStr">
        <is>
          <t>GÄVLEBORGS LÄN</t>
        </is>
      </c>
      <c r="E9421" t="inlineStr">
        <is>
          <t>OVANÅKER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61610-2023</t>
        </is>
      </c>
      <c r="B9422" s="1" t="n">
        <v>45265</v>
      </c>
      <c r="C9422" s="1" t="n">
        <v>45677</v>
      </c>
      <c r="D9422" t="inlineStr">
        <is>
          <t>GÄVLEBORGS LÄN</t>
        </is>
      </c>
      <c r="E9422" t="inlineStr">
        <is>
          <t>HUDIKSVALL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61680-2023</t>
        </is>
      </c>
      <c r="B9423" s="1" t="n">
        <v>45265</v>
      </c>
      <c r="C9423" s="1" t="n">
        <v>45677</v>
      </c>
      <c r="D9423" t="inlineStr">
        <is>
          <t>GÄVLEBORGS LÄN</t>
        </is>
      </c>
      <c r="E9423" t="inlineStr">
        <is>
          <t>SÖDERHAMN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61711-2023</t>
        </is>
      </c>
      <c r="B9424" s="1" t="n">
        <v>45265</v>
      </c>
      <c r="C9424" s="1" t="n">
        <v>45677</v>
      </c>
      <c r="D9424" t="inlineStr">
        <is>
          <t>GÄVLEBORGS LÄN</t>
        </is>
      </c>
      <c r="E9424" t="inlineStr">
        <is>
          <t>BOLLNÄS</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61526-2023</t>
        </is>
      </c>
      <c r="B9425" s="1" t="n">
        <v>45265</v>
      </c>
      <c r="C9425" s="1" t="n">
        <v>45677</v>
      </c>
      <c r="D9425" t="inlineStr">
        <is>
          <t>GÄVLEBORGS LÄN</t>
        </is>
      </c>
      <c r="E9425" t="inlineStr">
        <is>
          <t>OVANÅKER</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61576-2023</t>
        </is>
      </c>
      <c r="B9426" s="1" t="n">
        <v>45265</v>
      </c>
      <c r="C9426" s="1" t="n">
        <v>45677</v>
      </c>
      <c r="D9426" t="inlineStr">
        <is>
          <t>GÄVLEBORGS LÄN</t>
        </is>
      </c>
      <c r="E9426" t="inlineStr">
        <is>
          <t>OVANÅKER</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61672-2023</t>
        </is>
      </c>
      <c r="B9427" s="1" t="n">
        <v>45265</v>
      </c>
      <c r="C9427" s="1" t="n">
        <v>45677</v>
      </c>
      <c r="D9427" t="inlineStr">
        <is>
          <t>GÄVLEBORGS LÄN</t>
        </is>
      </c>
      <c r="E9427" t="inlineStr">
        <is>
          <t>GÄVLE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61772-2023</t>
        </is>
      </c>
      <c r="B9428" s="1" t="n">
        <v>45265</v>
      </c>
      <c r="C9428" s="1" t="n">
        <v>45677</v>
      </c>
      <c r="D9428" t="inlineStr">
        <is>
          <t>GÄVLEBORGS LÄN</t>
        </is>
      </c>
      <c r="E9428" t="inlineStr">
        <is>
          <t>HUDIKSVALL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61750-2023</t>
        </is>
      </c>
      <c r="B9429" s="1" t="n">
        <v>45265</v>
      </c>
      <c r="C9429" s="1" t="n">
        <v>45677</v>
      </c>
      <c r="D9429" t="inlineStr">
        <is>
          <t>GÄVLEBORGS LÄN</t>
        </is>
      </c>
      <c r="E9429" t="inlineStr">
        <is>
          <t>OCKELBO</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61774-2023</t>
        </is>
      </c>
      <c r="B9430" s="1" t="n">
        <v>45265</v>
      </c>
      <c r="C9430" s="1" t="n">
        <v>45677</v>
      </c>
      <c r="D9430" t="inlineStr">
        <is>
          <t>GÄVLEBORGS LÄN</t>
        </is>
      </c>
      <c r="E9430" t="inlineStr">
        <is>
          <t>HUDIKSVALL</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61534-2023</t>
        </is>
      </c>
      <c r="B9431" s="1" t="n">
        <v>45265</v>
      </c>
      <c r="C9431" s="1" t="n">
        <v>45677</v>
      </c>
      <c r="D9431" t="inlineStr">
        <is>
          <t>GÄVLEBORGS LÄN</t>
        </is>
      </c>
      <c r="E9431" t="inlineStr">
        <is>
          <t>SANDVIKEN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61611-2023</t>
        </is>
      </c>
      <c r="B9432" s="1" t="n">
        <v>45265</v>
      </c>
      <c r="C9432" s="1" t="n">
        <v>45677</v>
      </c>
      <c r="D9432" t="inlineStr">
        <is>
          <t>GÄVLEBORGS LÄN</t>
        </is>
      </c>
      <c r="E9432" t="inlineStr">
        <is>
          <t>HUDIKSVALL</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61771-2023</t>
        </is>
      </c>
      <c r="B9433" s="1" t="n">
        <v>45265</v>
      </c>
      <c r="C9433" s="1" t="n">
        <v>45677</v>
      </c>
      <c r="D9433" t="inlineStr">
        <is>
          <t>GÄVLEBORGS LÄN</t>
        </is>
      </c>
      <c r="E9433" t="inlineStr">
        <is>
          <t>HUDIKSVALL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61848-2023</t>
        </is>
      </c>
      <c r="B9434" s="1" t="n">
        <v>45265</v>
      </c>
      <c r="C9434" s="1" t="n">
        <v>45677</v>
      </c>
      <c r="D9434" t="inlineStr">
        <is>
          <t>GÄVLEBORGS LÄN</t>
        </is>
      </c>
      <c r="E9434" t="inlineStr">
        <is>
          <t>SANDVIKEN</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61819-2023</t>
        </is>
      </c>
      <c r="B9435" s="1" t="n">
        <v>45266</v>
      </c>
      <c r="C9435" s="1" t="n">
        <v>45677</v>
      </c>
      <c r="D9435" t="inlineStr">
        <is>
          <t>GÄVLEBORGS LÄN</t>
        </is>
      </c>
      <c r="E9435" t="inlineStr">
        <is>
          <t>GÄVLE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61823-2023</t>
        </is>
      </c>
      <c r="B9436" s="1" t="n">
        <v>45266</v>
      </c>
      <c r="C9436" s="1" t="n">
        <v>45677</v>
      </c>
      <c r="D9436" t="inlineStr">
        <is>
          <t>GÄVLEBORGS LÄN</t>
        </is>
      </c>
      <c r="E9436" t="inlineStr">
        <is>
          <t>GÄVLE</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61918-2023</t>
        </is>
      </c>
      <c r="B9437" s="1" t="n">
        <v>45266</v>
      </c>
      <c r="C9437" s="1" t="n">
        <v>45677</v>
      </c>
      <c r="D9437" t="inlineStr">
        <is>
          <t>GÄVLEBORGS LÄN</t>
        </is>
      </c>
      <c r="E9437" t="inlineStr">
        <is>
          <t>GÄVLE</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61836-2023</t>
        </is>
      </c>
      <c r="B9438" s="1" t="n">
        <v>45266</v>
      </c>
      <c r="C9438" s="1" t="n">
        <v>45677</v>
      </c>
      <c r="D9438" t="inlineStr">
        <is>
          <t>GÄVLEBORGS LÄN</t>
        </is>
      </c>
      <c r="E9438" t="inlineStr">
        <is>
          <t>LJUSDAL</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61843-2023</t>
        </is>
      </c>
      <c r="B9439" s="1" t="n">
        <v>45266</v>
      </c>
      <c r="C9439" s="1" t="n">
        <v>45677</v>
      </c>
      <c r="D9439" t="inlineStr">
        <is>
          <t>GÄVLEBORGS LÄN</t>
        </is>
      </c>
      <c r="E9439" t="inlineStr">
        <is>
          <t>GÄVLE</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61968-2023</t>
        </is>
      </c>
      <c r="B9440" s="1" t="n">
        <v>45266</v>
      </c>
      <c r="C9440" s="1" t="n">
        <v>45677</v>
      </c>
      <c r="D9440" t="inlineStr">
        <is>
          <t>GÄVLEBORGS LÄN</t>
        </is>
      </c>
      <c r="E9440" t="inlineStr">
        <is>
          <t>BOLLNÄS</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61949-2023</t>
        </is>
      </c>
      <c r="B9441" s="1" t="n">
        <v>45266</v>
      </c>
      <c r="C9441" s="1" t="n">
        <v>45677</v>
      </c>
      <c r="D9441" t="inlineStr">
        <is>
          <t>GÄVLEBORGS LÄN</t>
        </is>
      </c>
      <c r="E9441" t="inlineStr">
        <is>
          <t>LJUSDAL</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61813-2023</t>
        </is>
      </c>
      <c r="B9442" s="1" t="n">
        <v>45266</v>
      </c>
      <c r="C9442" s="1" t="n">
        <v>45677</v>
      </c>
      <c r="D9442" t="inlineStr">
        <is>
          <t>GÄVLEBORGS LÄN</t>
        </is>
      </c>
      <c r="E9442" t="inlineStr">
        <is>
          <t>GÄVLE</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62041-2023</t>
        </is>
      </c>
      <c r="B9443" s="1" t="n">
        <v>45266</v>
      </c>
      <c r="C9443" s="1" t="n">
        <v>45677</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62031-2023</t>
        </is>
      </c>
      <c r="B9444" s="1" t="n">
        <v>45266</v>
      </c>
      <c r="C9444" s="1" t="n">
        <v>45677</v>
      </c>
      <c r="D9444" t="inlineStr">
        <is>
          <t>GÄVLEBORGS LÄN</t>
        </is>
      </c>
      <c r="E9444" t="inlineStr">
        <is>
          <t>NORDANSTIG</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61880-2023</t>
        </is>
      </c>
      <c r="B9445" s="1" t="n">
        <v>45266</v>
      </c>
      <c r="C9445" s="1" t="n">
        <v>45677</v>
      </c>
      <c r="D9445" t="inlineStr">
        <is>
          <t>GÄVLEBORGS LÄN</t>
        </is>
      </c>
      <c r="E9445" t="inlineStr">
        <is>
          <t>LJUSDAL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61979-2023</t>
        </is>
      </c>
      <c r="B9446" s="1" t="n">
        <v>45266</v>
      </c>
      <c r="C9446" s="1" t="n">
        <v>45677</v>
      </c>
      <c r="D9446" t="inlineStr">
        <is>
          <t>GÄVLEBORGS LÄN</t>
        </is>
      </c>
      <c r="E9446" t="inlineStr">
        <is>
          <t>BOLLNÄS</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62063-2023</t>
        </is>
      </c>
      <c r="B9447" s="1" t="n">
        <v>45266</v>
      </c>
      <c r="C9447" s="1" t="n">
        <v>45677</v>
      </c>
      <c r="D9447" t="inlineStr">
        <is>
          <t>GÄVLEBORGS LÄN</t>
        </is>
      </c>
      <c r="E9447" t="inlineStr">
        <is>
          <t>GÄVLE</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62095-2023</t>
        </is>
      </c>
      <c r="B9448" s="1" t="n">
        <v>45266</v>
      </c>
      <c r="C9448" s="1" t="n">
        <v>45677</v>
      </c>
      <c r="D9448" t="inlineStr">
        <is>
          <t>GÄVLEBORGS LÄN</t>
        </is>
      </c>
      <c r="E9448" t="inlineStr">
        <is>
          <t>LJUSDAL</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62101-2023</t>
        </is>
      </c>
      <c r="B9449" s="1" t="n">
        <v>45266</v>
      </c>
      <c r="C9449" s="1" t="n">
        <v>45677</v>
      </c>
      <c r="D9449" t="inlineStr">
        <is>
          <t>GÄVLEBORGS LÄN</t>
        </is>
      </c>
      <c r="E9449" t="inlineStr">
        <is>
          <t>LJUSDAL</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62127-2023</t>
        </is>
      </c>
      <c r="B9450" s="1" t="n">
        <v>45267</v>
      </c>
      <c r="C9450" s="1" t="n">
        <v>45677</v>
      </c>
      <c r="D9450" t="inlineStr">
        <is>
          <t>GÄVLEBORGS LÄN</t>
        </is>
      </c>
      <c r="E9450" t="inlineStr">
        <is>
          <t>NORDANSTIG</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62215-2023</t>
        </is>
      </c>
      <c r="B9451" s="1" t="n">
        <v>45267</v>
      </c>
      <c r="C9451" s="1" t="n">
        <v>45677</v>
      </c>
      <c r="D9451" t="inlineStr">
        <is>
          <t>GÄVLEBORGS LÄN</t>
        </is>
      </c>
      <c r="E9451" t="inlineStr">
        <is>
          <t>GÄVLE</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62124-2023</t>
        </is>
      </c>
      <c r="B9452" s="1" t="n">
        <v>45267</v>
      </c>
      <c r="C9452" s="1" t="n">
        <v>45677</v>
      </c>
      <c r="D9452" t="inlineStr">
        <is>
          <t>GÄVLEBORGS LÄN</t>
        </is>
      </c>
      <c r="E9452" t="inlineStr">
        <is>
          <t>HUDIKSVALL</t>
        </is>
      </c>
      <c r="F9452" t="inlineStr">
        <is>
          <t>Sveaskog</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62337-2023</t>
        </is>
      </c>
      <c r="B9453" s="1" t="n">
        <v>45267</v>
      </c>
      <c r="C9453" s="1" t="n">
        <v>45677</v>
      </c>
      <c r="D9453" t="inlineStr">
        <is>
          <t>GÄVLEBORGS LÄN</t>
        </is>
      </c>
      <c r="E9453" t="inlineStr">
        <is>
          <t>OVANÅKER</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62153-2023</t>
        </is>
      </c>
      <c r="B9454" s="1" t="n">
        <v>45267</v>
      </c>
      <c r="C9454" s="1" t="n">
        <v>45677</v>
      </c>
      <c r="D9454" t="inlineStr">
        <is>
          <t>GÄVLEBORGS LÄN</t>
        </is>
      </c>
      <c r="E9454" t="inlineStr">
        <is>
          <t>OVANÅKER</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62196-2023</t>
        </is>
      </c>
      <c r="B9455" s="1" t="n">
        <v>45267</v>
      </c>
      <c r="C9455" s="1" t="n">
        <v>45677</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62126-2023</t>
        </is>
      </c>
      <c r="B9456" s="1" t="n">
        <v>45267</v>
      </c>
      <c r="C9456" s="1" t="n">
        <v>45677</v>
      </c>
      <c r="D9456" t="inlineStr">
        <is>
          <t>GÄVLEBORGS LÄN</t>
        </is>
      </c>
      <c r="E9456" t="inlineStr">
        <is>
          <t>OVANÅKER</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62151-2023</t>
        </is>
      </c>
      <c r="B9457" s="1" t="n">
        <v>45267</v>
      </c>
      <c r="C9457" s="1" t="n">
        <v>45677</v>
      </c>
      <c r="D9457" t="inlineStr">
        <is>
          <t>GÄVLEBORGS LÄN</t>
        </is>
      </c>
      <c r="E9457" t="inlineStr">
        <is>
          <t>SANDVIKEN</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62202-2023</t>
        </is>
      </c>
      <c r="B9458" s="1" t="n">
        <v>45267</v>
      </c>
      <c r="C9458" s="1" t="n">
        <v>45677</v>
      </c>
      <c r="D9458" t="inlineStr">
        <is>
          <t>GÄVLEBORGS LÄN</t>
        </is>
      </c>
      <c r="E9458" t="inlineStr">
        <is>
          <t>SÖDERHAMN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62206-2023</t>
        </is>
      </c>
      <c r="B9459" s="1" t="n">
        <v>45267</v>
      </c>
      <c r="C9459" s="1" t="n">
        <v>45677</v>
      </c>
      <c r="D9459" t="inlineStr">
        <is>
          <t>GÄVLEBORGS LÄN</t>
        </is>
      </c>
      <c r="E9459" t="inlineStr">
        <is>
          <t>SÖDERHAMN</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62252-2023</t>
        </is>
      </c>
      <c r="B9460" s="1" t="n">
        <v>45267</v>
      </c>
      <c r="C9460" s="1" t="n">
        <v>45677</v>
      </c>
      <c r="D9460" t="inlineStr">
        <is>
          <t>GÄVLEBORGS LÄN</t>
        </is>
      </c>
      <c r="E9460" t="inlineStr">
        <is>
          <t>LJUSDAL</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62256-2023</t>
        </is>
      </c>
      <c r="B9461" s="1" t="n">
        <v>45267</v>
      </c>
      <c r="C9461" s="1" t="n">
        <v>45677</v>
      </c>
      <c r="D9461" t="inlineStr">
        <is>
          <t>GÄVLEBORGS LÄN</t>
        </is>
      </c>
      <c r="E9461" t="inlineStr">
        <is>
          <t>LJUSDAL</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62212-2023</t>
        </is>
      </c>
      <c r="B9462" s="1" t="n">
        <v>45267</v>
      </c>
      <c r="C9462" s="1" t="n">
        <v>45677</v>
      </c>
      <c r="D9462" t="inlineStr">
        <is>
          <t>GÄVLEBORGS LÄN</t>
        </is>
      </c>
      <c r="E9462" t="inlineStr">
        <is>
          <t>SÖDERHAMN</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62216-2023</t>
        </is>
      </c>
      <c r="B9463" s="1" t="n">
        <v>45267</v>
      </c>
      <c r="C9463" s="1" t="n">
        <v>45677</v>
      </c>
      <c r="D9463" t="inlineStr">
        <is>
          <t>GÄVLEBORGS LÄN</t>
        </is>
      </c>
      <c r="E9463" t="inlineStr">
        <is>
          <t>GÄVLE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62293-2023</t>
        </is>
      </c>
      <c r="B9464" s="1" t="n">
        <v>45267</v>
      </c>
      <c r="C9464" s="1" t="n">
        <v>45677</v>
      </c>
      <c r="D9464" t="inlineStr">
        <is>
          <t>GÄVLEBORGS LÄN</t>
        </is>
      </c>
      <c r="E9464" t="inlineStr">
        <is>
          <t>HOFORS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62237-2023</t>
        </is>
      </c>
      <c r="B9465" s="1" t="n">
        <v>45267</v>
      </c>
      <c r="C9465" s="1" t="n">
        <v>45677</v>
      </c>
      <c r="D9465" t="inlineStr">
        <is>
          <t>GÄVLEBORGS LÄN</t>
        </is>
      </c>
      <c r="E9465" t="inlineStr">
        <is>
          <t>OCKELBO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62339-2023</t>
        </is>
      </c>
      <c r="B9466" s="1" t="n">
        <v>45267</v>
      </c>
      <c r="C9466" s="1" t="n">
        <v>45677</v>
      </c>
      <c r="D9466" t="inlineStr">
        <is>
          <t>GÄVLEBORGS LÄN</t>
        </is>
      </c>
      <c r="E9466" t="inlineStr">
        <is>
          <t>SÖDERHAMN</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62359-2023</t>
        </is>
      </c>
      <c r="B9467" s="1" t="n">
        <v>45267</v>
      </c>
      <c r="C9467" s="1" t="n">
        <v>45677</v>
      </c>
      <c r="D9467" t="inlineStr">
        <is>
          <t>GÄVLEBORGS LÄN</t>
        </is>
      </c>
      <c r="E9467" t="inlineStr">
        <is>
          <t>NORDANSTIG</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62362-2023</t>
        </is>
      </c>
      <c r="B9468" s="1" t="n">
        <v>45267</v>
      </c>
      <c r="C9468" s="1" t="n">
        <v>45677</v>
      </c>
      <c r="D9468" t="inlineStr">
        <is>
          <t>GÄVLEBORGS LÄN</t>
        </is>
      </c>
      <c r="E9468" t="inlineStr">
        <is>
          <t>NORDANSTIG</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62433-2023</t>
        </is>
      </c>
      <c r="B9469" s="1" t="n">
        <v>45268</v>
      </c>
      <c r="C9469" s="1" t="n">
        <v>45677</v>
      </c>
      <c r="D9469" t="inlineStr">
        <is>
          <t>GÄVLEBORGS LÄN</t>
        </is>
      </c>
      <c r="E9469" t="inlineStr">
        <is>
          <t>BOLLNÄS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62522-2023</t>
        </is>
      </c>
      <c r="B9470" s="1" t="n">
        <v>45268</v>
      </c>
      <c r="C9470" s="1" t="n">
        <v>45677</v>
      </c>
      <c r="D9470" t="inlineStr">
        <is>
          <t>GÄVLEBORGS LÄN</t>
        </is>
      </c>
      <c r="E9470" t="inlineStr">
        <is>
          <t>HUDIKSVALL</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62438-2023</t>
        </is>
      </c>
      <c r="B9471" s="1" t="n">
        <v>45268</v>
      </c>
      <c r="C9471" s="1" t="n">
        <v>45677</v>
      </c>
      <c r="D9471" t="inlineStr">
        <is>
          <t>GÄVLEBORGS LÄN</t>
        </is>
      </c>
      <c r="E9471" t="inlineStr">
        <is>
          <t>BOLLNÄS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62458-2023</t>
        </is>
      </c>
      <c r="B9472" s="1" t="n">
        <v>45268</v>
      </c>
      <c r="C9472" s="1" t="n">
        <v>45677</v>
      </c>
      <c r="D9472" t="inlineStr">
        <is>
          <t>GÄVLEBORGS LÄN</t>
        </is>
      </c>
      <c r="E9472" t="inlineStr">
        <is>
          <t>NORDANSTIG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62389-2023</t>
        </is>
      </c>
      <c r="B9473" s="1" t="n">
        <v>45268</v>
      </c>
      <c r="C9473" s="1" t="n">
        <v>45677</v>
      </c>
      <c r="D9473" t="inlineStr">
        <is>
          <t>GÄVLEBORGS LÄN</t>
        </is>
      </c>
      <c r="E9473" t="inlineStr">
        <is>
          <t>NORDANSTIG</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62439-2023</t>
        </is>
      </c>
      <c r="B9474" s="1" t="n">
        <v>45268</v>
      </c>
      <c r="C9474" s="1" t="n">
        <v>45677</v>
      </c>
      <c r="D9474" t="inlineStr">
        <is>
          <t>GÄVLEBORGS LÄN</t>
        </is>
      </c>
      <c r="E9474" t="inlineStr">
        <is>
          <t>HUDIKSVALL</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62459-2023</t>
        </is>
      </c>
      <c r="B9475" s="1" t="n">
        <v>45268</v>
      </c>
      <c r="C9475" s="1" t="n">
        <v>45677</v>
      </c>
      <c r="D9475" t="inlineStr">
        <is>
          <t>GÄVLEBORGS LÄN</t>
        </is>
      </c>
      <c r="E9475" t="inlineStr">
        <is>
          <t>SANDVIKEN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62469-2023</t>
        </is>
      </c>
      <c r="B9476" s="1" t="n">
        <v>45268</v>
      </c>
      <c r="C9476" s="1" t="n">
        <v>45677</v>
      </c>
      <c r="D9476" t="inlineStr">
        <is>
          <t>GÄVLEBORGS LÄN</t>
        </is>
      </c>
      <c r="E9476" t="inlineStr">
        <is>
          <t>BOLLNÄS</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62738-2023</t>
        </is>
      </c>
      <c r="B9477" s="1" t="n">
        <v>45268</v>
      </c>
      <c r="C9477" s="1" t="n">
        <v>45677</v>
      </c>
      <c r="D9477" t="inlineStr">
        <is>
          <t>GÄVLEBORGS LÄN</t>
        </is>
      </c>
      <c r="E9477" t="inlineStr">
        <is>
          <t>OVANÅKER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62568-2023</t>
        </is>
      </c>
      <c r="B9478" s="1" t="n">
        <v>45269</v>
      </c>
      <c r="C9478" s="1" t="n">
        <v>45677</v>
      </c>
      <c r="D9478" t="inlineStr">
        <is>
          <t>GÄVLEBORGS LÄN</t>
        </is>
      </c>
      <c r="E9478" t="inlineStr">
        <is>
          <t>NORDANSTIG</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62567-2023</t>
        </is>
      </c>
      <c r="B9479" s="1" t="n">
        <v>45269</v>
      </c>
      <c r="C9479" s="1" t="n">
        <v>45677</v>
      </c>
      <c r="D9479" t="inlineStr">
        <is>
          <t>GÄVLEBORGS LÄN</t>
        </is>
      </c>
      <c r="E9479" t="inlineStr">
        <is>
          <t>HOFORS</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62597-2023</t>
        </is>
      </c>
      <c r="B9480" s="1" t="n">
        <v>45271</v>
      </c>
      <c r="C9480" s="1" t="n">
        <v>45677</v>
      </c>
      <c r="D9480" t="inlineStr">
        <is>
          <t>GÄVLEBORGS LÄN</t>
        </is>
      </c>
      <c r="E9480" t="inlineStr">
        <is>
          <t>SANDVIKEN</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62685-2023</t>
        </is>
      </c>
      <c r="B9481" s="1" t="n">
        <v>45271</v>
      </c>
      <c r="C9481" s="1" t="n">
        <v>45677</v>
      </c>
      <c r="D9481" t="inlineStr">
        <is>
          <t>GÄVLEBORGS LÄN</t>
        </is>
      </c>
      <c r="E9481" t="inlineStr">
        <is>
          <t>BOLLNÄS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62716-2023</t>
        </is>
      </c>
      <c r="B9482" s="1" t="n">
        <v>45271</v>
      </c>
      <c r="C9482" s="1" t="n">
        <v>45677</v>
      </c>
      <c r="D9482" t="inlineStr">
        <is>
          <t>GÄVLEBORGS LÄN</t>
        </is>
      </c>
      <c r="E9482" t="inlineStr">
        <is>
          <t>HUDIKSVALL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62619-2023</t>
        </is>
      </c>
      <c r="B9483" s="1" t="n">
        <v>45271</v>
      </c>
      <c r="C9483" s="1" t="n">
        <v>45677</v>
      </c>
      <c r="D9483" t="inlineStr">
        <is>
          <t>GÄVLEBORGS LÄN</t>
        </is>
      </c>
      <c r="E9483" t="inlineStr">
        <is>
          <t>NORDANSTIG</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62628-2023</t>
        </is>
      </c>
      <c r="B9484" s="1" t="n">
        <v>45271</v>
      </c>
      <c r="C9484" s="1" t="n">
        <v>45677</v>
      </c>
      <c r="D9484" t="inlineStr">
        <is>
          <t>GÄVLEBORGS LÄN</t>
        </is>
      </c>
      <c r="E9484" t="inlineStr">
        <is>
          <t>HUDIKSVALL</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62645-2023</t>
        </is>
      </c>
      <c r="B9485" s="1" t="n">
        <v>45271</v>
      </c>
      <c r="C9485" s="1" t="n">
        <v>45677</v>
      </c>
      <c r="D9485" t="inlineStr">
        <is>
          <t>GÄVLEBORGS LÄN</t>
        </is>
      </c>
      <c r="E9485" t="inlineStr">
        <is>
          <t>HUDIKSVALL</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62596-2023</t>
        </is>
      </c>
      <c r="B9486" s="1" t="n">
        <v>45271</v>
      </c>
      <c r="C9486" s="1" t="n">
        <v>45677</v>
      </c>
      <c r="D9486" t="inlineStr">
        <is>
          <t>GÄVLEBORGS LÄN</t>
        </is>
      </c>
      <c r="E9486" t="inlineStr">
        <is>
          <t>HOFORS</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62639-2023</t>
        </is>
      </c>
      <c r="B9487" s="1" t="n">
        <v>45271</v>
      </c>
      <c r="C9487" s="1" t="n">
        <v>45677</v>
      </c>
      <c r="D9487" t="inlineStr">
        <is>
          <t>GÄVLEBORGS LÄN</t>
        </is>
      </c>
      <c r="E9487" t="inlineStr">
        <is>
          <t>HUDIKSVALL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62651-2023</t>
        </is>
      </c>
      <c r="B9488" s="1" t="n">
        <v>45271</v>
      </c>
      <c r="C9488" s="1" t="n">
        <v>45677</v>
      </c>
      <c r="D9488" t="inlineStr">
        <is>
          <t>GÄVLEBORGS LÄN</t>
        </is>
      </c>
      <c r="E9488" t="inlineStr">
        <is>
          <t>OVANÅKER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62674-2023</t>
        </is>
      </c>
      <c r="B9489" s="1" t="n">
        <v>45271</v>
      </c>
      <c r="C9489" s="1" t="n">
        <v>45677</v>
      </c>
      <c r="D9489" t="inlineStr">
        <is>
          <t>GÄVLEBORGS LÄN</t>
        </is>
      </c>
      <c r="E9489" t="inlineStr">
        <is>
          <t>HUDIKSVALL</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62756-2023</t>
        </is>
      </c>
      <c r="B9490" s="1" t="n">
        <v>45271</v>
      </c>
      <c r="C9490" s="1" t="n">
        <v>45677</v>
      </c>
      <c r="D9490" t="inlineStr">
        <is>
          <t>GÄVLEBORGS LÄN</t>
        </is>
      </c>
      <c r="E9490" t="inlineStr">
        <is>
          <t>NORDANSTIG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62816-2023</t>
        </is>
      </c>
      <c r="B9491" s="1" t="n">
        <v>45271</v>
      </c>
      <c r="C9491" s="1" t="n">
        <v>45677</v>
      </c>
      <c r="D9491" t="inlineStr">
        <is>
          <t>GÄVLEBORGS LÄN</t>
        </is>
      </c>
      <c r="E9491" t="inlineStr">
        <is>
          <t>NORDANSTIG</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62642-2023</t>
        </is>
      </c>
      <c r="B9492" s="1" t="n">
        <v>45271</v>
      </c>
      <c r="C9492" s="1" t="n">
        <v>45677</v>
      </c>
      <c r="D9492" t="inlineStr">
        <is>
          <t>GÄVLEBORGS LÄN</t>
        </is>
      </c>
      <c r="E9492" t="inlineStr">
        <is>
          <t>SANDVIKEN</t>
        </is>
      </c>
      <c r="F9492" t="inlineStr">
        <is>
          <t>Bergvik skog öst AB</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62646-2023</t>
        </is>
      </c>
      <c r="B9493" s="1" t="n">
        <v>45271</v>
      </c>
      <c r="C9493" s="1" t="n">
        <v>45677</v>
      </c>
      <c r="D9493" t="inlineStr">
        <is>
          <t>GÄVLEBORGS LÄN</t>
        </is>
      </c>
      <c r="E9493" t="inlineStr">
        <is>
          <t>NORDANSTIG</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62668-2023</t>
        </is>
      </c>
      <c r="B9494" s="1" t="n">
        <v>45271</v>
      </c>
      <c r="C9494" s="1" t="n">
        <v>45677</v>
      </c>
      <c r="D9494" t="inlineStr">
        <is>
          <t>GÄVLEBORGS LÄN</t>
        </is>
      </c>
      <c r="E9494" t="inlineStr">
        <is>
          <t>HUDIKSVALL</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62903-2023</t>
        </is>
      </c>
      <c r="B9495" s="1" t="n">
        <v>45272</v>
      </c>
      <c r="C9495" s="1" t="n">
        <v>45677</v>
      </c>
      <c r="D9495" t="inlineStr">
        <is>
          <t>GÄVLEBORGS LÄN</t>
        </is>
      </c>
      <c r="E9495" t="inlineStr">
        <is>
          <t>SÖDERHAMN</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62952-2023</t>
        </is>
      </c>
      <c r="B9496" s="1" t="n">
        <v>45272</v>
      </c>
      <c r="C9496" s="1" t="n">
        <v>45677</v>
      </c>
      <c r="D9496" t="inlineStr">
        <is>
          <t>GÄVLEBORGS LÄN</t>
        </is>
      </c>
      <c r="E9496" t="inlineStr">
        <is>
          <t>BOLLNÄS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62927-2023</t>
        </is>
      </c>
      <c r="B9497" s="1" t="n">
        <v>45272</v>
      </c>
      <c r="C9497" s="1" t="n">
        <v>45677</v>
      </c>
      <c r="D9497" t="inlineStr">
        <is>
          <t>GÄVLEBORGS LÄN</t>
        </is>
      </c>
      <c r="E9497" t="inlineStr">
        <is>
          <t>HUDIKSVALL</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62910-2023</t>
        </is>
      </c>
      <c r="B9498" s="1" t="n">
        <v>45272</v>
      </c>
      <c r="C9498" s="1" t="n">
        <v>45677</v>
      </c>
      <c r="D9498" t="inlineStr">
        <is>
          <t>GÄVLEBORGS LÄN</t>
        </is>
      </c>
      <c r="E9498" t="inlineStr">
        <is>
          <t>HUDIKSVALL</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62928-2023</t>
        </is>
      </c>
      <c r="B9499" s="1" t="n">
        <v>45272</v>
      </c>
      <c r="C9499" s="1" t="n">
        <v>45677</v>
      </c>
      <c r="D9499" t="inlineStr">
        <is>
          <t>GÄVLEBORGS LÄN</t>
        </is>
      </c>
      <c r="E9499" t="inlineStr">
        <is>
          <t>SÖDERHAMN</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62946-2023</t>
        </is>
      </c>
      <c r="B9500" s="1" t="n">
        <v>45272</v>
      </c>
      <c r="C9500" s="1" t="n">
        <v>45677</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62983-2023</t>
        </is>
      </c>
      <c r="B9501" s="1" t="n">
        <v>45272</v>
      </c>
      <c r="C9501" s="1" t="n">
        <v>45677</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63051-2023</t>
        </is>
      </c>
      <c r="B9502" s="1" t="n">
        <v>45272</v>
      </c>
      <c r="C9502" s="1" t="n">
        <v>45677</v>
      </c>
      <c r="D9502" t="inlineStr">
        <is>
          <t>GÄVLEBORGS LÄN</t>
        </is>
      </c>
      <c r="E9502" t="inlineStr">
        <is>
          <t>NORDANSTIG</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62906-2023</t>
        </is>
      </c>
      <c r="B9503" s="1" t="n">
        <v>45272</v>
      </c>
      <c r="C9503" s="1" t="n">
        <v>45677</v>
      </c>
      <c r="D9503" t="inlineStr">
        <is>
          <t>GÄVLEBORGS LÄN</t>
        </is>
      </c>
      <c r="E9503" t="inlineStr">
        <is>
          <t>SÖDERHAMN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62926-2023</t>
        </is>
      </c>
      <c r="B9504" s="1" t="n">
        <v>45272</v>
      </c>
      <c r="C9504" s="1" t="n">
        <v>45677</v>
      </c>
      <c r="D9504" t="inlineStr">
        <is>
          <t>GÄVLEBORGS LÄN</t>
        </is>
      </c>
      <c r="E9504" t="inlineStr">
        <is>
          <t>HUDIKSVALL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62930-2023</t>
        </is>
      </c>
      <c r="B9505" s="1" t="n">
        <v>45272</v>
      </c>
      <c r="C9505" s="1" t="n">
        <v>45677</v>
      </c>
      <c r="D9505" t="inlineStr">
        <is>
          <t>GÄVLEBORGS LÄN</t>
        </is>
      </c>
      <c r="E9505" t="inlineStr">
        <is>
          <t>HUDIKSVALL</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62938-2023</t>
        </is>
      </c>
      <c r="B9506" s="1" t="n">
        <v>45272</v>
      </c>
      <c r="C9506" s="1" t="n">
        <v>45677</v>
      </c>
      <c r="D9506" t="inlineStr">
        <is>
          <t>GÄVLEBORGS LÄN</t>
        </is>
      </c>
      <c r="E9506" t="inlineStr">
        <is>
          <t>SÖDERHAMN</t>
        </is>
      </c>
      <c r="G9506" t="n">
        <v>13.1</v>
      </c>
      <c r="H9506" t="n">
        <v>0</v>
      </c>
      <c r="I9506" t="n">
        <v>0</v>
      </c>
      <c r="J9506" t="n">
        <v>0</v>
      </c>
      <c r="K9506" t="n">
        <v>0</v>
      </c>
      <c r="L9506" t="n">
        <v>0</v>
      </c>
      <c r="M9506" t="n">
        <v>0</v>
      </c>
      <c r="N9506" t="n">
        <v>0</v>
      </c>
      <c r="O9506" t="n">
        <v>0</v>
      </c>
      <c r="P9506" t="n">
        <v>0</v>
      </c>
      <c r="Q9506" t="n">
        <v>0</v>
      </c>
      <c r="R9506" s="2" t="inlineStr"/>
    </row>
    <row r="9507" ht="15" customHeight="1">
      <c r="A9507" t="inlineStr">
        <is>
          <t>A 62943-2023</t>
        </is>
      </c>
      <c r="B9507" s="1" t="n">
        <v>45272</v>
      </c>
      <c r="C9507" s="1" t="n">
        <v>45677</v>
      </c>
      <c r="D9507" t="inlineStr">
        <is>
          <t>GÄVLEBORGS LÄN</t>
        </is>
      </c>
      <c r="E9507" t="inlineStr">
        <is>
          <t>SÖDERHAMN</t>
        </is>
      </c>
      <c r="G9507" t="n">
        <v>12.8</v>
      </c>
      <c r="H9507" t="n">
        <v>0</v>
      </c>
      <c r="I9507" t="n">
        <v>0</v>
      </c>
      <c r="J9507" t="n">
        <v>0</v>
      </c>
      <c r="K9507" t="n">
        <v>0</v>
      </c>
      <c r="L9507" t="n">
        <v>0</v>
      </c>
      <c r="M9507" t="n">
        <v>0</v>
      </c>
      <c r="N9507" t="n">
        <v>0</v>
      </c>
      <c r="O9507" t="n">
        <v>0</v>
      </c>
      <c r="P9507" t="n">
        <v>0</v>
      </c>
      <c r="Q9507" t="n">
        <v>0</v>
      </c>
      <c r="R9507" s="2" t="inlineStr"/>
    </row>
    <row r="9508" ht="15" customHeight="1">
      <c r="A9508" t="inlineStr">
        <is>
          <t>A 62956-2023</t>
        </is>
      </c>
      <c r="B9508" s="1" t="n">
        <v>45272</v>
      </c>
      <c r="C9508" s="1" t="n">
        <v>45677</v>
      </c>
      <c r="D9508" t="inlineStr">
        <is>
          <t>GÄVLEBORGS LÄN</t>
        </is>
      </c>
      <c r="E9508" t="inlineStr">
        <is>
          <t>BOLLNÄS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63001-2023</t>
        </is>
      </c>
      <c r="B9509" s="1" t="n">
        <v>45272</v>
      </c>
      <c r="C9509" s="1" t="n">
        <v>45677</v>
      </c>
      <c r="D9509" t="inlineStr">
        <is>
          <t>GÄVLEBORGS LÄN</t>
        </is>
      </c>
      <c r="E9509" t="inlineStr">
        <is>
          <t>NORDANSTIG</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63036-2023</t>
        </is>
      </c>
      <c r="B9510" s="1" t="n">
        <v>45272</v>
      </c>
      <c r="C9510" s="1" t="n">
        <v>45677</v>
      </c>
      <c r="D9510" t="inlineStr">
        <is>
          <t>GÄVLEBORGS LÄN</t>
        </is>
      </c>
      <c r="E9510" t="inlineStr">
        <is>
          <t>GÄVLE</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63052-2023</t>
        </is>
      </c>
      <c r="B9511" s="1" t="n">
        <v>45272</v>
      </c>
      <c r="C9511" s="1" t="n">
        <v>45677</v>
      </c>
      <c r="D9511" t="inlineStr">
        <is>
          <t>GÄVLEBORGS LÄN</t>
        </is>
      </c>
      <c r="E9511" t="inlineStr">
        <is>
          <t>NORDANSTIG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63045-2023</t>
        </is>
      </c>
      <c r="B9512" s="1" t="n">
        <v>45272</v>
      </c>
      <c r="C9512" s="1" t="n">
        <v>45677</v>
      </c>
      <c r="D9512" t="inlineStr">
        <is>
          <t>GÄVLEBORGS LÄN</t>
        </is>
      </c>
      <c r="E9512" t="inlineStr">
        <is>
          <t>HUDIKSVALL</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63145-2023</t>
        </is>
      </c>
      <c r="B9513" s="1" t="n">
        <v>45273</v>
      </c>
      <c r="C9513" s="1" t="n">
        <v>45677</v>
      </c>
      <c r="D9513" t="inlineStr">
        <is>
          <t>GÄVLEBORGS LÄN</t>
        </is>
      </c>
      <c r="E9513" t="inlineStr">
        <is>
          <t>NORDANSTIG</t>
        </is>
      </c>
      <c r="F9513" t="inlineStr">
        <is>
          <t>Holmen skog AB</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63134-2023</t>
        </is>
      </c>
      <c r="B9514" s="1" t="n">
        <v>45273</v>
      </c>
      <c r="C9514" s="1" t="n">
        <v>45677</v>
      </c>
      <c r="D9514" t="inlineStr">
        <is>
          <t>GÄVLEBORGS LÄN</t>
        </is>
      </c>
      <c r="E9514" t="inlineStr">
        <is>
          <t>HUDIKSVALL</t>
        </is>
      </c>
      <c r="F9514" t="inlineStr">
        <is>
          <t>Holmen skog AB</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63088-2023</t>
        </is>
      </c>
      <c r="B9515" s="1" t="n">
        <v>45273</v>
      </c>
      <c r="C9515" s="1" t="n">
        <v>45677</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63220-2023</t>
        </is>
      </c>
      <c r="B9516" s="1" t="n">
        <v>45273</v>
      </c>
      <c r="C9516" s="1" t="n">
        <v>45677</v>
      </c>
      <c r="D9516" t="inlineStr">
        <is>
          <t>GÄVLEBORGS LÄN</t>
        </is>
      </c>
      <c r="E9516" t="inlineStr">
        <is>
          <t>BOLLNÄS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63233-2023</t>
        </is>
      </c>
      <c r="B9517" s="1" t="n">
        <v>45273</v>
      </c>
      <c r="C9517" s="1" t="n">
        <v>45677</v>
      </c>
      <c r="D9517" t="inlineStr">
        <is>
          <t>GÄVLEBORGS LÄN</t>
        </is>
      </c>
      <c r="E9517" t="inlineStr">
        <is>
          <t>OCKELBO</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63258-2023</t>
        </is>
      </c>
      <c r="B9518" s="1" t="n">
        <v>45273</v>
      </c>
      <c r="C9518" s="1" t="n">
        <v>45677</v>
      </c>
      <c r="D9518" t="inlineStr">
        <is>
          <t>GÄVLEBORGS LÄN</t>
        </is>
      </c>
      <c r="E9518" t="inlineStr">
        <is>
          <t>LJUSDAL</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63256-2023</t>
        </is>
      </c>
      <c r="B9519" s="1" t="n">
        <v>45273</v>
      </c>
      <c r="C9519" s="1" t="n">
        <v>45677</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63253-2023</t>
        </is>
      </c>
      <c r="B9520" s="1" t="n">
        <v>45273</v>
      </c>
      <c r="C9520" s="1" t="n">
        <v>45677</v>
      </c>
      <c r="D9520" t="inlineStr">
        <is>
          <t>GÄVLEBORGS LÄN</t>
        </is>
      </c>
      <c r="E9520" t="inlineStr">
        <is>
          <t>LJUSDAL</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63386-2023</t>
        </is>
      </c>
      <c r="B9521" s="1" t="n">
        <v>45274</v>
      </c>
      <c r="C9521" s="1" t="n">
        <v>45677</v>
      </c>
      <c r="D9521" t="inlineStr">
        <is>
          <t>GÄVLEBORGS LÄN</t>
        </is>
      </c>
      <c r="E9521" t="inlineStr">
        <is>
          <t>OCKELBO</t>
        </is>
      </c>
      <c r="F9521" t="inlineStr">
        <is>
          <t>Bergvik skog väst AB</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63373-2023</t>
        </is>
      </c>
      <c r="B9522" s="1" t="n">
        <v>45274</v>
      </c>
      <c r="C9522" s="1" t="n">
        <v>45677</v>
      </c>
      <c r="D9522" t="inlineStr">
        <is>
          <t>GÄVLEBORGS LÄN</t>
        </is>
      </c>
      <c r="E9522" t="inlineStr">
        <is>
          <t>OCKELBO</t>
        </is>
      </c>
      <c r="F9522" t="inlineStr">
        <is>
          <t>Bergvik skog väst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63428-2023</t>
        </is>
      </c>
      <c r="B9523" s="1" t="n">
        <v>45274</v>
      </c>
      <c r="C9523" s="1" t="n">
        <v>45677</v>
      </c>
      <c r="D9523" t="inlineStr">
        <is>
          <t>GÄVLEBORGS LÄN</t>
        </is>
      </c>
      <c r="E9523" t="inlineStr">
        <is>
          <t>HUDIKSVALL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63388-2023</t>
        </is>
      </c>
      <c r="B9524" s="1" t="n">
        <v>45274</v>
      </c>
      <c r="C9524" s="1" t="n">
        <v>45677</v>
      </c>
      <c r="D9524" t="inlineStr">
        <is>
          <t>GÄVLEBORGS LÄN</t>
        </is>
      </c>
      <c r="E9524" t="inlineStr">
        <is>
          <t>OCKELBO</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63414-2023</t>
        </is>
      </c>
      <c r="B9525" s="1" t="n">
        <v>45274</v>
      </c>
      <c r="C9525" s="1" t="n">
        <v>45677</v>
      </c>
      <c r="D9525" t="inlineStr">
        <is>
          <t>GÄVLEBORGS LÄN</t>
        </is>
      </c>
      <c r="E9525" t="inlineStr">
        <is>
          <t>HUDIKSVALL</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63438-2023</t>
        </is>
      </c>
      <c r="B9526" s="1" t="n">
        <v>45274</v>
      </c>
      <c r="C9526" s="1" t="n">
        <v>45677</v>
      </c>
      <c r="D9526" t="inlineStr">
        <is>
          <t>GÄVLEBORGS LÄN</t>
        </is>
      </c>
      <c r="E9526" t="inlineStr">
        <is>
          <t>LJUSDAL</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63309-2023</t>
        </is>
      </c>
      <c r="B9527" s="1" t="n">
        <v>45274</v>
      </c>
      <c r="C9527" s="1" t="n">
        <v>45677</v>
      </c>
      <c r="D9527" t="inlineStr">
        <is>
          <t>GÄVLEBORGS LÄN</t>
        </is>
      </c>
      <c r="E9527" t="inlineStr">
        <is>
          <t>SANDVIKEN</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63324-2023</t>
        </is>
      </c>
      <c r="B9528" s="1" t="n">
        <v>45274</v>
      </c>
      <c r="C9528" s="1" t="n">
        <v>45677</v>
      </c>
      <c r="D9528" t="inlineStr">
        <is>
          <t>GÄVLEBORGS LÄN</t>
        </is>
      </c>
      <c r="E9528" t="inlineStr">
        <is>
          <t>LJUSDAL</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63511-2023</t>
        </is>
      </c>
      <c r="B9529" s="1" t="n">
        <v>45274</v>
      </c>
      <c r="C9529" s="1" t="n">
        <v>45677</v>
      </c>
      <c r="D9529" t="inlineStr">
        <is>
          <t>GÄVLEBORGS LÄN</t>
        </is>
      </c>
      <c r="E9529" t="inlineStr">
        <is>
          <t>LJUSDAL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63550-2023</t>
        </is>
      </c>
      <c r="B9530" s="1" t="n">
        <v>45275</v>
      </c>
      <c r="C9530" s="1" t="n">
        <v>45677</v>
      </c>
      <c r="D9530" t="inlineStr">
        <is>
          <t>GÄVLEBORGS LÄN</t>
        </is>
      </c>
      <c r="E9530" t="inlineStr">
        <is>
          <t>LJUSDAL</t>
        </is>
      </c>
      <c r="G9530" t="n">
        <v>8.800000000000001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63615-2023</t>
        </is>
      </c>
      <c r="B9531" s="1" t="n">
        <v>45275</v>
      </c>
      <c r="C9531" s="1" t="n">
        <v>45677</v>
      </c>
      <c r="D9531" t="inlineStr">
        <is>
          <t>GÄVLEBORGS LÄN</t>
        </is>
      </c>
      <c r="E9531" t="inlineStr">
        <is>
          <t>HUDIKSVALL</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63619-2023</t>
        </is>
      </c>
      <c r="B9532" s="1" t="n">
        <v>45275</v>
      </c>
      <c r="C9532" s="1" t="n">
        <v>45677</v>
      </c>
      <c r="D9532" t="inlineStr">
        <is>
          <t>GÄVLEBORGS LÄN</t>
        </is>
      </c>
      <c r="E9532" t="inlineStr">
        <is>
          <t>HUDIKSVALL</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63623-2023</t>
        </is>
      </c>
      <c r="B9533" s="1" t="n">
        <v>45275</v>
      </c>
      <c r="C9533" s="1" t="n">
        <v>45677</v>
      </c>
      <c r="D9533" t="inlineStr">
        <is>
          <t>GÄVLEBORGS LÄN</t>
        </is>
      </c>
      <c r="E9533" t="inlineStr">
        <is>
          <t>HUDIKSVALL</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63627-2023</t>
        </is>
      </c>
      <c r="B9534" s="1" t="n">
        <v>45275</v>
      </c>
      <c r="C9534" s="1" t="n">
        <v>45677</v>
      </c>
      <c r="D9534" t="inlineStr">
        <is>
          <t>GÄVLEBORGS LÄN</t>
        </is>
      </c>
      <c r="E9534" t="inlineStr">
        <is>
          <t>HUDIKSVALL</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63643-2023</t>
        </is>
      </c>
      <c r="B9535" s="1" t="n">
        <v>45275</v>
      </c>
      <c r="C9535" s="1" t="n">
        <v>45677</v>
      </c>
      <c r="D9535" t="inlineStr">
        <is>
          <t>GÄVLEBORGS LÄN</t>
        </is>
      </c>
      <c r="E9535" t="inlineStr">
        <is>
          <t>HUDIKSVALL</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63629-2023</t>
        </is>
      </c>
      <c r="B9536" s="1" t="n">
        <v>45275</v>
      </c>
      <c r="C9536" s="1" t="n">
        <v>45677</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63632-2023</t>
        </is>
      </c>
      <c r="B9537" s="1" t="n">
        <v>45275</v>
      </c>
      <c r="C9537" s="1" t="n">
        <v>45677</v>
      </c>
      <c r="D9537" t="inlineStr">
        <is>
          <t>GÄVLEBORGS LÄN</t>
        </is>
      </c>
      <c r="E9537" t="inlineStr">
        <is>
          <t>SÖDERHAMN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63693-2023</t>
        </is>
      </c>
      <c r="B9538" s="1" t="n">
        <v>45275</v>
      </c>
      <c r="C9538" s="1" t="n">
        <v>45677</v>
      </c>
      <c r="D9538" t="inlineStr">
        <is>
          <t>GÄVLEBORGS LÄN</t>
        </is>
      </c>
      <c r="E9538" t="inlineStr">
        <is>
          <t>NORDANSTIG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63703-2023</t>
        </is>
      </c>
      <c r="B9539" s="1" t="n">
        <v>45275</v>
      </c>
      <c r="C9539" s="1" t="n">
        <v>45677</v>
      </c>
      <c r="D9539" t="inlineStr">
        <is>
          <t>GÄVLEBORGS LÄN</t>
        </is>
      </c>
      <c r="E9539" t="inlineStr">
        <is>
          <t>OVANÅKER</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63782-2023</t>
        </is>
      </c>
      <c r="B9540" s="1" t="n">
        <v>45278</v>
      </c>
      <c r="C9540" s="1" t="n">
        <v>45677</v>
      </c>
      <c r="D9540" t="inlineStr">
        <is>
          <t>GÄVLEBORGS LÄN</t>
        </is>
      </c>
      <c r="E9540" t="inlineStr">
        <is>
          <t>SÖDERHAMN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63786-2023</t>
        </is>
      </c>
      <c r="B9541" s="1" t="n">
        <v>45278</v>
      </c>
      <c r="C9541" s="1" t="n">
        <v>45677</v>
      </c>
      <c r="D9541" t="inlineStr">
        <is>
          <t>GÄVLEBORGS LÄN</t>
        </is>
      </c>
      <c r="E9541" t="inlineStr">
        <is>
          <t>SÖDERHAMN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63797-2023</t>
        </is>
      </c>
      <c r="B9542" s="1" t="n">
        <v>45278</v>
      </c>
      <c r="C9542" s="1" t="n">
        <v>45677</v>
      </c>
      <c r="D9542" t="inlineStr">
        <is>
          <t>GÄVLEBORGS LÄN</t>
        </is>
      </c>
      <c r="E9542" t="inlineStr">
        <is>
          <t>HUDIKSVALL</t>
        </is>
      </c>
      <c r="F9542" t="inlineStr">
        <is>
          <t>Holmen skog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63774-2023</t>
        </is>
      </c>
      <c r="B9543" s="1" t="n">
        <v>45278</v>
      </c>
      <c r="C9543" s="1" t="n">
        <v>45677</v>
      </c>
      <c r="D9543" t="inlineStr">
        <is>
          <t>GÄVLEBORGS LÄN</t>
        </is>
      </c>
      <c r="E9543" t="inlineStr">
        <is>
          <t>SÖDERHAMN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63813-2023</t>
        </is>
      </c>
      <c r="B9544" s="1" t="n">
        <v>45278</v>
      </c>
      <c r="C9544" s="1" t="n">
        <v>45677</v>
      </c>
      <c r="D9544" t="inlineStr">
        <is>
          <t>GÄVLEBORGS LÄN</t>
        </is>
      </c>
      <c r="E9544" t="inlineStr">
        <is>
          <t>SÖDERHAMN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63845-2023</t>
        </is>
      </c>
      <c r="B9545" s="1" t="n">
        <v>45278</v>
      </c>
      <c r="C9545" s="1" t="n">
        <v>45677</v>
      </c>
      <c r="D9545" t="inlineStr">
        <is>
          <t>GÄVLEBORGS LÄN</t>
        </is>
      </c>
      <c r="E9545" t="inlineStr">
        <is>
          <t>GÄVLE</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63796-2023</t>
        </is>
      </c>
      <c r="B9546" s="1" t="n">
        <v>45278</v>
      </c>
      <c r="C9546" s="1" t="n">
        <v>45677</v>
      </c>
      <c r="D9546" t="inlineStr">
        <is>
          <t>GÄVLEBORGS LÄN</t>
        </is>
      </c>
      <c r="E9546" t="inlineStr">
        <is>
          <t>SÖDERHAMN</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63862-2023</t>
        </is>
      </c>
      <c r="B9547" s="1" t="n">
        <v>45278</v>
      </c>
      <c r="C9547" s="1" t="n">
        <v>45677</v>
      </c>
      <c r="D9547" t="inlineStr">
        <is>
          <t>GÄVLEBORGS LÄN</t>
        </is>
      </c>
      <c r="E9547" t="inlineStr">
        <is>
          <t>BOLLNÄS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63870-2023</t>
        </is>
      </c>
      <c r="B9548" s="1" t="n">
        <v>45278</v>
      </c>
      <c r="C9548" s="1" t="n">
        <v>45677</v>
      </c>
      <c r="D9548" t="inlineStr">
        <is>
          <t>GÄVLEBORGS LÄN</t>
        </is>
      </c>
      <c r="E9548" t="inlineStr">
        <is>
          <t>GÄVLE</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63853-2023</t>
        </is>
      </c>
      <c r="B9549" s="1" t="n">
        <v>45278</v>
      </c>
      <c r="C9549" s="1" t="n">
        <v>45677</v>
      </c>
      <c r="D9549" t="inlineStr">
        <is>
          <t>GÄVLEBORGS LÄN</t>
        </is>
      </c>
      <c r="E9549" t="inlineStr">
        <is>
          <t>BOLLNÄS</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63857-2023</t>
        </is>
      </c>
      <c r="B9550" s="1" t="n">
        <v>45278</v>
      </c>
      <c r="C9550" s="1" t="n">
        <v>45677</v>
      </c>
      <c r="D9550" t="inlineStr">
        <is>
          <t>GÄVLEBORGS LÄN</t>
        </is>
      </c>
      <c r="E9550" t="inlineStr">
        <is>
          <t>HUDIKSVALL</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63865-2023</t>
        </is>
      </c>
      <c r="B9551" s="1" t="n">
        <v>45278</v>
      </c>
      <c r="C9551" s="1" t="n">
        <v>45677</v>
      </c>
      <c r="D9551" t="inlineStr">
        <is>
          <t>GÄVLEBORGS LÄN</t>
        </is>
      </c>
      <c r="E9551" t="inlineStr">
        <is>
          <t>BOLLNÄS</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63923-2023</t>
        </is>
      </c>
      <c r="B9552" s="1" t="n">
        <v>45278</v>
      </c>
      <c r="C9552" s="1" t="n">
        <v>45677</v>
      </c>
      <c r="D9552" t="inlineStr">
        <is>
          <t>GÄVLEBORGS LÄN</t>
        </is>
      </c>
      <c r="E9552" t="inlineStr">
        <is>
          <t>SÖDERHAMN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63798-2023</t>
        </is>
      </c>
      <c r="B9553" s="1" t="n">
        <v>45278</v>
      </c>
      <c r="C9553" s="1" t="n">
        <v>45677</v>
      </c>
      <c r="D9553" t="inlineStr">
        <is>
          <t>GÄVLEBORGS LÄN</t>
        </is>
      </c>
      <c r="E9553" t="inlineStr">
        <is>
          <t>SÖDERHAMN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63868-2023</t>
        </is>
      </c>
      <c r="B9554" s="1" t="n">
        <v>45278</v>
      </c>
      <c r="C9554" s="1" t="n">
        <v>45677</v>
      </c>
      <c r="D9554" t="inlineStr">
        <is>
          <t>GÄVLEBORGS LÄN</t>
        </is>
      </c>
      <c r="E9554" t="inlineStr">
        <is>
          <t>BOLLNÄS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63880-2023</t>
        </is>
      </c>
      <c r="B9555" s="1" t="n">
        <v>45278</v>
      </c>
      <c r="C9555" s="1" t="n">
        <v>45677</v>
      </c>
      <c r="D9555" t="inlineStr">
        <is>
          <t>GÄVLEBORGS LÄN</t>
        </is>
      </c>
      <c r="E9555" t="inlineStr">
        <is>
          <t>LJUSDAL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63932-2023</t>
        </is>
      </c>
      <c r="B9556" s="1" t="n">
        <v>45278</v>
      </c>
      <c r="C9556" s="1" t="n">
        <v>45677</v>
      </c>
      <c r="D9556" t="inlineStr">
        <is>
          <t>GÄVLEBORGS LÄN</t>
        </is>
      </c>
      <c r="E9556" t="inlineStr">
        <is>
          <t>SÖDERHAMN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63952-2023</t>
        </is>
      </c>
      <c r="B9557" s="1" t="n">
        <v>45278</v>
      </c>
      <c r="C9557" s="1" t="n">
        <v>45677</v>
      </c>
      <c r="D9557" t="inlineStr">
        <is>
          <t>GÄVLEBORGS LÄN</t>
        </is>
      </c>
      <c r="E9557" t="inlineStr">
        <is>
          <t>HUDIKSVALL</t>
        </is>
      </c>
      <c r="F9557" t="inlineStr">
        <is>
          <t>Holmen skog AB</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63998-2023</t>
        </is>
      </c>
      <c r="B9558" s="1" t="n">
        <v>45278</v>
      </c>
      <c r="C9558" s="1" t="n">
        <v>45677</v>
      </c>
      <c r="D9558" t="inlineStr">
        <is>
          <t>GÄVLEBORGS LÄN</t>
        </is>
      </c>
      <c r="E9558" t="inlineStr">
        <is>
          <t>SANDVIKEN</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64010-2023</t>
        </is>
      </c>
      <c r="B9559" s="1" t="n">
        <v>45278</v>
      </c>
      <c r="C9559" s="1" t="n">
        <v>45677</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64018-2023</t>
        </is>
      </c>
      <c r="B9560" s="1" t="n">
        <v>45278</v>
      </c>
      <c r="C9560" s="1" t="n">
        <v>45677</v>
      </c>
      <c r="D9560" t="inlineStr">
        <is>
          <t>GÄVLEBORGS LÄN</t>
        </is>
      </c>
      <c r="E9560" t="inlineStr">
        <is>
          <t>LJUSDAL</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64000-2023</t>
        </is>
      </c>
      <c r="B9561" s="1" t="n">
        <v>45278</v>
      </c>
      <c r="C9561" s="1" t="n">
        <v>45677</v>
      </c>
      <c r="D9561" t="inlineStr">
        <is>
          <t>GÄVLEBORGS LÄN</t>
        </is>
      </c>
      <c r="E9561" t="inlineStr">
        <is>
          <t>SANDVIKEN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63971-2023</t>
        </is>
      </c>
      <c r="B9562" s="1" t="n">
        <v>45278</v>
      </c>
      <c r="C9562" s="1" t="n">
        <v>45677</v>
      </c>
      <c r="D9562" t="inlineStr">
        <is>
          <t>GÄVLEBORGS LÄN</t>
        </is>
      </c>
      <c r="E9562" t="inlineStr">
        <is>
          <t>SÖDERHAMN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64015-2023</t>
        </is>
      </c>
      <c r="B9563" s="1" t="n">
        <v>45278</v>
      </c>
      <c r="C9563" s="1" t="n">
        <v>45677</v>
      </c>
      <c r="D9563" t="inlineStr">
        <is>
          <t>GÄVLEBORGS LÄN</t>
        </is>
      </c>
      <c r="E9563" t="inlineStr">
        <is>
          <t>HUDIKSVALL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64019-2023</t>
        </is>
      </c>
      <c r="B9564" s="1" t="n">
        <v>45278</v>
      </c>
      <c r="C9564" s="1" t="n">
        <v>45677</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64095-2023</t>
        </is>
      </c>
      <c r="B9565" s="1" t="n">
        <v>45279</v>
      </c>
      <c r="C9565" s="1" t="n">
        <v>45677</v>
      </c>
      <c r="D9565" t="inlineStr">
        <is>
          <t>GÄVLEBORGS LÄN</t>
        </is>
      </c>
      <c r="E9565" t="inlineStr">
        <is>
          <t>GÄVLE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64064-2023</t>
        </is>
      </c>
      <c r="B9566" s="1" t="n">
        <v>45279</v>
      </c>
      <c r="C9566" s="1" t="n">
        <v>45677</v>
      </c>
      <c r="D9566" t="inlineStr">
        <is>
          <t>GÄVLEBORGS LÄN</t>
        </is>
      </c>
      <c r="E9566" t="inlineStr">
        <is>
          <t>LJUSDAL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64065-2023</t>
        </is>
      </c>
      <c r="B9567" s="1" t="n">
        <v>45279</v>
      </c>
      <c r="C9567" s="1" t="n">
        <v>45677</v>
      </c>
      <c r="D9567" t="inlineStr">
        <is>
          <t>GÄVLEBORGS LÄN</t>
        </is>
      </c>
      <c r="E9567" t="inlineStr">
        <is>
          <t>LJUSDAL</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64138-2023</t>
        </is>
      </c>
      <c r="B9568" s="1" t="n">
        <v>45279</v>
      </c>
      <c r="C9568" s="1" t="n">
        <v>45677</v>
      </c>
      <c r="D9568" t="inlineStr">
        <is>
          <t>GÄVLEBORGS LÄN</t>
        </is>
      </c>
      <c r="E9568" t="inlineStr">
        <is>
          <t>SÖDERHAMN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64112-2023</t>
        </is>
      </c>
      <c r="B9569" s="1" t="n">
        <v>45279</v>
      </c>
      <c r="C9569" s="1" t="n">
        <v>45677</v>
      </c>
      <c r="D9569" t="inlineStr">
        <is>
          <t>GÄVLEBORGS LÄN</t>
        </is>
      </c>
      <c r="E9569" t="inlineStr">
        <is>
          <t>SANDVIKEN</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64116-2023</t>
        </is>
      </c>
      <c r="B9570" s="1" t="n">
        <v>45279</v>
      </c>
      <c r="C9570" s="1" t="n">
        <v>45677</v>
      </c>
      <c r="D9570" t="inlineStr">
        <is>
          <t>GÄVLEBORGS LÄN</t>
        </is>
      </c>
      <c r="E9570" t="inlineStr">
        <is>
          <t>SANDVIKEN</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64359-2023</t>
        </is>
      </c>
      <c r="B9571" s="1" t="n">
        <v>45280</v>
      </c>
      <c r="C9571" s="1" t="n">
        <v>45677</v>
      </c>
      <c r="D9571" t="inlineStr">
        <is>
          <t>GÄVLEBORGS LÄN</t>
        </is>
      </c>
      <c r="E9571" t="inlineStr">
        <is>
          <t>HOFORS</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64364-2023</t>
        </is>
      </c>
      <c r="B9572" s="1" t="n">
        <v>45280</v>
      </c>
      <c r="C9572" s="1" t="n">
        <v>45677</v>
      </c>
      <c r="D9572" t="inlineStr">
        <is>
          <t>GÄVLEBORGS LÄN</t>
        </is>
      </c>
      <c r="E9572" t="inlineStr">
        <is>
          <t>OCKELBO</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64382-2023</t>
        </is>
      </c>
      <c r="B9573" s="1" t="n">
        <v>45280</v>
      </c>
      <c r="C9573" s="1" t="n">
        <v>45677</v>
      </c>
      <c r="D9573" t="inlineStr">
        <is>
          <t>GÄVLEBORGS LÄN</t>
        </is>
      </c>
      <c r="E9573" t="inlineStr">
        <is>
          <t>LJUSDAL</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64337-2023</t>
        </is>
      </c>
      <c r="B9574" s="1" t="n">
        <v>45280</v>
      </c>
      <c r="C9574" s="1" t="n">
        <v>45677</v>
      </c>
      <c r="D9574" t="inlineStr">
        <is>
          <t>GÄVLEBORGS LÄN</t>
        </is>
      </c>
      <c r="E9574" t="inlineStr">
        <is>
          <t>OVANÅKER</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64367-2023</t>
        </is>
      </c>
      <c r="B9575" s="1" t="n">
        <v>45280</v>
      </c>
      <c r="C9575" s="1" t="n">
        <v>45677</v>
      </c>
      <c r="D9575" t="inlineStr">
        <is>
          <t>GÄVLEBORGS LÄN</t>
        </is>
      </c>
      <c r="E9575" t="inlineStr">
        <is>
          <t>OCKELBO</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64414-2023</t>
        </is>
      </c>
      <c r="B9576" s="1" t="n">
        <v>45280</v>
      </c>
      <c r="C9576" s="1" t="n">
        <v>45677</v>
      </c>
      <c r="D9576" t="inlineStr">
        <is>
          <t>GÄVLEBORGS LÄN</t>
        </is>
      </c>
      <c r="E9576" t="inlineStr">
        <is>
          <t>OVANÅKER</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64422-2023</t>
        </is>
      </c>
      <c r="B9577" s="1" t="n">
        <v>45280</v>
      </c>
      <c r="C9577" s="1" t="n">
        <v>45677</v>
      </c>
      <c r="D9577" t="inlineStr">
        <is>
          <t>GÄVLEBORGS LÄN</t>
        </is>
      </c>
      <c r="E9577" t="inlineStr">
        <is>
          <t>BOLLNÄS</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64430-2023</t>
        </is>
      </c>
      <c r="B9578" s="1" t="n">
        <v>45280</v>
      </c>
      <c r="C9578" s="1" t="n">
        <v>45677</v>
      </c>
      <c r="D9578" t="inlineStr">
        <is>
          <t>GÄVLEBORGS LÄN</t>
        </is>
      </c>
      <c r="E9578" t="inlineStr">
        <is>
          <t>OCKELBO</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64393-2023</t>
        </is>
      </c>
      <c r="B9579" s="1" t="n">
        <v>45280</v>
      </c>
      <c r="C9579" s="1" t="n">
        <v>45677</v>
      </c>
      <c r="D9579" t="inlineStr">
        <is>
          <t>GÄVLEBORGS LÄN</t>
        </is>
      </c>
      <c r="E9579" t="inlineStr">
        <is>
          <t>SANDVIKEN</t>
        </is>
      </c>
      <c r="G9579" t="n">
        <v>11.9</v>
      </c>
      <c r="H9579" t="n">
        <v>0</v>
      </c>
      <c r="I9579" t="n">
        <v>0</v>
      </c>
      <c r="J9579" t="n">
        <v>0</v>
      </c>
      <c r="K9579" t="n">
        <v>0</v>
      </c>
      <c r="L9579" t="n">
        <v>0</v>
      </c>
      <c r="M9579" t="n">
        <v>0</v>
      </c>
      <c r="N9579" t="n">
        <v>0</v>
      </c>
      <c r="O9579" t="n">
        <v>0</v>
      </c>
      <c r="P9579" t="n">
        <v>0</v>
      </c>
      <c r="Q9579" t="n">
        <v>0</v>
      </c>
      <c r="R9579" s="2" t="inlineStr"/>
    </row>
    <row r="9580" ht="15" customHeight="1">
      <c r="A9580" t="inlineStr">
        <is>
          <t>A 64379-2023</t>
        </is>
      </c>
      <c r="B9580" s="1" t="n">
        <v>45280</v>
      </c>
      <c r="C9580" s="1" t="n">
        <v>45677</v>
      </c>
      <c r="D9580" t="inlineStr">
        <is>
          <t>GÄVLEBORGS LÄN</t>
        </is>
      </c>
      <c r="E9580" t="inlineStr">
        <is>
          <t>OVANÅKER</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64409-2023</t>
        </is>
      </c>
      <c r="B9581" s="1" t="n">
        <v>45280</v>
      </c>
      <c r="C9581" s="1" t="n">
        <v>45677</v>
      </c>
      <c r="D9581" t="inlineStr">
        <is>
          <t>GÄVLEBORGS LÄN</t>
        </is>
      </c>
      <c r="E9581" t="inlineStr">
        <is>
          <t>OVANÅKER</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64519-2023</t>
        </is>
      </c>
      <c r="B9582" s="1" t="n">
        <v>45281</v>
      </c>
      <c r="C9582" s="1" t="n">
        <v>45677</v>
      </c>
      <c r="D9582" t="inlineStr">
        <is>
          <t>GÄVLEBORGS LÄN</t>
        </is>
      </c>
      <c r="E9582" t="inlineStr">
        <is>
          <t>LJUSDAL</t>
        </is>
      </c>
      <c r="F9582" t="inlineStr">
        <is>
          <t>Holmen skog AB</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64589-2023</t>
        </is>
      </c>
      <c r="B9583" s="1" t="n">
        <v>45281</v>
      </c>
      <c r="C9583" s="1" t="n">
        <v>45677</v>
      </c>
      <c r="D9583" t="inlineStr">
        <is>
          <t>GÄVLEBORGS LÄN</t>
        </is>
      </c>
      <c r="E9583" t="inlineStr">
        <is>
          <t>SANDVIKEN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64593-2023</t>
        </is>
      </c>
      <c r="B9584" s="1" t="n">
        <v>45281</v>
      </c>
      <c r="C9584" s="1" t="n">
        <v>45677</v>
      </c>
      <c r="D9584" t="inlineStr">
        <is>
          <t>GÄVLEBORGS LÄN</t>
        </is>
      </c>
      <c r="E9584" t="inlineStr">
        <is>
          <t>HUDIKSVALL</t>
        </is>
      </c>
      <c r="F9584" t="inlineStr">
        <is>
          <t>Holmen skog AB</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64535-2023</t>
        </is>
      </c>
      <c r="B9585" s="1" t="n">
        <v>45281</v>
      </c>
      <c r="C9585" s="1" t="n">
        <v>45677</v>
      </c>
      <c r="D9585" t="inlineStr">
        <is>
          <t>GÄVLEBORGS LÄN</t>
        </is>
      </c>
      <c r="E9585" t="inlineStr">
        <is>
          <t>OVANÅKER</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64609-2023</t>
        </is>
      </c>
      <c r="B9586" s="1" t="n">
        <v>45281</v>
      </c>
      <c r="C9586" s="1" t="n">
        <v>45677</v>
      </c>
      <c r="D9586" t="inlineStr">
        <is>
          <t>GÄVLEBORGS LÄN</t>
        </is>
      </c>
      <c r="E9586" t="inlineStr">
        <is>
          <t>OCKELBO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64629-2023</t>
        </is>
      </c>
      <c r="B9587" s="1" t="n">
        <v>45281</v>
      </c>
      <c r="C9587" s="1" t="n">
        <v>45677</v>
      </c>
      <c r="D9587" t="inlineStr">
        <is>
          <t>GÄVLEBORGS LÄN</t>
        </is>
      </c>
      <c r="E9587" t="inlineStr">
        <is>
          <t>HOFORS</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64579-2023</t>
        </is>
      </c>
      <c r="B9588" s="1" t="n">
        <v>45281</v>
      </c>
      <c r="C9588" s="1" t="n">
        <v>45677</v>
      </c>
      <c r="D9588" t="inlineStr">
        <is>
          <t>GÄVLEBORGS LÄN</t>
        </is>
      </c>
      <c r="E9588" t="inlineStr">
        <is>
          <t>HUDIKSVALL</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64587-2023</t>
        </is>
      </c>
      <c r="B9589" s="1" t="n">
        <v>45281</v>
      </c>
      <c r="C9589" s="1" t="n">
        <v>45677</v>
      </c>
      <c r="D9589" t="inlineStr">
        <is>
          <t>GÄVLEBORGS LÄN</t>
        </is>
      </c>
      <c r="E9589" t="inlineStr">
        <is>
          <t>SANDVIKEN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64623-2023</t>
        </is>
      </c>
      <c r="B9590" s="1" t="n">
        <v>45281</v>
      </c>
      <c r="C9590" s="1" t="n">
        <v>45677</v>
      </c>
      <c r="D9590" t="inlineStr">
        <is>
          <t>GÄVLEBORGS LÄN</t>
        </is>
      </c>
      <c r="E9590" t="inlineStr">
        <is>
          <t>SANDVIKEN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64627-2023</t>
        </is>
      </c>
      <c r="B9591" s="1" t="n">
        <v>45281</v>
      </c>
      <c r="C9591" s="1" t="n">
        <v>45677</v>
      </c>
      <c r="D9591" t="inlineStr">
        <is>
          <t>GÄVLEBORGS LÄN</t>
        </is>
      </c>
      <c r="E9591" t="inlineStr">
        <is>
          <t>LJUSDAL</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64704-2023</t>
        </is>
      </c>
      <c r="B9592" s="1" t="n">
        <v>45281</v>
      </c>
      <c r="C9592" s="1" t="n">
        <v>45677</v>
      </c>
      <c r="D9592" t="inlineStr">
        <is>
          <t>GÄVLEBORGS LÄN</t>
        </is>
      </c>
      <c r="E9592" t="inlineStr">
        <is>
          <t>OVANÅKER</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64620-2023</t>
        </is>
      </c>
      <c r="B9593" s="1" t="n">
        <v>45281</v>
      </c>
      <c r="C9593" s="1" t="n">
        <v>45677</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64588-2023</t>
        </is>
      </c>
      <c r="B9594" s="1" t="n">
        <v>45281</v>
      </c>
      <c r="C9594" s="1" t="n">
        <v>45677</v>
      </c>
      <c r="D9594" t="inlineStr">
        <is>
          <t>GÄVLEBORGS LÄN</t>
        </is>
      </c>
      <c r="E9594" t="inlineStr">
        <is>
          <t>SANDVIKEN</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64727-2023</t>
        </is>
      </c>
      <c r="B9595" s="1" t="n">
        <v>45281</v>
      </c>
      <c r="C9595" s="1" t="n">
        <v>45677</v>
      </c>
      <c r="D9595" t="inlineStr">
        <is>
          <t>GÄVLEBORGS LÄN</t>
        </is>
      </c>
      <c r="E9595" t="inlineStr">
        <is>
          <t>HUDIKSVALL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64786-2023</t>
        </is>
      </c>
      <c r="B9596" s="1" t="n">
        <v>45282</v>
      </c>
      <c r="C9596" s="1" t="n">
        <v>45677</v>
      </c>
      <c r="D9596" t="inlineStr">
        <is>
          <t>GÄVLEBORGS LÄN</t>
        </is>
      </c>
      <c r="E9596" t="inlineStr">
        <is>
          <t>LJUSDAL</t>
        </is>
      </c>
      <c r="F9596" t="inlineStr">
        <is>
          <t>Holmen skog AB</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64814-2023</t>
        </is>
      </c>
      <c r="B9597" s="1" t="n">
        <v>45282</v>
      </c>
      <c r="C9597" s="1" t="n">
        <v>45677</v>
      </c>
      <c r="D9597" t="inlineStr">
        <is>
          <t>GÄVLEBORGS LÄN</t>
        </is>
      </c>
      <c r="E9597" t="inlineStr">
        <is>
          <t>OCKELBO</t>
        </is>
      </c>
      <c r="F9597" t="inlineStr">
        <is>
          <t>Bergvik skog väst AB</t>
        </is>
      </c>
      <c r="G9597" t="n">
        <v>19.8</v>
      </c>
      <c r="H9597" t="n">
        <v>0</v>
      </c>
      <c r="I9597" t="n">
        <v>0</v>
      </c>
      <c r="J9597" t="n">
        <v>0</v>
      </c>
      <c r="K9597" t="n">
        <v>0</v>
      </c>
      <c r="L9597" t="n">
        <v>0</v>
      </c>
      <c r="M9597" t="n">
        <v>0</v>
      </c>
      <c r="N9597" t="n">
        <v>0</v>
      </c>
      <c r="O9597" t="n">
        <v>0</v>
      </c>
      <c r="P9597" t="n">
        <v>0</v>
      </c>
      <c r="Q9597" t="n">
        <v>0</v>
      </c>
      <c r="R9597" s="2" t="inlineStr"/>
    </row>
    <row r="9598" ht="15" customHeight="1">
      <c r="A9598" t="inlineStr">
        <is>
          <t>A 64779-2023</t>
        </is>
      </c>
      <c r="B9598" s="1" t="n">
        <v>45282</v>
      </c>
      <c r="C9598" s="1" t="n">
        <v>45677</v>
      </c>
      <c r="D9598" t="inlineStr">
        <is>
          <t>GÄVLEBORGS LÄN</t>
        </is>
      </c>
      <c r="E9598" t="inlineStr">
        <is>
          <t>LJUSDAL</t>
        </is>
      </c>
      <c r="F9598" t="inlineStr">
        <is>
          <t>Holmen skog AB</t>
        </is>
      </c>
      <c r="G9598" t="n">
        <v>11.1</v>
      </c>
      <c r="H9598" t="n">
        <v>0</v>
      </c>
      <c r="I9598" t="n">
        <v>0</v>
      </c>
      <c r="J9598" t="n">
        <v>0</v>
      </c>
      <c r="K9598" t="n">
        <v>0</v>
      </c>
      <c r="L9598" t="n">
        <v>0</v>
      </c>
      <c r="M9598" t="n">
        <v>0</v>
      </c>
      <c r="N9598" t="n">
        <v>0</v>
      </c>
      <c r="O9598" t="n">
        <v>0</v>
      </c>
      <c r="P9598" t="n">
        <v>0</v>
      </c>
      <c r="Q9598" t="n">
        <v>0</v>
      </c>
      <c r="R9598" s="2" t="inlineStr"/>
    </row>
    <row r="9599" ht="15" customHeight="1">
      <c r="A9599" t="inlineStr">
        <is>
          <t>A 64818-2023</t>
        </is>
      </c>
      <c r="B9599" s="1" t="n">
        <v>45282</v>
      </c>
      <c r="C9599" s="1" t="n">
        <v>45677</v>
      </c>
      <c r="D9599" t="inlineStr">
        <is>
          <t>GÄVLEBORGS LÄN</t>
        </is>
      </c>
      <c r="E9599" t="inlineStr">
        <is>
          <t>OCKELBO</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64868-2023</t>
        </is>
      </c>
      <c r="B9600" s="1" t="n">
        <v>45282</v>
      </c>
      <c r="C9600" s="1" t="n">
        <v>45677</v>
      </c>
      <c r="D9600" t="inlineStr">
        <is>
          <t>GÄVLEBORGS LÄN</t>
        </is>
      </c>
      <c r="E9600" t="inlineStr">
        <is>
          <t>GÄVLE</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64912-2023</t>
        </is>
      </c>
      <c r="B9601" s="1" t="n">
        <v>45282</v>
      </c>
      <c r="C9601" s="1" t="n">
        <v>45677</v>
      </c>
      <c r="D9601" t="inlineStr">
        <is>
          <t>GÄVLEBORGS LÄN</t>
        </is>
      </c>
      <c r="E9601" t="inlineStr">
        <is>
          <t>OVANÅKER</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64924-2023</t>
        </is>
      </c>
      <c r="B9602" s="1" t="n">
        <v>45282</v>
      </c>
      <c r="C9602" s="1" t="n">
        <v>45677</v>
      </c>
      <c r="D9602" t="inlineStr">
        <is>
          <t>GÄVLEBORGS LÄN</t>
        </is>
      </c>
      <c r="E9602" t="inlineStr">
        <is>
          <t>OCKELBO</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64857-2023</t>
        </is>
      </c>
      <c r="B9603" s="1" t="n">
        <v>45282</v>
      </c>
      <c r="C9603" s="1" t="n">
        <v>45677</v>
      </c>
      <c r="D9603" t="inlineStr">
        <is>
          <t>GÄVLEBORGS LÄN</t>
        </is>
      </c>
      <c r="E9603" t="inlineStr">
        <is>
          <t>SANDVIKEN</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64878-2023</t>
        </is>
      </c>
      <c r="B9604" s="1" t="n">
        <v>45282</v>
      </c>
      <c r="C9604" s="1" t="n">
        <v>45677</v>
      </c>
      <c r="D9604" t="inlineStr">
        <is>
          <t>GÄVLEBORGS LÄN</t>
        </is>
      </c>
      <c r="E9604" t="inlineStr">
        <is>
          <t>GÄVLE</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64871-2023</t>
        </is>
      </c>
      <c r="B9605" s="1" t="n">
        <v>45282</v>
      </c>
      <c r="C9605" s="1" t="n">
        <v>45677</v>
      </c>
      <c r="D9605" t="inlineStr">
        <is>
          <t>GÄVLEBORGS LÄN</t>
        </is>
      </c>
      <c r="E9605" t="inlineStr">
        <is>
          <t>GÄVLE</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64875-2023</t>
        </is>
      </c>
      <c r="B9606" s="1" t="n">
        <v>45282</v>
      </c>
      <c r="C9606" s="1" t="n">
        <v>45677</v>
      </c>
      <c r="D9606" t="inlineStr">
        <is>
          <t>GÄVLEBORGS LÄN</t>
        </is>
      </c>
      <c r="E9606" t="inlineStr">
        <is>
          <t>GÄVLE</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64801-2023</t>
        </is>
      </c>
      <c r="B9607" s="1" t="n">
        <v>45282</v>
      </c>
      <c r="C9607" s="1" t="n">
        <v>45677</v>
      </c>
      <c r="D9607" t="inlineStr">
        <is>
          <t>GÄVLEBORGS LÄN</t>
        </is>
      </c>
      <c r="E9607" t="inlineStr">
        <is>
          <t>SANDVIKEN</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64852-2023</t>
        </is>
      </c>
      <c r="B9608" s="1" t="n">
        <v>45282</v>
      </c>
      <c r="C9608" s="1" t="n">
        <v>45677</v>
      </c>
      <c r="D9608" t="inlineStr">
        <is>
          <t>GÄVLEBORGS LÄN</t>
        </is>
      </c>
      <c r="E9608" t="inlineStr">
        <is>
          <t>OVANÅKER</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64873-2023</t>
        </is>
      </c>
      <c r="B9609" s="1" t="n">
        <v>45282</v>
      </c>
      <c r="C9609" s="1" t="n">
        <v>45677</v>
      </c>
      <c r="D9609" t="inlineStr">
        <is>
          <t>GÄVLEBORGS LÄN</t>
        </is>
      </c>
      <c r="E9609" t="inlineStr">
        <is>
          <t>GÄVLE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64889-2023</t>
        </is>
      </c>
      <c r="B9610" s="1" t="n">
        <v>45282</v>
      </c>
      <c r="C9610" s="1" t="n">
        <v>45677</v>
      </c>
      <c r="D9610" t="inlineStr">
        <is>
          <t>GÄVLEBORGS LÄN</t>
        </is>
      </c>
      <c r="E9610" t="inlineStr">
        <is>
          <t>LJUSDAL</t>
        </is>
      </c>
      <c r="F9610" t="inlineStr">
        <is>
          <t>Holmen skog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64921-2023</t>
        </is>
      </c>
      <c r="B9611" s="1" t="n">
        <v>45282</v>
      </c>
      <c r="C9611" s="1" t="n">
        <v>45677</v>
      </c>
      <c r="D9611" t="inlineStr">
        <is>
          <t>GÄVLEBORGS LÄN</t>
        </is>
      </c>
      <c r="E9611" t="inlineStr">
        <is>
          <t>GÄVLE</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64940-2023</t>
        </is>
      </c>
      <c r="B9612" s="1" t="n">
        <v>45282</v>
      </c>
      <c r="C9612" s="1" t="n">
        <v>45677</v>
      </c>
      <c r="D9612" t="inlineStr">
        <is>
          <t>GÄVLEBORGS LÄN</t>
        </is>
      </c>
      <c r="E9612" t="inlineStr">
        <is>
          <t>SÖDERHAMN</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64962-2023</t>
        </is>
      </c>
      <c r="B9613" s="1" t="n">
        <v>45283</v>
      </c>
      <c r="C9613" s="1" t="n">
        <v>45677</v>
      </c>
      <c r="D9613" t="inlineStr">
        <is>
          <t>GÄVLEBORGS LÄN</t>
        </is>
      </c>
      <c r="E9613" t="inlineStr">
        <is>
          <t>HUDIKSVALL</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65039-2023</t>
        </is>
      </c>
      <c r="B9614" s="1" t="n">
        <v>45287</v>
      </c>
      <c r="C9614" s="1" t="n">
        <v>45677</v>
      </c>
      <c r="D9614" t="inlineStr">
        <is>
          <t>GÄVLEBORGS LÄN</t>
        </is>
      </c>
      <c r="E9614" t="inlineStr">
        <is>
          <t>NORDANSTIG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65107-2023</t>
        </is>
      </c>
      <c r="B9615" s="1" t="n">
        <v>45287</v>
      </c>
      <c r="C9615" s="1" t="n">
        <v>45677</v>
      </c>
      <c r="D9615" t="inlineStr">
        <is>
          <t>GÄVLEBORGS LÄN</t>
        </is>
      </c>
      <c r="E9615" t="inlineStr">
        <is>
          <t>OVANÅKER</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65098-2023</t>
        </is>
      </c>
      <c r="B9616" s="1" t="n">
        <v>45288</v>
      </c>
      <c r="C9616" s="1" t="n">
        <v>45677</v>
      </c>
      <c r="D9616" t="inlineStr">
        <is>
          <t>GÄVLEBORGS LÄN</t>
        </is>
      </c>
      <c r="E9616" t="inlineStr">
        <is>
          <t>SANDVIKEN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65140-2023</t>
        </is>
      </c>
      <c r="B9617" s="1" t="n">
        <v>45288</v>
      </c>
      <c r="C9617" s="1" t="n">
        <v>45677</v>
      </c>
      <c r="D9617" t="inlineStr">
        <is>
          <t>GÄVLEBORGS LÄN</t>
        </is>
      </c>
      <c r="E9617" t="inlineStr">
        <is>
          <t>OCKELBO</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65180-2023</t>
        </is>
      </c>
      <c r="B9618" s="1" t="n">
        <v>45288</v>
      </c>
      <c r="C9618" s="1" t="n">
        <v>45677</v>
      </c>
      <c r="D9618" t="inlineStr">
        <is>
          <t>GÄVLEBORGS LÄN</t>
        </is>
      </c>
      <c r="E9618" t="inlineStr">
        <is>
          <t>NORDANSTIG</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65166-2023</t>
        </is>
      </c>
      <c r="B9619" s="1" t="n">
        <v>45288</v>
      </c>
      <c r="C9619" s="1" t="n">
        <v>45677</v>
      </c>
      <c r="D9619" t="inlineStr">
        <is>
          <t>GÄVLEBORGS LÄN</t>
        </is>
      </c>
      <c r="E9619" t="inlineStr">
        <is>
          <t>BOLLNÄS</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65175-2023</t>
        </is>
      </c>
      <c r="B9620" s="1" t="n">
        <v>45288</v>
      </c>
      <c r="C9620" s="1" t="n">
        <v>45677</v>
      </c>
      <c r="D9620" t="inlineStr">
        <is>
          <t>GÄVLEBORGS LÄN</t>
        </is>
      </c>
      <c r="E9620" t="inlineStr">
        <is>
          <t>LJUSDAL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65179-2023</t>
        </is>
      </c>
      <c r="B9621" s="1" t="n">
        <v>45288</v>
      </c>
      <c r="C9621" s="1" t="n">
        <v>45677</v>
      </c>
      <c r="D9621" t="inlineStr">
        <is>
          <t>GÄVLEBORGS LÄN</t>
        </is>
      </c>
      <c r="E9621" t="inlineStr">
        <is>
          <t>NORDANSTIG</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65195-2023</t>
        </is>
      </c>
      <c r="B9622" s="1" t="n">
        <v>45289</v>
      </c>
      <c r="C9622" s="1" t="n">
        <v>45677</v>
      </c>
      <c r="D9622" t="inlineStr">
        <is>
          <t>GÄVLEBORGS LÄN</t>
        </is>
      </c>
      <c r="E9622" t="inlineStr">
        <is>
          <t>HUDIKSVALL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65189-2023</t>
        </is>
      </c>
      <c r="B9623" s="1" t="n">
        <v>45289</v>
      </c>
      <c r="C9623" s="1" t="n">
        <v>45677</v>
      </c>
      <c r="D9623" t="inlineStr">
        <is>
          <t>GÄVLEBORGS LÄN</t>
        </is>
      </c>
      <c r="E9623" t="inlineStr">
        <is>
          <t>BOLLNÄS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65208-2023</t>
        </is>
      </c>
      <c r="B9624" s="1" t="n">
        <v>45289</v>
      </c>
      <c r="C9624" s="1" t="n">
        <v>45677</v>
      </c>
      <c r="D9624" t="inlineStr">
        <is>
          <t>GÄVLEBORGS LÄN</t>
        </is>
      </c>
      <c r="E9624" t="inlineStr">
        <is>
          <t>NORDANSTIG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65235-2023</t>
        </is>
      </c>
      <c r="B9625" s="1" t="n">
        <v>45289</v>
      </c>
      <c r="C9625" s="1" t="n">
        <v>45677</v>
      </c>
      <c r="D9625" t="inlineStr">
        <is>
          <t>GÄVLEBORGS LÄN</t>
        </is>
      </c>
      <c r="E9625" t="inlineStr">
        <is>
          <t>SÖDERHAMN</t>
        </is>
      </c>
      <c r="G9625" t="n">
        <v>7.4</v>
      </c>
      <c r="H9625" t="n">
        <v>0</v>
      </c>
      <c r="I9625" t="n">
        <v>0</v>
      </c>
      <c r="J9625" t="n">
        <v>0</v>
      </c>
      <c r="K9625" t="n">
        <v>0</v>
      </c>
      <c r="L9625" t="n">
        <v>0</v>
      </c>
      <c r="M9625" t="n">
        <v>0</v>
      </c>
      <c r="N9625" t="n">
        <v>0</v>
      </c>
      <c r="O9625" t="n">
        <v>0</v>
      </c>
      <c r="P9625" t="n">
        <v>0</v>
      </c>
      <c r="Q9625" t="n">
        <v>0</v>
      </c>
      <c r="R9625" s="2" t="inlineStr"/>
    </row>
    <row r="9626" ht="15" customHeight="1">
      <c r="A9626" t="inlineStr">
        <is>
          <t>A 65259-2023</t>
        </is>
      </c>
      <c r="B9626" s="1" t="n">
        <v>45291</v>
      </c>
      <c r="C9626" s="1" t="n">
        <v>45677</v>
      </c>
      <c r="D9626" t="inlineStr">
        <is>
          <t>GÄVLEBORGS LÄN</t>
        </is>
      </c>
      <c r="E9626" t="inlineStr">
        <is>
          <t>OCKELBO</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21-2024</t>
        </is>
      </c>
      <c r="B9627" s="1" t="n">
        <v>45293</v>
      </c>
      <c r="C9627" s="1" t="n">
        <v>45677</v>
      </c>
      <c r="D9627" t="inlineStr">
        <is>
          <t>GÄVLEBORGS LÄN</t>
        </is>
      </c>
      <c r="E9627" t="inlineStr">
        <is>
          <t>GÄVLE</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25-2024</t>
        </is>
      </c>
      <c r="B9628" s="1" t="n">
        <v>45293</v>
      </c>
      <c r="C9628" s="1" t="n">
        <v>45677</v>
      </c>
      <c r="D9628" t="inlineStr">
        <is>
          <t>GÄVLEBORGS LÄN</t>
        </is>
      </c>
      <c r="E9628" t="inlineStr">
        <is>
          <t>GÄVLE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8-2024</t>
        </is>
      </c>
      <c r="B9629" s="1" t="n">
        <v>45293</v>
      </c>
      <c r="C9629" s="1" t="n">
        <v>45677</v>
      </c>
      <c r="D9629" t="inlineStr">
        <is>
          <t>GÄVLEBORGS LÄN</t>
        </is>
      </c>
      <c r="E9629" t="inlineStr">
        <is>
          <t>LJUSDAL</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16-2024</t>
        </is>
      </c>
      <c r="B9630" s="1" t="n">
        <v>45293</v>
      </c>
      <c r="C9630" s="1" t="n">
        <v>45677</v>
      </c>
      <c r="D9630" t="inlineStr">
        <is>
          <t>GÄVLEBORGS LÄN</t>
        </is>
      </c>
      <c r="E9630" t="inlineStr">
        <is>
          <t>GÄVLE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24-2024</t>
        </is>
      </c>
      <c r="B9631" s="1" t="n">
        <v>45293</v>
      </c>
      <c r="C9631" s="1" t="n">
        <v>45677</v>
      </c>
      <c r="D9631" t="inlineStr">
        <is>
          <t>GÄVLEBORGS LÄN</t>
        </is>
      </c>
      <c r="E9631" t="inlineStr">
        <is>
          <t>GÄVLE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37-2024</t>
        </is>
      </c>
      <c r="B9632" s="1" t="n">
        <v>45293</v>
      </c>
      <c r="C9632" s="1" t="n">
        <v>45677</v>
      </c>
      <c r="D9632" t="inlineStr">
        <is>
          <t>GÄVLEBORGS LÄN</t>
        </is>
      </c>
      <c r="E9632" t="inlineStr">
        <is>
          <t>SANDVIKEN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57-2024</t>
        </is>
      </c>
      <c r="B9633" s="1" t="n">
        <v>45293</v>
      </c>
      <c r="C9633" s="1" t="n">
        <v>45677</v>
      </c>
      <c r="D9633" t="inlineStr">
        <is>
          <t>GÄVLEBORGS LÄN</t>
        </is>
      </c>
      <c r="E9633" t="inlineStr">
        <is>
          <t>LJUSDAL</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10-2024</t>
        </is>
      </c>
      <c r="B9634" s="1" t="n">
        <v>45293</v>
      </c>
      <c r="C9634" s="1" t="n">
        <v>45677</v>
      </c>
      <c r="D9634" t="inlineStr">
        <is>
          <t>GÄVLEBORGS LÄN</t>
        </is>
      </c>
      <c r="E9634" t="inlineStr">
        <is>
          <t>LJUSDAL</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18-2024</t>
        </is>
      </c>
      <c r="B9635" s="1" t="n">
        <v>45293</v>
      </c>
      <c r="C9635" s="1" t="n">
        <v>45677</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39-2024</t>
        </is>
      </c>
      <c r="B9636" s="1" t="n">
        <v>45293</v>
      </c>
      <c r="C9636" s="1" t="n">
        <v>45677</v>
      </c>
      <c r="D9636" t="inlineStr">
        <is>
          <t>GÄVLEBORGS LÄN</t>
        </is>
      </c>
      <c r="E9636" t="inlineStr">
        <is>
          <t>SANDVIKEN</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129-2024</t>
        </is>
      </c>
      <c r="B9637" s="1" t="n">
        <v>45294</v>
      </c>
      <c r="C9637" s="1" t="n">
        <v>45677</v>
      </c>
      <c r="D9637" t="inlineStr">
        <is>
          <t>GÄVLEBORGS LÄN</t>
        </is>
      </c>
      <c r="E9637" t="inlineStr">
        <is>
          <t>SANDVIKEN</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182-2024</t>
        </is>
      </c>
      <c r="B9638" s="1" t="n">
        <v>45294</v>
      </c>
      <c r="C9638" s="1" t="n">
        <v>45677</v>
      </c>
      <c r="D9638" t="inlineStr">
        <is>
          <t>GÄVLEBORGS LÄN</t>
        </is>
      </c>
      <c r="E9638" t="inlineStr">
        <is>
          <t>HUDIKSVALL</t>
        </is>
      </c>
      <c r="F9638" t="inlineStr">
        <is>
          <t>Holmen skog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118-2024</t>
        </is>
      </c>
      <c r="B9639" s="1" t="n">
        <v>45294</v>
      </c>
      <c r="C9639" s="1" t="n">
        <v>45677</v>
      </c>
      <c r="D9639" t="inlineStr">
        <is>
          <t>GÄVLEBORGS LÄN</t>
        </is>
      </c>
      <c r="E9639" t="inlineStr">
        <is>
          <t>HOFORS</t>
        </is>
      </c>
      <c r="F9639" t="inlineStr">
        <is>
          <t>Sveaskog</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127-2024</t>
        </is>
      </c>
      <c r="B9640" s="1" t="n">
        <v>45294</v>
      </c>
      <c r="C9640" s="1" t="n">
        <v>45677</v>
      </c>
      <c r="D9640" t="inlineStr">
        <is>
          <t>GÄVLEBORGS LÄN</t>
        </is>
      </c>
      <c r="E9640" t="inlineStr">
        <is>
          <t>HOFORS</t>
        </is>
      </c>
      <c r="F9640" t="inlineStr">
        <is>
          <t>Sveaskog</t>
        </is>
      </c>
      <c r="G9640" t="n">
        <v>20.4</v>
      </c>
      <c r="H9640" t="n">
        <v>0</v>
      </c>
      <c r="I9640" t="n">
        <v>0</v>
      </c>
      <c r="J9640" t="n">
        <v>0</v>
      </c>
      <c r="K9640" t="n">
        <v>0</v>
      </c>
      <c r="L9640" t="n">
        <v>0</v>
      </c>
      <c r="M9640" t="n">
        <v>0</v>
      </c>
      <c r="N9640" t="n">
        <v>0</v>
      </c>
      <c r="O9640" t="n">
        <v>0</v>
      </c>
      <c r="P9640" t="n">
        <v>0</v>
      </c>
      <c r="Q9640" t="n">
        <v>0</v>
      </c>
      <c r="R9640" s="2" t="inlineStr"/>
    </row>
    <row r="9641" ht="15" customHeight="1">
      <c r="A9641" t="inlineStr">
        <is>
          <t>A 147-2024</t>
        </is>
      </c>
      <c r="B9641" s="1" t="n">
        <v>45294</v>
      </c>
      <c r="C9641" s="1" t="n">
        <v>45677</v>
      </c>
      <c r="D9641" t="inlineStr">
        <is>
          <t>GÄVLEBORGS LÄN</t>
        </is>
      </c>
      <c r="E9641" t="inlineStr">
        <is>
          <t>LJUSDAL</t>
        </is>
      </c>
      <c r="G9641" t="n">
        <v>9.9</v>
      </c>
      <c r="H9641" t="n">
        <v>0</v>
      </c>
      <c r="I9641" t="n">
        <v>0</v>
      </c>
      <c r="J9641" t="n">
        <v>0</v>
      </c>
      <c r="K9641" t="n">
        <v>0</v>
      </c>
      <c r="L9641" t="n">
        <v>0</v>
      </c>
      <c r="M9641" t="n">
        <v>0</v>
      </c>
      <c r="N9641" t="n">
        <v>0</v>
      </c>
      <c r="O9641" t="n">
        <v>0</v>
      </c>
      <c r="P9641" t="n">
        <v>0</v>
      </c>
      <c r="Q9641" t="n">
        <v>0</v>
      </c>
      <c r="R9641" s="2" t="inlineStr"/>
    </row>
    <row r="9642" ht="15" customHeight="1">
      <c r="A9642" t="inlineStr">
        <is>
          <t>A 188-2024</t>
        </is>
      </c>
      <c r="B9642" s="1" t="n">
        <v>45294</v>
      </c>
      <c r="C9642" s="1" t="n">
        <v>45677</v>
      </c>
      <c r="D9642" t="inlineStr">
        <is>
          <t>GÄVLEBORGS LÄN</t>
        </is>
      </c>
      <c r="E9642" t="inlineStr">
        <is>
          <t>LJUSDAL</t>
        </is>
      </c>
      <c r="G9642" t="n">
        <v>14.3</v>
      </c>
      <c r="H9642" t="n">
        <v>0</v>
      </c>
      <c r="I9642" t="n">
        <v>0</v>
      </c>
      <c r="J9642" t="n">
        <v>0</v>
      </c>
      <c r="K9642" t="n">
        <v>0</v>
      </c>
      <c r="L9642" t="n">
        <v>0</v>
      </c>
      <c r="M9642" t="n">
        <v>0</v>
      </c>
      <c r="N9642" t="n">
        <v>0</v>
      </c>
      <c r="O9642" t="n">
        <v>0</v>
      </c>
      <c r="P9642" t="n">
        <v>0</v>
      </c>
      <c r="Q9642" t="n">
        <v>0</v>
      </c>
      <c r="R9642" s="2" t="inlineStr"/>
    </row>
    <row r="9643" ht="15" customHeight="1">
      <c r="A9643" t="inlineStr">
        <is>
          <t>A 264-2024</t>
        </is>
      </c>
      <c r="B9643" s="1" t="n">
        <v>45295</v>
      </c>
      <c r="C9643" s="1" t="n">
        <v>45677</v>
      </c>
      <c r="D9643" t="inlineStr">
        <is>
          <t>GÄVLEBORGS LÄN</t>
        </is>
      </c>
      <c r="E9643" t="inlineStr">
        <is>
          <t>LJUSDAL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274-2024</t>
        </is>
      </c>
      <c r="B9644" s="1" t="n">
        <v>45295</v>
      </c>
      <c r="C9644" s="1" t="n">
        <v>45677</v>
      </c>
      <c r="D9644" t="inlineStr">
        <is>
          <t>GÄVLEBORGS LÄN</t>
        </is>
      </c>
      <c r="E9644" t="inlineStr">
        <is>
          <t>LJUSDAL</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308-2024</t>
        </is>
      </c>
      <c r="B9645" s="1" t="n">
        <v>45295</v>
      </c>
      <c r="C9645" s="1" t="n">
        <v>45677</v>
      </c>
      <c r="D9645" t="inlineStr">
        <is>
          <t>GÄVLEBORGS LÄN</t>
        </is>
      </c>
      <c r="E9645" t="inlineStr">
        <is>
          <t>GÄVLE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321-2024</t>
        </is>
      </c>
      <c r="B9646" s="1" t="n">
        <v>45295</v>
      </c>
      <c r="C9646" s="1" t="n">
        <v>45677</v>
      </c>
      <c r="D9646" t="inlineStr">
        <is>
          <t>GÄVLEBORGS LÄN</t>
        </is>
      </c>
      <c r="E9646" t="inlineStr">
        <is>
          <t>NORDANSTIG</t>
        </is>
      </c>
      <c r="F9646" t="inlineStr">
        <is>
          <t>Holmen skog AB</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270-2024</t>
        </is>
      </c>
      <c r="B9647" s="1" t="n">
        <v>45295</v>
      </c>
      <c r="C9647" s="1" t="n">
        <v>45677</v>
      </c>
      <c r="D9647" t="inlineStr">
        <is>
          <t>GÄVLEBORGS LÄN</t>
        </is>
      </c>
      <c r="E9647" t="inlineStr">
        <is>
          <t>LJUSDAL</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289-2024</t>
        </is>
      </c>
      <c r="B9648" s="1" t="n">
        <v>45295</v>
      </c>
      <c r="C9648" s="1" t="n">
        <v>45677</v>
      </c>
      <c r="D9648" t="inlineStr">
        <is>
          <t>GÄVLEBORGS LÄN</t>
        </is>
      </c>
      <c r="E9648" t="inlineStr">
        <is>
          <t>BOLLNÄS</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300-2024</t>
        </is>
      </c>
      <c r="B9649" s="1" t="n">
        <v>45295</v>
      </c>
      <c r="C9649" s="1" t="n">
        <v>45677</v>
      </c>
      <c r="D9649" t="inlineStr">
        <is>
          <t>GÄVLEBORGS LÄN</t>
        </is>
      </c>
      <c r="E9649" t="inlineStr">
        <is>
          <t>SÖDERHAMN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355-2024</t>
        </is>
      </c>
      <c r="B9650" s="1" t="n">
        <v>45295</v>
      </c>
      <c r="C9650" s="1" t="n">
        <v>45677</v>
      </c>
      <c r="D9650" t="inlineStr">
        <is>
          <t>GÄVLEBORGS LÄN</t>
        </is>
      </c>
      <c r="E9650" t="inlineStr">
        <is>
          <t>HUDIKSVALL</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333-2024</t>
        </is>
      </c>
      <c r="B9651" s="1" t="n">
        <v>45295</v>
      </c>
      <c r="C9651" s="1" t="n">
        <v>45677</v>
      </c>
      <c r="D9651" t="inlineStr">
        <is>
          <t>GÄVLEBORGS LÄN</t>
        </is>
      </c>
      <c r="E9651" t="inlineStr">
        <is>
          <t>HUDIKSVALL</t>
        </is>
      </c>
      <c r="F9651" t="inlineStr">
        <is>
          <t>Holmen skog AB</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364-2024</t>
        </is>
      </c>
      <c r="B9652" s="1" t="n">
        <v>45295</v>
      </c>
      <c r="C9652" s="1" t="n">
        <v>45677</v>
      </c>
      <c r="D9652" t="inlineStr">
        <is>
          <t>GÄVLEBORGS LÄN</t>
        </is>
      </c>
      <c r="E9652" t="inlineStr">
        <is>
          <t>HUDIKSVALL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273-2024</t>
        </is>
      </c>
      <c r="B9653" s="1" t="n">
        <v>45295</v>
      </c>
      <c r="C9653" s="1" t="n">
        <v>45677</v>
      </c>
      <c r="D9653" t="inlineStr">
        <is>
          <t>GÄVLEBORGS LÄN</t>
        </is>
      </c>
      <c r="E9653" t="inlineStr">
        <is>
          <t>LJUSDAL</t>
        </is>
      </c>
      <c r="F9653" t="inlineStr">
        <is>
          <t>Holmen skog AB</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328-2024</t>
        </is>
      </c>
      <c r="B9654" s="1" t="n">
        <v>45295</v>
      </c>
      <c r="C9654" s="1" t="n">
        <v>45677</v>
      </c>
      <c r="D9654" t="inlineStr">
        <is>
          <t>GÄVLEBORGS LÄN</t>
        </is>
      </c>
      <c r="E9654" t="inlineStr">
        <is>
          <t>LJUSDAL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363-2024</t>
        </is>
      </c>
      <c r="B9655" s="1" t="n">
        <v>45295</v>
      </c>
      <c r="C9655" s="1" t="n">
        <v>45677</v>
      </c>
      <c r="D9655" t="inlineStr">
        <is>
          <t>GÄVLEBORGS LÄN</t>
        </is>
      </c>
      <c r="E9655" t="inlineStr">
        <is>
          <t>HUDIKSVALL</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365-2024</t>
        </is>
      </c>
      <c r="B9656" s="1" t="n">
        <v>45295</v>
      </c>
      <c r="C9656" s="1" t="n">
        <v>45677</v>
      </c>
      <c r="D9656" t="inlineStr">
        <is>
          <t>GÄVLEBORGS LÄN</t>
        </is>
      </c>
      <c r="E9656" t="inlineStr">
        <is>
          <t>HUDIKSVALL</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379-2024</t>
        </is>
      </c>
      <c r="B9657" s="1" t="n">
        <v>45296</v>
      </c>
      <c r="C9657" s="1" t="n">
        <v>45677</v>
      </c>
      <c r="D9657" t="inlineStr">
        <is>
          <t>GÄVLEBORGS LÄN</t>
        </is>
      </c>
      <c r="E9657" t="inlineStr">
        <is>
          <t>NORDANSTIG</t>
        </is>
      </c>
      <c r="F9657" t="inlineStr">
        <is>
          <t>Holmen skog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383-2024</t>
        </is>
      </c>
      <c r="B9658" s="1" t="n">
        <v>45296</v>
      </c>
      <c r="C9658" s="1" t="n">
        <v>45677</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382-2024</t>
        </is>
      </c>
      <c r="B9659" s="1" t="n">
        <v>45296</v>
      </c>
      <c r="C9659" s="1" t="n">
        <v>45677</v>
      </c>
      <c r="D9659" t="inlineStr">
        <is>
          <t>GÄVLEBORGS LÄN</t>
        </is>
      </c>
      <c r="E9659" t="inlineStr">
        <is>
          <t>NORDANSTIG</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377-2024</t>
        </is>
      </c>
      <c r="B9660" s="1" t="n">
        <v>45296</v>
      </c>
      <c r="C9660" s="1" t="n">
        <v>45677</v>
      </c>
      <c r="D9660" t="inlineStr">
        <is>
          <t>GÄVLEBORGS LÄN</t>
        </is>
      </c>
      <c r="E9660" t="inlineStr">
        <is>
          <t>NORDANSTIG</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427-2024</t>
        </is>
      </c>
      <c r="B9661" s="1" t="n">
        <v>45296</v>
      </c>
      <c r="C9661" s="1" t="n">
        <v>45677</v>
      </c>
      <c r="D9661" t="inlineStr">
        <is>
          <t>GÄVLEBORGS LÄN</t>
        </is>
      </c>
      <c r="E9661" t="inlineStr">
        <is>
          <t>OCKELBO</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435-2024</t>
        </is>
      </c>
      <c r="B9662" s="1" t="n">
        <v>45296</v>
      </c>
      <c r="C9662" s="1" t="n">
        <v>45677</v>
      </c>
      <c r="D9662" t="inlineStr">
        <is>
          <t>GÄVLEBORGS LÄN</t>
        </is>
      </c>
      <c r="E9662" t="inlineStr">
        <is>
          <t>SÖDERHAMN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430-2024</t>
        </is>
      </c>
      <c r="B9663" s="1" t="n">
        <v>45296</v>
      </c>
      <c r="C9663" s="1" t="n">
        <v>45677</v>
      </c>
      <c r="D9663" t="inlineStr">
        <is>
          <t>GÄVLEBORGS LÄN</t>
        </is>
      </c>
      <c r="E9663" t="inlineStr">
        <is>
          <t>BOLLNÄS</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438-2024</t>
        </is>
      </c>
      <c r="B9664" s="1" t="n">
        <v>45296</v>
      </c>
      <c r="C9664" s="1" t="n">
        <v>45677</v>
      </c>
      <c r="D9664" t="inlineStr">
        <is>
          <t>GÄVLEBORGS LÄN</t>
        </is>
      </c>
      <c r="E9664" t="inlineStr">
        <is>
          <t>SÖDERHAMN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416-2024</t>
        </is>
      </c>
      <c r="B9665" s="1" t="n">
        <v>45296</v>
      </c>
      <c r="C9665" s="1" t="n">
        <v>45677</v>
      </c>
      <c r="D9665" t="inlineStr">
        <is>
          <t>GÄVLEBORGS LÄN</t>
        </is>
      </c>
      <c r="E9665" t="inlineStr">
        <is>
          <t>OCKELBO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433-2024</t>
        </is>
      </c>
      <c r="B9666" s="1" t="n">
        <v>45296</v>
      </c>
      <c r="C9666" s="1" t="n">
        <v>45677</v>
      </c>
      <c r="D9666" t="inlineStr">
        <is>
          <t>GÄVLEBORGS LÄN</t>
        </is>
      </c>
      <c r="E9666" t="inlineStr">
        <is>
          <t>BOLLNÄS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461-2024</t>
        </is>
      </c>
      <c r="B9667" s="1" t="n">
        <v>45297</v>
      </c>
      <c r="C9667" s="1" t="n">
        <v>45677</v>
      </c>
      <c r="D9667" t="inlineStr">
        <is>
          <t>GÄVLEBORGS LÄN</t>
        </is>
      </c>
      <c r="E9667" t="inlineStr">
        <is>
          <t>HUDIKSVALL</t>
        </is>
      </c>
      <c r="G9667" t="n">
        <v>43.2</v>
      </c>
      <c r="H9667" t="n">
        <v>0</v>
      </c>
      <c r="I9667" t="n">
        <v>0</v>
      </c>
      <c r="J9667" t="n">
        <v>0</v>
      </c>
      <c r="K9667" t="n">
        <v>0</v>
      </c>
      <c r="L9667" t="n">
        <v>0</v>
      </c>
      <c r="M9667" t="n">
        <v>0</v>
      </c>
      <c r="N9667" t="n">
        <v>0</v>
      </c>
      <c r="O9667" t="n">
        <v>0</v>
      </c>
      <c r="P9667" t="n">
        <v>0</v>
      </c>
      <c r="Q9667" t="n">
        <v>0</v>
      </c>
      <c r="R9667" s="2" t="inlineStr"/>
    </row>
    <row r="9668" ht="15" customHeight="1">
      <c r="A9668" t="inlineStr">
        <is>
          <t>A 469-2024</t>
        </is>
      </c>
      <c r="B9668" s="1" t="n">
        <v>45297</v>
      </c>
      <c r="C9668" s="1" t="n">
        <v>45677</v>
      </c>
      <c r="D9668" t="inlineStr">
        <is>
          <t>GÄVLEBORGS LÄN</t>
        </is>
      </c>
      <c r="E9668" t="inlineStr">
        <is>
          <t>NORDANSTIG</t>
        </is>
      </c>
      <c r="F9668" t="inlineStr">
        <is>
          <t>Holmen skog AB</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473-2024</t>
        </is>
      </c>
      <c r="B9669" s="1" t="n">
        <v>45297</v>
      </c>
      <c r="C9669" s="1" t="n">
        <v>45677</v>
      </c>
      <c r="D9669" t="inlineStr">
        <is>
          <t>GÄVLEBORGS LÄN</t>
        </is>
      </c>
      <c r="E9669" t="inlineStr">
        <is>
          <t>HUDIKSVALL</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467-2024</t>
        </is>
      </c>
      <c r="B9670" s="1" t="n">
        <v>45297</v>
      </c>
      <c r="C9670" s="1" t="n">
        <v>45677</v>
      </c>
      <c r="D9670" t="inlineStr">
        <is>
          <t>GÄVLEBORGS LÄN</t>
        </is>
      </c>
      <c r="E9670" t="inlineStr">
        <is>
          <t>HUDIKSVALL</t>
        </is>
      </c>
      <c r="F9670" t="inlineStr">
        <is>
          <t>Holmen skog AB</t>
        </is>
      </c>
      <c r="G9670" t="n">
        <v>5</v>
      </c>
      <c r="H9670" t="n">
        <v>0</v>
      </c>
      <c r="I9670" t="n">
        <v>0</v>
      </c>
      <c r="J9670" t="n">
        <v>0</v>
      </c>
      <c r="K9670" t="n">
        <v>0</v>
      </c>
      <c r="L9670" t="n">
        <v>0</v>
      </c>
      <c r="M9670" t="n">
        <v>0</v>
      </c>
      <c r="N9670" t="n">
        <v>0</v>
      </c>
      <c r="O9670" t="n">
        <v>0</v>
      </c>
      <c r="P9670" t="n">
        <v>0</v>
      </c>
      <c r="Q9670" t="n">
        <v>0</v>
      </c>
      <c r="R9670" s="2" t="inlineStr"/>
      <c r="U9670">
        <f>HYPERLINK("https://klasma.github.io/Logging_2184/knärot/A 467-2024 karta knärot.png", "A 467-2024")</f>
        <v/>
      </c>
      <c r="V9670">
        <f>HYPERLINK("https://klasma.github.io/Logging_2184/klagomål/A 467-2024 FSC-klagomål.docx", "A 467-2024")</f>
        <v/>
      </c>
      <c r="W9670">
        <f>HYPERLINK("https://klasma.github.io/Logging_2184/klagomålsmail/A 467-2024 FSC-klagomål mail.docx", "A 467-2024")</f>
        <v/>
      </c>
      <c r="X9670">
        <f>HYPERLINK("https://klasma.github.io/Logging_2184/tillsyn/A 467-2024 tillsynsbegäran.docx", "A 467-2024")</f>
        <v/>
      </c>
      <c r="Y9670">
        <f>HYPERLINK("https://klasma.github.io/Logging_2184/tillsynsmail/A 467-2024 tillsynsbegäran mail.docx", "A 467-2024")</f>
        <v/>
      </c>
    </row>
    <row r="9671" ht="15" customHeight="1">
      <c r="A9671" t="inlineStr">
        <is>
          <t>A 464-2024</t>
        </is>
      </c>
      <c r="B9671" s="1" t="n">
        <v>45297</v>
      </c>
      <c r="C9671" s="1" t="n">
        <v>45677</v>
      </c>
      <c r="D9671" t="inlineStr">
        <is>
          <t>GÄVLEBORGS LÄN</t>
        </is>
      </c>
      <c r="E9671" t="inlineStr">
        <is>
          <t>HUDIKSVALL</t>
        </is>
      </c>
      <c r="F9671" t="inlineStr">
        <is>
          <t>Holmen skog AB</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472-2024</t>
        </is>
      </c>
      <c r="B9672" s="1" t="n">
        <v>45297</v>
      </c>
      <c r="C9672" s="1" t="n">
        <v>45677</v>
      </c>
      <c r="D9672" t="inlineStr">
        <is>
          <t>GÄVLEBORGS LÄN</t>
        </is>
      </c>
      <c r="E9672" t="inlineStr">
        <is>
          <t>NORDANSTIG</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522-2024</t>
        </is>
      </c>
      <c r="B9673" s="1" t="n">
        <v>45299</v>
      </c>
      <c r="C9673" s="1" t="n">
        <v>45677</v>
      </c>
      <c r="D9673" t="inlineStr">
        <is>
          <t>GÄVLEBORGS LÄN</t>
        </is>
      </c>
      <c r="E9673" t="inlineStr">
        <is>
          <t>LJUSDAL</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547-2024</t>
        </is>
      </c>
      <c r="B9674" s="1" t="n">
        <v>45299</v>
      </c>
      <c r="C9674" s="1" t="n">
        <v>45677</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591-2024</t>
        </is>
      </c>
      <c r="B9675" s="1" t="n">
        <v>45299</v>
      </c>
      <c r="C9675" s="1" t="n">
        <v>45677</v>
      </c>
      <c r="D9675" t="inlineStr">
        <is>
          <t>GÄVLEBORGS LÄN</t>
        </is>
      </c>
      <c r="E9675" t="inlineStr">
        <is>
          <t>LJUSDAL</t>
        </is>
      </c>
      <c r="G9675" t="n">
        <v>14.1</v>
      </c>
      <c r="H9675" t="n">
        <v>0</v>
      </c>
      <c r="I9675" t="n">
        <v>0</v>
      </c>
      <c r="J9675" t="n">
        <v>0</v>
      </c>
      <c r="K9675" t="n">
        <v>0</v>
      </c>
      <c r="L9675" t="n">
        <v>0</v>
      </c>
      <c r="M9675" t="n">
        <v>0</v>
      </c>
      <c r="N9675" t="n">
        <v>0</v>
      </c>
      <c r="O9675" t="n">
        <v>0</v>
      </c>
      <c r="P9675" t="n">
        <v>0</v>
      </c>
      <c r="Q9675" t="n">
        <v>0</v>
      </c>
      <c r="R9675" s="2" t="inlineStr"/>
    </row>
    <row r="9676" ht="15" customHeight="1">
      <c r="A9676" t="inlineStr">
        <is>
          <t>A 603-2024</t>
        </is>
      </c>
      <c r="B9676" s="1" t="n">
        <v>45299</v>
      </c>
      <c r="C9676" s="1" t="n">
        <v>45677</v>
      </c>
      <c r="D9676" t="inlineStr">
        <is>
          <t>GÄVLEBORGS LÄN</t>
        </is>
      </c>
      <c r="E9676" t="inlineStr">
        <is>
          <t>HUDIKSVALL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521-2024</t>
        </is>
      </c>
      <c r="B9677" s="1" t="n">
        <v>45299</v>
      </c>
      <c r="C9677" s="1" t="n">
        <v>45677</v>
      </c>
      <c r="D9677" t="inlineStr">
        <is>
          <t>GÄVLEBORGS LÄN</t>
        </is>
      </c>
      <c r="E9677" t="inlineStr">
        <is>
          <t>BOLLNÄS</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548-2024</t>
        </is>
      </c>
      <c r="B9678" s="1" t="n">
        <v>45299</v>
      </c>
      <c r="C9678" s="1" t="n">
        <v>45677</v>
      </c>
      <c r="D9678" t="inlineStr">
        <is>
          <t>GÄVLEBORGS LÄN</t>
        </is>
      </c>
      <c r="E9678" t="inlineStr">
        <is>
          <t>NORDANSTIG</t>
        </is>
      </c>
      <c r="F9678" t="inlineStr">
        <is>
          <t>Holmen skog AB</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589-2024</t>
        </is>
      </c>
      <c r="B9679" s="1" t="n">
        <v>45299</v>
      </c>
      <c r="C9679" s="1" t="n">
        <v>45677</v>
      </c>
      <c r="D9679" t="inlineStr">
        <is>
          <t>GÄVLEBORGS LÄN</t>
        </is>
      </c>
      <c r="E9679" t="inlineStr">
        <is>
          <t>LJUSDAL</t>
        </is>
      </c>
      <c r="G9679" t="n">
        <v>13.4</v>
      </c>
      <c r="H9679" t="n">
        <v>0</v>
      </c>
      <c r="I9679" t="n">
        <v>0</v>
      </c>
      <c r="J9679" t="n">
        <v>0</v>
      </c>
      <c r="K9679" t="n">
        <v>0</v>
      </c>
      <c r="L9679" t="n">
        <v>0</v>
      </c>
      <c r="M9679" t="n">
        <v>0</v>
      </c>
      <c r="N9679" t="n">
        <v>0</v>
      </c>
      <c r="O9679" t="n">
        <v>0</v>
      </c>
      <c r="P9679" t="n">
        <v>0</v>
      </c>
      <c r="Q9679" t="n">
        <v>0</v>
      </c>
      <c r="R9679" s="2" t="inlineStr"/>
    </row>
    <row r="9680" ht="15" customHeight="1">
      <c r="A9680" t="inlineStr">
        <is>
          <t>A 592-2024</t>
        </is>
      </c>
      <c r="B9680" s="1" t="n">
        <v>45299</v>
      </c>
      <c r="C9680" s="1" t="n">
        <v>45677</v>
      </c>
      <c r="D9680" t="inlineStr">
        <is>
          <t>GÄVLEBORGS LÄN</t>
        </is>
      </c>
      <c r="E9680" t="inlineStr">
        <is>
          <t>LJUSDAL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608-2024</t>
        </is>
      </c>
      <c r="B9681" s="1" t="n">
        <v>45299</v>
      </c>
      <c r="C9681" s="1" t="n">
        <v>45677</v>
      </c>
      <c r="D9681" t="inlineStr">
        <is>
          <t>GÄVLEBORGS LÄN</t>
        </is>
      </c>
      <c r="E9681" t="inlineStr">
        <is>
          <t>LJUSDAL</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612-2024</t>
        </is>
      </c>
      <c r="B9682" s="1" t="n">
        <v>45299</v>
      </c>
      <c r="C9682" s="1" t="n">
        <v>45677</v>
      </c>
      <c r="D9682" t="inlineStr">
        <is>
          <t>GÄVLEBORGS LÄN</t>
        </is>
      </c>
      <c r="E9682" t="inlineStr">
        <is>
          <t>LJUSDAL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549-2024</t>
        </is>
      </c>
      <c r="B9683" s="1" t="n">
        <v>45299</v>
      </c>
      <c r="C9683" s="1" t="n">
        <v>45677</v>
      </c>
      <c r="D9683" t="inlineStr">
        <is>
          <t>GÄVLEBORGS LÄN</t>
        </is>
      </c>
      <c r="E9683" t="inlineStr">
        <is>
          <t>BOLLNÄS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839-2024</t>
        </is>
      </c>
      <c r="B9684" s="1" t="n">
        <v>45300</v>
      </c>
      <c r="C9684" s="1" t="n">
        <v>45677</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750-2024</t>
        </is>
      </c>
      <c r="B9685" s="1" t="n">
        <v>45300</v>
      </c>
      <c r="C9685" s="1" t="n">
        <v>45677</v>
      </c>
      <c r="D9685" t="inlineStr">
        <is>
          <t>GÄVLEBORGS LÄN</t>
        </is>
      </c>
      <c r="E9685" t="inlineStr">
        <is>
          <t>HUDIKSVALL</t>
        </is>
      </c>
      <c r="F9685" t="inlineStr">
        <is>
          <t>Holmen skog AB</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840-2024</t>
        </is>
      </c>
      <c r="B9686" s="1" t="n">
        <v>45300</v>
      </c>
      <c r="C9686" s="1" t="n">
        <v>45677</v>
      </c>
      <c r="D9686" t="inlineStr">
        <is>
          <t>GÄVLEBORGS LÄN</t>
        </is>
      </c>
      <c r="E9686" t="inlineStr">
        <is>
          <t>OVANÅKER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812-2024</t>
        </is>
      </c>
      <c r="B9687" s="1" t="n">
        <v>45300</v>
      </c>
      <c r="C9687" s="1" t="n">
        <v>45677</v>
      </c>
      <c r="D9687" t="inlineStr">
        <is>
          <t>GÄVLEBORGS LÄN</t>
        </is>
      </c>
      <c r="E9687" t="inlineStr">
        <is>
          <t>OCKELBO</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718-2024</t>
        </is>
      </c>
      <c r="B9688" s="1" t="n">
        <v>45300</v>
      </c>
      <c r="C9688" s="1" t="n">
        <v>45677</v>
      </c>
      <c r="D9688" t="inlineStr">
        <is>
          <t>GÄVLEBORGS LÄN</t>
        </is>
      </c>
      <c r="E9688" t="inlineStr">
        <is>
          <t>LJUSDAL</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768-2024</t>
        </is>
      </c>
      <c r="B9689" s="1" t="n">
        <v>45300</v>
      </c>
      <c r="C9689" s="1" t="n">
        <v>45677</v>
      </c>
      <c r="D9689" t="inlineStr">
        <is>
          <t>GÄVLEBORGS LÄN</t>
        </is>
      </c>
      <c r="E9689" t="inlineStr">
        <is>
          <t>GÄVLE</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817-2024</t>
        </is>
      </c>
      <c r="B9690" s="1" t="n">
        <v>45300</v>
      </c>
      <c r="C9690" s="1" t="n">
        <v>45677</v>
      </c>
      <c r="D9690" t="inlineStr">
        <is>
          <t>GÄVLEBORGS LÄN</t>
        </is>
      </c>
      <c r="E9690" t="inlineStr">
        <is>
          <t>OCKELBO</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853-2024</t>
        </is>
      </c>
      <c r="B9691" s="1" t="n">
        <v>45300</v>
      </c>
      <c r="C9691" s="1" t="n">
        <v>45677</v>
      </c>
      <c r="D9691" t="inlineStr">
        <is>
          <t>GÄVLEBORGS LÄN</t>
        </is>
      </c>
      <c r="E9691" t="inlineStr">
        <is>
          <t>NORDANSTIG</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716-2024</t>
        </is>
      </c>
      <c r="B9692" s="1" t="n">
        <v>45300</v>
      </c>
      <c r="C9692" s="1" t="n">
        <v>45677</v>
      </c>
      <c r="D9692" t="inlineStr">
        <is>
          <t>GÄVLEBORGS LÄN</t>
        </is>
      </c>
      <c r="E9692" t="inlineStr">
        <is>
          <t>SANDVIKEN</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838-2024</t>
        </is>
      </c>
      <c r="B9693" s="1" t="n">
        <v>45300</v>
      </c>
      <c r="C9693" s="1" t="n">
        <v>45677</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904-2024</t>
        </is>
      </c>
      <c r="B9694" s="1" t="n">
        <v>45301</v>
      </c>
      <c r="C9694" s="1" t="n">
        <v>45677</v>
      </c>
      <c r="D9694" t="inlineStr">
        <is>
          <t>GÄVLEBORGS LÄN</t>
        </is>
      </c>
      <c r="E9694" t="inlineStr">
        <is>
          <t>OCKELBO</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943-2024</t>
        </is>
      </c>
      <c r="B9695" s="1" t="n">
        <v>45301</v>
      </c>
      <c r="C9695" s="1" t="n">
        <v>45677</v>
      </c>
      <c r="D9695" t="inlineStr">
        <is>
          <t>GÄVLEBORGS LÄN</t>
        </is>
      </c>
      <c r="E9695" t="inlineStr">
        <is>
          <t>OVANÅKER</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884-2024</t>
        </is>
      </c>
      <c r="B9696" s="1" t="n">
        <v>45301</v>
      </c>
      <c r="C9696" s="1" t="n">
        <v>45677</v>
      </c>
      <c r="D9696" t="inlineStr">
        <is>
          <t>GÄVLEBORGS LÄN</t>
        </is>
      </c>
      <c r="E9696" t="inlineStr">
        <is>
          <t>NORDANSTIG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921-2024</t>
        </is>
      </c>
      <c r="B9697" s="1" t="n">
        <v>45301</v>
      </c>
      <c r="C9697" s="1" t="n">
        <v>45677</v>
      </c>
      <c r="D9697" t="inlineStr">
        <is>
          <t>GÄVLEBORGS LÄN</t>
        </is>
      </c>
      <c r="E9697" t="inlineStr">
        <is>
          <t>OCKELBO</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1033-2024</t>
        </is>
      </c>
      <c r="B9698" s="1" t="n">
        <v>45301</v>
      </c>
      <c r="C9698" s="1" t="n">
        <v>45677</v>
      </c>
      <c r="D9698" t="inlineStr">
        <is>
          <t>GÄVLEBORGS LÄN</t>
        </is>
      </c>
      <c r="E9698" t="inlineStr">
        <is>
          <t>LJUSDAL</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1059-2024</t>
        </is>
      </c>
      <c r="B9699" s="1" t="n">
        <v>45301</v>
      </c>
      <c r="C9699" s="1" t="n">
        <v>45677</v>
      </c>
      <c r="D9699" t="inlineStr">
        <is>
          <t>GÄVLEBORGS LÄN</t>
        </is>
      </c>
      <c r="E9699" t="inlineStr">
        <is>
          <t>GÄVLE</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1151-2024</t>
        </is>
      </c>
      <c r="B9700" s="1" t="n">
        <v>45302</v>
      </c>
      <c r="C9700" s="1" t="n">
        <v>45677</v>
      </c>
      <c r="D9700" t="inlineStr">
        <is>
          <t>GÄVLEBORGS LÄN</t>
        </is>
      </c>
      <c r="E9700" t="inlineStr">
        <is>
          <t>HOFORS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1155-2024</t>
        </is>
      </c>
      <c r="B9701" s="1" t="n">
        <v>45302</v>
      </c>
      <c r="C9701" s="1" t="n">
        <v>45677</v>
      </c>
      <c r="D9701" t="inlineStr">
        <is>
          <t>GÄVLEBORGS LÄN</t>
        </is>
      </c>
      <c r="E9701" t="inlineStr">
        <is>
          <t>HOFORS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1092-2024</t>
        </is>
      </c>
      <c r="B9702" s="1" t="n">
        <v>45302</v>
      </c>
      <c r="C9702" s="1" t="n">
        <v>45677</v>
      </c>
      <c r="D9702" t="inlineStr">
        <is>
          <t>GÄVLEBORGS LÄN</t>
        </is>
      </c>
      <c r="E9702" t="inlineStr">
        <is>
          <t>OCKELBO</t>
        </is>
      </c>
      <c r="F9702" t="inlineStr">
        <is>
          <t>Bergvik skog väst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1105-2024</t>
        </is>
      </c>
      <c r="B9703" s="1" t="n">
        <v>45302</v>
      </c>
      <c r="C9703" s="1" t="n">
        <v>45677</v>
      </c>
      <c r="D9703" t="inlineStr">
        <is>
          <t>GÄVLEBORGS LÄN</t>
        </is>
      </c>
      <c r="E9703" t="inlineStr">
        <is>
          <t>OVANÅKER</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1121-2024</t>
        </is>
      </c>
      <c r="B9704" s="1" t="n">
        <v>45302</v>
      </c>
      <c r="C9704" s="1" t="n">
        <v>45677</v>
      </c>
      <c r="D9704" t="inlineStr">
        <is>
          <t>GÄVLEBORGS LÄN</t>
        </is>
      </c>
      <c r="E9704" t="inlineStr">
        <is>
          <t>GÄVLE</t>
        </is>
      </c>
      <c r="F9704" t="inlineStr">
        <is>
          <t>Bergvik skog öst AB</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1162-2024</t>
        </is>
      </c>
      <c r="B9705" s="1" t="n">
        <v>45302</v>
      </c>
      <c r="C9705" s="1" t="n">
        <v>45677</v>
      </c>
      <c r="D9705" t="inlineStr">
        <is>
          <t>GÄVLEBORGS LÄN</t>
        </is>
      </c>
      <c r="E9705" t="inlineStr">
        <is>
          <t>SANDVIKEN</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1183-2024</t>
        </is>
      </c>
      <c r="B9706" s="1" t="n">
        <v>45302</v>
      </c>
      <c r="C9706" s="1" t="n">
        <v>45677</v>
      </c>
      <c r="D9706" t="inlineStr">
        <is>
          <t>GÄVLEBORGS LÄN</t>
        </is>
      </c>
      <c r="E9706" t="inlineStr">
        <is>
          <t>BOLLNÄS</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1104-2024</t>
        </is>
      </c>
      <c r="B9707" s="1" t="n">
        <v>45302</v>
      </c>
      <c r="C9707" s="1" t="n">
        <v>45677</v>
      </c>
      <c r="D9707" t="inlineStr">
        <is>
          <t>GÄVLEBORGS LÄN</t>
        </is>
      </c>
      <c r="E9707" t="inlineStr">
        <is>
          <t>GÄVLE</t>
        </is>
      </c>
      <c r="F9707" t="inlineStr">
        <is>
          <t>Bergvik skog väst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1213-2024</t>
        </is>
      </c>
      <c r="B9708" s="1" t="n">
        <v>45302</v>
      </c>
      <c r="C9708" s="1" t="n">
        <v>45677</v>
      </c>
      <c r="D9708" t="inlineStr">
        <is>
          <t>GÄVLEBORGS LÄN</t>
        </is>
      </c>
      <c r="E9708" t="inlineStr">
        <is>
          <t>BOLLNÄS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1149-2024</t>
        </is>
      </c>
      <c r="B9709" s="1" t="n">
        <v>45302</v>
      </c>
      <c r="C9709" s="1" t="n">
        <v>45677</v>
      </c>
      <c r="D9709" t="inlineStr">
        <is>
          <t>GÄVLEBORGS LÄN</t>
        </is>
      </c>
      <c r="E9709" t="inlineStr">
        <is>
          <t>HOFORS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1144-2024</t>
        </is>
      </c>
      <c r="B9710" s="1" t="n">
        <v>45302</v>
      </c>
      <c r="C9710" s="1" t="n">
        <v>45677</v>
      </c>
      <c r="D9710" t="inlineStr">
        <is>
          <t>GÄVLEBORGS LÄN</t>
        </is>
      </c>
      <c r="E9710" t="inlineStr">
        <is>
          <t>HOFORS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1156-2024</t>
        </is>
      </c>
      <c r="B9711" s="1" t="n">
        <v>45302</v>
      </c>
      <c r="C9711" s="1" t="n">
        <v>45677</v>
      </c>
      <c r="D9711" t="inlineStr">
        <is>
          <t>GÄVLEBORGS LÄN</t>
        </is>
      </c>
      <c r="E9711" t="inlineStr">
        <is>
          <t>SANDVIKEN</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1198-2024</t>
        </is>
      </c>
      <c r="B9712" s="1" t="n">
        <v>45302</v>
      </c>
      <c r="C9712" s="1" t="n">
        <v>45677</v>
      </c>
      <c r="D9712" t="inlineStr">
        <is>
          <t>GÄVLEBORGS LÄN</t>
        </is>
      </c>
      <c r="E9712" t="inlineStr">
        <is>
          <t>OVANÅKER</t>
        </is>
      </c>
      <c r="F9712" t="inlineStr">
        <is>
          <t>Bergvik skog väst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1297-2024</t>
        </is>
      </c>
      <c r="B9713" s="1" t="n">
        <v>45303</v>
      </c>
      <c r="C9713" s="1" t="n">
        <v>45677</v>
      </c>
      <c r="D9713" t="inlineStr">
        <is>
          <t>GÄVLEBORGS LÄN</t>
        </is>
      </c>
      <c r="E9713" t="inlineStr">
        <is>
          <t>HUDIKSVALL</t>
        </is>
      </c>
      <c r="F9713" t="inlineStr">
        <is>
          <t>Holmen skog AB</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1296-2024</t>
        </is>
      </c>
      <c r="B9714" s="1" t="n">
        <v>45303</v>
      </c>
      <c r="C9714" s="1" t="n">
        <v>45677</v>
      </c>
      <c r="D9714" t="inlineStr">
        <is>
          <t>GÄVLEBORGS LÄN</t>
        </is>
      </c>
      <c r="E9714" t="inlineStr">
        <is>
          <t>GÄVLE</t>
        </is>
      </c>
      <c r="F9714" t="inlineStr">
        <is>
          <t>Bergvik skog öst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1308-2024</t>
        </is>
      </c>
      <c r="B9715" s="1" t="n">
        <v>45303</v>
      </c>
      <c r="C9715" s="1" t="n">
        <v>45677</v>
      </c>
      <c r="D9715" t="inlineStr">
        <is>
          <t>GÄVLEBORGS LÄN</t>
        </is>
      </c>
      <c r="E9715" t="inlineStr">
        <is>
          <t>NORDANSTIG</t>
        </is>
      </c>
      <c r="G9715" t="n">
        <v>20.6</v>
      </c>
      <c r="H9715" t="n">
        <v>0</v>
      </c>
      <c r="I9715" t="n">
        <v>0</v>
      </c>
      <c r="J9715" t="n">
        <v>0</v>
      </c>
      <c r="K9715" t="n">
        <v>0</v>
      </c>
      <c r="L9715" t="n">
        <v>0</v>
      </c>
      <c r="M9715" t="n">
        <v>0</v>
      </c>
      <c r="N9715" t="n">
        <v>0</v>
      </c>
      <c r="O9715" t="n">
        <v>0</v>
      </c>
      <c r="P9715" t="n">
        <v>0</v>
      </c>
      <c r="Q9715" t="n">
        <v>0</v>
      </c>
      <c r="R9715" s="2" t="inlineStr"/>
    </row>
    <row r="9716" ht="15" customHeight="1">
      <c r="A9716" t="inlineStr">
        <is>
          <t>A 1406-2024</t>
        </is>
      </c>
      <c r="B9716" s="1" t="n">
        <v>45303</v>
      </c>
      <c r="C9716" s="1" t="n">
        <v>45677</v>
      </c>
      <c r="D9716" t="inlineStr">
        <is>
          <t>GÄVLEBORGS LÄN</t>
        </is>
      </c>
      <c r="E9716" t="inlineStr">
        <is>
          <t>OVANÅKER</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1405-2024</t>
        </is>
      </c>
      <c r="B9717" s="1" t="n">
        <v>45303</v>
      </c>
      <c r="C9717" s="1" t="n">
        <v>45677</v>
      </c>
      <c r="D9717" t="inlineStr">
        <is>
          <t>GÄVLEBORGS LÄN</t>
        </is>
      </c>
      <c r="E9717" t="inlineStr">
        <is>
          <t>OVANÅKER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1409-2024</t>
        </is>
      </c>
      <c r="B9718" s="1" t="n">
        <v>45303</v>
      </c>
      <c r="C9718" s="1" t="n">
        <v>45677</v>
      </c>
      <c r="D9718" t="inlineStr">
        <is>
          <t>GÄVLEBORGS LÄN</t>
        </is>
      </c>
      <c r="E9718" t="inlineStr">
        <is>
          <t>HUDIKSVALL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1294-2024</t>
        </is>
      </c>
      <c r="B9719" s="1" t="n">
        <v>45303</v>
      </c>
      <c r="C9719" s="1" t="n">
        <v>45677</v>
      </c>
      <c r="D9719" t="inlineStr">
        <is>
          <t>GÄVLEBORGS LÄN</t>
        </is>
      </c>
      <c r="E9719" t="inlineStr">
        <is>
          <t>HUDIKSVALL</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1283-2024</t>
        </is>
      </c>
      <c r="B9720" s="1" t="n">
        <v>45303</v>
      </c>
      <c r="C9720" s="1" t="n">
        <v>45677</v>
      </c>
      <c r="D9720" t="inlineStr">
        <is>
          <t>GÄVLEBORGS LÄN</t>
        </is>
      </c>
      <c r="E9720" t="inlineStr">
        <is>
          <t>BOLLNÄS</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1327-2024</t>
        </is>
      </c>
      <c r="B9721" s="1" t="n">
        <v>45303</v>
      </c>
      <c r="C9721" s="1" t="n">
        <v>45677</v>
      </c>
      <c r="D9721" t="inlineStr">
        <is>
          <t>GÄVLEBORGS LÄN</t>
        </is>
      </c>
      <c r="E9721" t="inlineStr">
        <is>
          <t>NORDANSTIG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1331-2024</t>
        </is>
      </c>
      <c r="B9722" s="1" t="n">
        <v>45303</v>
      </c>
      <c r="C9722" s="1" t="n">
        <v>45677</v>
      </c>
      <c r="D9722" t="inlineStr">
        <is>
          <t>GÄVLEBORGS LÄN</t>
        </is>
      </c>
      <c r="E9722" t="inlineStr">
        <is>
          <t>LJUSDAL</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1335-2024</t>
        </is>
      </c>
      <c r="B9723" s="1" t="n">
        <v>45303</v>
      </c>
      <c r="C9723" s="1" t="n">
        <v>45677</v>
      </c>
      <c r="D9723" t="inlineStr">
        <is>
          <t>GÄVLEBORGS LÄN</t>
        </is>
      </c>
      <c r="E9723" t="inlineStr">
        <is>
          <t>LJUSDAL</t>
        </is>
      </c>
      <c r="G9723" t="n">
        <v>13.8</v>
      </c>
      <c r="H9723" t="n">
        <v>0</v>
      </c>
      <c r="I9723" t="n">
        <v>0</v>
      </c>
      <c r="J9723" t="n">
        <v>0</v>
      </c>
      <c r="K9723" t="n">
        <v>0</v>
      </c>
      <c r="L9723" t="n">
        <v>0</v>
      </c>
      <c r="M9723" t="n">
        <v>0</v>
      </c>
      <c r="N9723" t="n">
        <v>0</v>
      </c>
      <c r="O9723" t="n">
        <v>0</v>
      </c>
      <c r="P9723" t="n">
        <v>0</v>
      </c>
      <c r="Q9723" t="n">
        <v>0</v>
      </c>
      <c r="R9723" s="2" t="inlineStr"/>
    </row>
    <row r="9724" ht="15" customHeight="1">
      <c r="A9724" t="inlineStr">
        <is>
          <t>A 1351-2024</t>
        </is>
      </c>
      <c r="B9724" s="1" t="n">
        <v>45303</v>
      </c>
      <c r="C9724" s="1" t="n">
        <v>45677</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1392-2024</t>
        </is>
      </c>
      <c r="B9725" s="1" t="n">
        <v>45303</v>
      </c>
      <c r="C9725" s="1" t="n">
        <v>45677</v>
      </c>
      <c r="D9725" t="inlineStr">
        <is>
          <t>GÄVLEBORGS LÄN</t>
        </is>
      </c>
      <c r="E9725" t="inlineStr">
        <is>
          <t>SANDVIKEN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1408-2024</t>
        </is>
      </c>
      <c r="B9726" s="1" t="n">
        <v>45303</v>
      </c>
      <c r="C9726" s="1" t="n">
        <v>45677</v>
      </c>
      <c r="D9726" t="inlineStr">
        <is>
          <t>GÄVLEBORGS LÄN</t>
        </is>
      </c>
      <c r="E9726" t="inlineStr">
        <is>
          <t>SANDVIKEN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1526-2024</t>
        </is>
      </c>
      <c r="B9727" s="1" t="n">
        <v>45306</v>
      </c>
      <c r="C9727" s="1" t="n">
        <v>45677</v>
      </c>
      <c r="D9727" t="inlineStr">
        <is>
          <t>GÄVLEBORGS LÄN</t>
        </is>
      </c>
      <c r="E9727" t="inlineStr">
        <is>
          <t>NORDANSTIG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1530-2024</t>
        </is>
      </c>
      <c r="B9728" s="1" t="n">
        <v>45306</v>
      </c>
      <c r="C9728" s="1" t="n">
        <v>45677</v>
      </c>
      <c r="D9728" t="inlineStr">
        <is>
          <t>GÄVLEBORGS LÄN</t>
        </is>
      </c>
      <c r="E9728" t="inlineStr">
        <is>
          <t>OVANÅKER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1532-2024</t>
        </is>
      </c>
      <c r="B9729" s="1" t="n">
        <v>45306</v>
      </c>
      <c r="C9729" s="1" t="n">
        <v>45677</v>
      </c>
      <c r="D9729" t="inlineStr">
        <is>
          <t>GÄVLEBORGS LÄN</t>
        </is>
      </c>
      <c r="E9729" t="inlineStr">
        <is>
          <t>NORDANSTIG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1570-2024</t>
        </is>
      </c>
      <c r="B9730" s="1" t="n">
        <v>45306</v>
      </c>
      <c r="C9730" s="1" t="n">
        <v>45677</v>
      </c>
      <c r="D9730" t="inlineStr">
        <is>
          <t>GÄVLEBORGS LÄN</t>
        </is>
      </c>
      <c r="E9730" t="inlineStr">
        <is>
          <t>OVANÅKER</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1505-2024</t>
        </is>
      </c>
      <c r="B9731" s="1" t="n">
        <v>45306</v>
      </c>
      <c r="C9731" s="1" t="n">
        <v>45677</v>
      </c>
      <c r="D9731" t="inlineStr">
        <is>
          <t>GÄVLEBORGS LÄN</t>
        </is>
      </c>
      <c r="E9731" t="inlineStr">
        <is>
          <t>OVANÅKER</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1525-2024</t>
        </is>
      </c>
      <c r="B9732" s="1" t="n">
        <v>45306</v>
      </c>
      <c r="C9732" s="1" t="n">
        <v>45677</v>
      </c>
      <c r="D9732" t="inlineStr">
        <is>
          <t>GÄVLEBORGS LÄN</t>
        </is>
      </c>
      <c r="E9732" t="inlineStr">
        <is>
          <t>NORDANSTIG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1573-2024</t>
        </is>
      </c>
      <c r="B9733" s="1" t="n">
        <v>45306</v>
      </c>
      <c r="C9733" s="1" t="n">
        <v>45677</v>
      </c>
      <c r="D9733" t="inlineStr">
        <is>
          <t>GÄVLEBORGS LÄN</t>
        </is>
      </c>
      <c r="E9733" t="inlineStr">
        <is>
          <t>HUDIKSVALL</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1594-2024</t>
        </is>
      </c>
      <c r="B9734" s="1" t="n">
        <v>45306</v>
      </c>
      <c r="C9734" s="1" t="n">
        <v>45677</v>
      </c>
      <c r="D9734" t="inlineStr">
        <is>
          <t>GÄVLEBORGS LÄN</t>
        </is>
      </c>
      <c r="E9734" t="inlineStr">
        <is>
          <t>GÄVLE</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1606-2024</t>
        </is>
      </c>
      <c r="B9735" s="1" t="n">
        <v>45306</v>
      </c>
      <c r="C9735" s="1" t="n">
        <v>45677</v>
      </c>
      <c r="D9735" t="inlineStr">
        <is>
          <t>GÄVLEBORGS LÄN</t>
        </is>
      </c>
      <c r="E9735" t="inlineStr">
        <is>
          <t>HOFORS</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1618-2024</t>
        </is>
      </c>
      <c r="B9736" s="1" t="n">
        <v>45306</v>
      </c>
      <c r="C9736" s="1" t="n">
        <v>45677</v>
      </c>
      <c r="D9736" t="inlineStr">
        <is>
          <t>GÄVLEBORGS LÄN</t>
        </is>
      </c>
      <c r="E9736" t="inlineStr">
        <is>
          <t>LJUSDAL</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1642-2024</t>
        </is>
      </c>
      <c r="B9737" s="1" t="n">
        <v>45306</v>
      </c>
      <c r="C9737" s="1" t="n">
        <v>45677</v>
      </c>
      <c r="D9737" t="inlineStr">
        <is>
          <t>GÄVLEBORGS LÄN</t>
        </is>
      </c>
      <c r="E9737" t="inlineStr">
        <is>
          <t>BOLLNÄS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1603-2024</t>
        </is>
      </c>
      <c r="B9738" s="1" t="n">
        <v>45306</v>
      </c>
      <c r="C9738" s="1" t="n">
        <v>45677</v>
      </c>
      <c r="D9738" t="inlineStr">
        <is>
          <t>GÄVLEBORGS LÄN</t>
        </is>
      </c>
      <c r="E9738" t="inlineStr">
        <is>
          <t>HUDIKSVALL</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1635-2024</t>
        </is>
      </c>
      <c r="B9739" s="1" t="n">
        <v>45306</v>
      </c>
      <c r="C9739" s="1" t="n">
        <v>45677</v>
      </c>
      <c r="D9739" t="inlineStr">
        <is>
          <t>GÄVLEBORGS LÄN</t>
        </is>
      </c>
      <c r="E9739" t="inlineStr">
        <is>
          <t>OVANÅKER</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1639-2024</t>
        </is>
      </c>
      <c r="B9740" s="1" t="n">
        <v>45306</v>
      </c>
      <c r="C9740" s="1" t="n">
        <v>45677</v>
      </c>
      <c r="D9740" t="inlineStr">
        <is>
          <t>GÄVLEBORGS LÄN</t>
        </is>
      </c>
      <c r="E9740" t="inlineStr">
        <is>
          <t>OVANÅKER</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1655-2024</t>
        </is>
      </c>
      <c r="B9741" s="1" t="n">
        <v>45306</v>
      </c>
      <c r="C9741" s="1" t="n">
        <v>45677</v>
      </c>
      <c r="D9741" t="inlineStr">
        <is>
          <t>GÄVLEBORGS LÄN</t>
        </is>
      </c>
      <c r="E9741" t="inlineStr">
        <is>
          <t>BOLLNÄS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1632-2024</t>
        </is>
      </c>
      <c r="B9742" s="1" t="n">
        <v>45306</v>
      </c>
      <c r="C9742" s="1" t="n">
        <v>45677</v>
      </c>
      <c r="D9742" t="inlineStr">
        <is>
          <t>GÄVLEBORGS LÄN</t>
        </is>
      </c>
      <c r="E9742" t="inlineStr">
        <is>
          <t>OVANÅKER</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1728-2024</t>
        </is>
      </c>
      <c r="B9743" s="1" t="n">
        <v>45307</v>
      </c>
      <c r="C9743" s="1" t="n">
        <v>45677</v>
      </c>
      <c r="D9743" t="inlineStr">
        <is>
          <t>GÄVLEBORGS LÄN</t>
        </is>
      </c>
      <c r="E9743" t="inlineStr">
        <is>
          <t>BOLLNÄS</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1731-2024</t>
        </is>
      </c>
      <c r="B9744" s="1" t="n">
        <v>45307</v>
      </c>
      <c r="C9744" s="1" t="n">
        <v>45677</v>
      </c>
      <c r="D9744" t="inlineStr">
        <is>
          <t>GÄVLEBORGS LÄN</t>
        </is>
      </c>
      <c r="E9744" t="inlineStr">
        <is>
          <t>OVANÅKER</t>
        </is>
      </c>
      <c r="F9744" t="inlineStr">
        <is>
          <t>Bergvik skog öst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1735-2024</t>
        </is>
      </c>
      <c r="B9745" s="1" t="n">
        <v>45307</v>
      </c>
      <c r="C9745" s="1" t="n">
        <v>45677</v>
      </c>
      <c r="D9745" t="inlineStr">
        <is>
          <t>GÄVLEBORGS LÄN</t>
        </is>
      </c>
      <c r="E9745" t="inlineStr">
        <is>
          <t>BOLLNÄS</t>
        </is>
      </c>
      <c r="G9745" t="n">
        <v>9.9</v>
      </c>
      <c r="H9745" t="n">
        <v>0</v>
      </c>
      <c r="I9745" t="n">
        <v>0</v>
      </c>
      <c r="J9745" t="n">
        <v>0</v>
      </c>
      <c r="K9745" t="n">
        <v>0</v>
      </c>
      <c r="L9745" t="n">
        <v>0</v>
      </c>
      <c r="M9745" t="n">
        <v>0</v>
      </c>
      <c r="N9745" t="n">
        <v>0</v>
      </c>
      <c r="O9745" t="n">
        <v>0</v>
      </c>
      <c r="P9745" t="n">
        <v>0</v>
      </c>
      <c r="Q9745" t="n">
        <v>0</v>
      </c>
      <c r="R9745" s="2" t="inlineStr"/>
    </row>
    <row r="9746" ht="15" customHeight="1">
      <c r="A9746" t="inlineStr">
        <is>
          <t>A 1759-2024</t>
        </is>
      </c>
      <c r="B9746" s="1" t="n">
        <v>45307</v>
      </c>
      <c r="C9746" s="1" t="n">
        <v>45677</v>
      </c>
      <c r="D9746" t="inlineStr">
        <is>
          <t>GÄVLEBORGS LÄN</t>
        </is>
      </c>
      <c r="E9746" t="inlineStr">
        <is>
          <t>BOLLNÄS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1771-2024</t>
        </is>
      </c>
      <c r="B9747" s="1" t="n">
        <v>45307</v>
      </c>
      <c r="C9747" s="1" t="n">
        <v>45677</v>
      </c>
      <c r="D9747" t="inlineStr">
        <is>
          <t>GÄVLEBORGS LÄN</t>
        </is>
      </c>
      <c r="E9747" t="inlineStr">
        <is>
          <t>HUDIKSVALL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1820-2024</t>
        </is>
      </c>
      <c r="B9748" s="1" t="n">
        <v>45307</v>
      </c>
      <c r="C9748" s="1" t="n">
        <v>45677</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1805-2024</t>
        </is>
      </c>
      <c r="B9749" s="1" t="n">
        <v>45307</v>
      </c>
      <c r="C9749" s="1" t="n">
        <v>45677</v>
      </c>
      <c r="D9749" t="inlineStr">
        <is>
          <t>GÄVLEBORGS LÄN</t>
        </is>
      </c>
      <c r="E9749" t="inlineStr">
        <is>
          <t>HOFORS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1882-2024</t>
        </is>
      </c>
      <c r="B9750" s="1" t="n">
        <v>45308</v>
      </c>
      <c r="C9750" s="1" t="n">
        <v>45677</v>
      </c>
      <c r="D9750" t="inlineStr">
        <is>
          <t>GÄVLEBORGS LÄN</t>
        </is>
      </c>
      <c r="E9750" t="inlineStr">
        <is>
          <t>GÄVLE</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1893-2024</t>
        </is>
      </c>
      <c r="B9751" s="1" t="n">
        <v>45308</v>
      </c>
      <c r="C9751" s="1" t="n">
        <v>45677</v>
      </c>
      <c r="D9751" t="inlineStr">
        <is>
          <t>GÄVLEBORGS LÄN</t>
        </is>
      </c>
      <c r="E9751" t="inlineStr">
        <is>
          <t>HOFORS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1892-2024</t>
        </is>
      </c>
      <c r="B9752" s="1" t="n">
        <v>45308</v>
      </c>
      <c r="C9752" s="1" t="n">
        <v>45677</v>
      </c>
      <c r="D9752" t="inlineStr">
        <is>
          <t>GÄVLEBORGS LÄN</t>
        </is>
      </c>
      <c r="E9752" t="inlineStr">
        <is>
          <t>OVANÅKER</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1907-2024</t>
        </is>
      </c>
      <c r="B9753" s="1" t="n">
        <v>45308</v>
      </c>
      <c r="C9753" s="1" t="n">
        <v>45677</v>
      </c>
      <c r="D9753" t="inlineStr">
        <is>
          <t>GÄVLEBORGS LÄN</t>
        </is>
      </c>
      <c r="E9753" t="inlineStr">
        <is>
          <t>OVANÅKER</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2141-2024</t>
        </is>
      </c>
      <c r="B9754" s="1" t="n">
        <v>45309</v>
      </c>
      <c r="C9754" s="1" t="n">
        <v>45677</v>
      </c>
      <c r="D9754" t="inlineStr">
        <is>
          <t>GÄVLEBORGS LÄN</t>
        </is>
      </c>
      <c r="E9754" t="inlineStr">
        <is>
          <t>NORDANSTIG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2120-2024</t>
        </is>
      </c>
      <c r="B9755" s="1" t="n">
        <v>45309</v>
      </c>
      <c r="C9755" s="1" t="n">
        <v>45677</v>
      </c>
      <c r="D9755" t="inlineStr">
        <is>
          <t>GÄVLEBORGS LÄN</t>
        </is>
      </c>
      <c r="E9755" t="inlineStr">
        <is>
          <t>HUDIKSVALL</t>
        </is>
      </c>
      <c r="F9755" t="inlineStr">
        <is>
          <t>Holmen skog AB</t>
        </is>
      </c>
      <c r="G9755" t="n">
        <v>10.9</v>
      </c>
      <c r="H9755" t="n">
        <v>0</v>
      </c>
      <c r="I9755" t="n">
        <v>0</v>
      </c>
      <c r="J9755" t="n">
        <v>0</v>
      </c>
      <c r="K9755" t="n">
        <v>0</v>
      </c>
      <c r="L9755" t="n">
        <v>0</v>
      </c>
      <c r="M9755" t="n">
        <v>0</v>
      </c>
      <c r="N9755" t="n">
        <v>0</v>
      </c>
      <c r="O9755" t="n">
        <v>0</v>
      </c>
      <c r="P9755" t="n">
        <v>0</v>
      </c>
      <c r="Q9755" t="n">
        <v>0</v>
      </c>
      <c r="R9755" s="2" t="inlineStr"/>
    </row>
    <row r="9756" ht="15" customHeight="1">
      <c r="A9756" t="inlineStr">
        <is>
          <t>A 2149-2024</t>
        </is>
      </c>
      <c r="B9756" s="1" t="n">
        <v>45309</v>
      </c>
      <c r="C9756" s="1" t="n">
        <v>45677</v>
      </c>
      <c r="D9756" t="inlineStr">
        <is>
          <t>GÄVLEBORGS LÄN</t>
        </is>
      </c>
      <c r="E9756" t="inlineStr">
        <is>
          <t>NORDANSTIG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2074-2024</t>
        </is>
      </c>
      <c r="B9757" s="1" t="n">
        <v>45309</v>
      </c>
      <c r="C9757" s="1" t="n">
        <v>45677</v>
      </c>
      <c r="D9757" t="inlineStr">
        <is>
          <t>GÄVLEBORGS LÄN</t>
        </is>
      </c>
      <c r="E9757" t="inlineStr">
        <is>
          <t>LJUSDAL</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2160-2024</t>
        </is>
      </c>
      <c r="B9758" s="1" t="n">
        <v>45309</v>
      </c>
      <c r="C9758" s="1" t="n">
        <v>45677</v>
      </c>
      <c r="D9758" t="inlineStr">
        <is>
          <t>GÄVLEBORGS LÄN</t>
        </is>
      </c>
      <c r="E9758" t="inlineStr">
        <is>
          <t>HUDIKSVALL</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2113-2024</t>
        </is>
      </c>
      <c r="B9759" s="1" t="n">
        <v>45309</v>
      </c>
      <c r="C9759" s="1" t="n">
        <v>45677</v>
      </c>
      <c r="D9759" t="inlineStr">
        <is>
          <t>GÄVLEBORGS LÄN</t>
        </is>
      </c>
      <c r="E9759" t="inlineStr">
        <is>
          <t>SANDVIKEN</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2117-2024</t>
        </is>
      </c>
      <c r="B9760" s="1" t="n">
        <v>45309</v>
      </c>
      <c r="C9760" s="1" t="n">
        <v>45677</v>
      </c>
      <c r="D9760" t="inlineStr">
        <is>
          <t>GÄVLEBORGS LÄN</t>
        </is>
      </c>
      <c r="E9760" t="inlineStr">
        <is>
          <t>SANDVIKEN</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2125-2024</t>
        </is>
      </c>
      <c r="B9761" s="1" t="n">
        <v>45309</v>
      </c>
      <c r="C9761" s="1" t="n">
        <v>45677</v>
      </c>
      <c r="D9761" t="inlineStr">
        <is>
          <t>GÄVLEBORGS LÄN</t>
        </is>
      </c>
      <c r="E9761" t="inlineStr">
        <is>
          <t>HUDIKSVALL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2123-2024</t>
        </is>
      </c>
      <c r="B9762" s="1" t="n">
        <v>45309</v>
      </c>
      <c r="C9762" s="1" t="n">
        <v>45677</v>
      </c>
      <c r="D9762" t="inlineStr">
        <is>
          <t>GÄVLEBORGS LÄN</t>
        </is>
      </c>
      <c r="E9762" t="inlineStr">
        <is>
          <t>SANDVIKEN</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2127-2024</t>
        </is>
      </c>
      <c r="B9763" s="1" t="n">
        <v>45309</v>
      </c>
      <c r="C9763" s="1" t="n">
        <v>45677</v>
      </c>
      <c r="D9763" t="inlineStr">
        <is>
          <t>GÄVLEBORGS LÄN</t>
        </is>
      </c>
      <c r="E9763" t="inlineStr">
        <is>
          <t>HUDIKSVALL</t>
        </is>
      </c>
      <c r="F9763" t="inlineStr">
        <is>
          <t>Holmen skog AB</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2254-2024</t>
        </is>
      </c>
      <c r="B9764" s="1" t="n">
        <v>45310</v>
      </c>
      <c r="C9764" s="1" t="n">
        <v>45677</v>
      </c>
      <c r="D9764" t="inlineStr">
        <is>
          <t>GÄVLEBORGS LÄN</t>
        </is>
      </c>
      <c r="E9764" t="inlineStr">
        <is>
          <t>BOLLNÄS</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2303-2024</t>
        </is>
      </c>
      <c r="B9765" s="1" t="n">
        <v>45310</v>
      </c>
      <c r="C9765" s="1" t="n">
        <v>45677</v>
      </c>
      <c r="D9765" t="inlineStr">
        <is>
          <t>GÄVLEBORGS LÄN</t>
        </is>
      </c>
      <c r="E9765" t="inlineStr">
        <is>
          <t>OVANÅKER</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2311-2024</t>
        </is>
      </c>
      <c r="B9766" s="1" t="n">
        <v>45310</v>
      </c>
      <c r="C9766" s="1" t="n">
        <v>45677</v>
      </c>
      <c r="D9766" t="inlineStr">
        <is>
          <t>GÄVLEBORGS LÄN</t>
        </is>
      </c>
      <c r="E9766" t="inlineStr">
        <is>
          <t>BOLLNÄS</t>
        </is>
      </c>
      <c r="F9766" t="inlineStr">
        <is>
          <t>Övriga statliga verk och myndigheter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2297-2024</t>
        </is>
      </c>
      <c r="B9767" s="1" t="n">
        <v>45310</v>
      </c>
      <c r="C9767" s="1" t="n">
        <v>45677</v>
      </c>
      <c r="D9767" t="inlineStr">
        <is>
          <t>GÄVLEBORGS LÄN</t>
        </is>
      </c>
      <c r="E9767" t="inlineStr">
        <is>
          <t>BOLLNÄS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2348-2024</t>
        </is>
      </c>
      <c r="B9768" s="1" t="n">
        <v>45310</v>
      </c>
      <c r="C9768" s="1" t="n">
        <v>45677</v>
      </c>
      <c r="D9768" t="inlineStr">
        <is>
          <t>GÄVLEBORGS LÄN</t>
        </is>
      </c>
      <c r="E9768" t="inlineStr">
        <is>
          <t>BOLLNÄS</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2367-2024</t>
        </is>
      </c>
      <c r="B9769" s="1" t="n">
        <v>45310</v>
      </c>
      <c r="C9769" s="1" t="n">
        <v>45677</v>
      </c>
      <c r="D9769" t="inlineStr">
        <is>
          <t>GÄVLEBORGS LÄN</t>
        </is>
      </c>
      <c r="E9769" t="inlineStr">
        <is>
          <t>LJUSDAL</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2345-2024</t>
        </is>
      </c>
      <c r="B9770" s="1" t="n">
        <v>45310</v>
      </c>
      <c r="C9770" s="1" t="n">
        <v>45677</v>
      </c>
      <c r="D9770" t="inlineStr">
        <is>
          <t>GÄVLEBORGS LÄN</t>
        </is>
      </c>
      <c r="E9770" t="inlineStr">
        <is>
          <t>BOLLNÄS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2416-2024</t>
        </is>
      </c>
      <c r="B9771" s="1" t="n">
        <v>45310</v>
      </c>
      <c r="C9771" s="1" t="n">
        <v>45677</v>
      </c>
      <c r="D9771" t="inlineStr">
        <is>
          <t>GÄVLEBORGS LÄN</t>
        </is>
      </c>
      <c r="E9771" t="inlineStr">
        <is>
          <t>HUDIKSVALL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2396-2024</t>
        </is>
      </c>
      <c r="B9772" s="1" t="n">
        <v>45310</v>
      </c>
      <c r="C9772" s="1" t="n">
        <v>45677</v>
      </c>
      <c r="D9772" t="inlineStr">
        <is>
          <t>GÄVLEBORGS LÄN</t>
        </is>
      </c>
      <c r="E9772" t="inlineStr">
        <is>
          <t>LJUSDAL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2418-2024</t>
        </is>
      </c>
      <c r="B9773" s="1" t="n">
        <v>45310</v>
      </c>
      <c r="C9773" s="1" t="n">
        <v>45677</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2458-2024</t>
        </is>
      </c>
      <c r="B9774" s="1" t="n">
        <v>45312</v>
      </c>
      <c r="C9774" s="1" t="n">
        <v>45677</v>
      </c>
      <c r="D9774" t="inlineStr">
        <is>
          <t>GÄVLEBORGS LÄN</t>
        </is>
      </c>
      <c r="E9774" t="inlineStr">
        <is>
          <t>GÄVLE</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2457-2024</t>
        </is>
      </c>
      <c r="B9775" s="1" t="n">
        <v>45312</v>
      </c>
      <c r="C9775" s="1" t="n">
        <v>45677</v>
      </c>
      <c r="D9775" t="inlineStr">
        <is>
          <t>GÄVLEBORGS LÄN</t>
        </is>
      </c>
      <c r="E9775" t="inlineStr">
        <is>
          <t>GÄVLE</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2461-2024</t>
        </is>
      </c>
      <c r="B9776" s="1" t="n">
        <v>45312</v>
      </c>
      <c r="C9776" s="1" t="n">
        <v>45677</v>
      </c>
      <c r="D9776" t="inlineStr">
        <is>
          <t>GÄVLEBORGS LÄN</t>
        </is>
      </c>
      <c r="E9776" t="inlineStr">
        <is>
          <t>GÄVLE</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2518-2024</t>
        </is>
      </c>
      <c r="B9777" s="1" t="n">
        <v>45313</v>
      </c>
      <c r="C9777" s="1" t="n">
        <v>45677</v>
      </c>
      <c r="D9777" t="inlineStr">
        <is>
          <t>GÄVLEBORGS LÄN</t>
        </is>
      </c>
      <c r="E9777" t="inlineStr">
        <is>
          <t>OCKELBO</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2566-2024</t>
        </is>
      </c>
      <c r="B9778" s="1" t="n">
        <v>45313</v>
      </c>
      <c r="C9778" s="1" t="n">
        <v>45677</v>
      </c>
      <c r="D9778" t="inlineStr">
        <is>
          <t>GÄVLEBORGS LÄN</t>
        </is>
      </c>
      <c r="E9778" t="inlineStr">
        <is>
          <t>NORDANSTIG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2618-2024</t>
        </is>
      </c>
      <c r="B9779" s="1" t="n">
        <v>45313</v>
      </c>
      <c r="C9779" s="1" t="n">
        <v>45677</v>
      </c>
      <c r="D9779" t="inlineStr">
        <is>
          <t>GÄVLEBORGS LÄN</t>
        </is>
      </c>
      <c r="E9779" t="inlineStr">
        <is>
          <t>HUDIKSVALL</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2573-2024</t>
        </is>
      </c>
      <c r="B9780" s="1" t="n">
        <v>45313</v>
      </c>
      <c r="C9780" s="1" t="n">
        <v>45677</v>
      </c>
      <c r="D9780" t="inlineStr">
        <is>
          <t>GÄVLEBORGS LÄN</t>
        </is>
      </c>
      <c r="E9780" t="inlineStr">
        <is>
          <t>NORDANSTIG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2569-2024</t>
        </is>
      </c>
      <c r="B9781" s="1" t="n">
        <v>45313</v>
      </c>
      <c r="C9781" s="1" t="n">
        <v>45677</v>
      </c>
      <c r="D9781" t="inlineStr">
        <is>
          <t>GÄVLEBORGS LÄN</t>
        </is>
      </c>
      <c r="E9781" t="inlineStr">
        <is>
          <t>NORDANSTIG</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2644-2024</t>
        </is>
      </c>
      <c r="B9782" s="1" t="n">
        <v>45314</v>
      </c>
      <c r="C9782" s="1" t="n">
        <v>45677</v>
      </c>
      <c r="D9782" t="inlineStr">
        <is>
          <t>GÄVLEBORGS LÄN</t>
        </is>
      </c>
      <c r="E9782" t="inlineStr">
        <is>
          <t>SÖDERHAMN</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2648-2024</t>
        </is>
      </c>
      <c r="B9783" s="1" t="n">
        <v>45314</v>
      </c>
      <c r="C9783" s="1" t="n">
        <v>45677</v>
      </c>
      <c r="D9783" t="inlineStr">
        <is>
          <t>GÄVLEBORGS LÄN</t>
        </is>
      </c>
      <c r="E9783" t="inlineStr">
        <is>
          <t>HUDIKSVALL</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2652-2024</t>
        </is>
      </c>
      <c r="B9784" s="1" t="n">
        <v>45314</v>
      </c>
      <c r="C9784" s="1" t="n">
        <v>45677</v>
      </c>
      <c r="D9784" t="inlineStr">
        <is>
          <t>GÄVLEBORGS LÄN</t>
        </is>
      </c>
      <c r="E9784" t="inlineStr">
        <is>
          <t>HUDIKSVALL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2656-2024</t>
        </is>
      </c>
      <c r="B9785" s="1" t="n">
        <v>45314</v>
      </c>
      <c r="C9785" s="1" t="n">
        <v>45677</v>
      </c>
      <c r="D9785" t="inlineStr">
        <is>
          <t>GÄVLEBORGS LÄN</t>
        </is>
      </c>
      <c r="E9785" t="inlineStr">
        <is>
          <t>HUDIKSVALL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2661-2024</t>
        </is>
      </c>
      <c r="B9786" s="1" t="n">
        <v>45314</v>
      </c>
      <c r="C9786" s="1" t="n">
        <v>45677</v>
      </c>
      <c r="D9786" t="inlineStr">
        <is>
          <t>GÄVLEBORGS LÄN</t>
        </is>
      </c>
      <c r="E9786" t="inlineStr">
        <is>
          <t>HUDIKSVALL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2654-2024</t>
        </is>
      </c>
      <c r="B9787" s="1" t="n">
        <v>45314</v>
      </c>
      <c r="C9787" s="1" t="n">
        <v>45677</v>
      </c>
      <c r="D9787" t="inlineStr">
        <is>
          <t>GÄVLEBORGS LÄN</t>
        </is>
      </c>
      <c r="E9787" t="inlineStr">
        <is>
          <t>HUDIKSVALL</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2658-2024</t>
        </is>
      </c>
      <c r="B9788" s="1" t="n">
        <v>45314</v>
      </c>
      <c r="C9788" s="1" t="n">
        <v>45677</v>
      </c>
      <c r="D9788" t="inlineStr">
        <is>
          <t>GÄVLEBORGS LÄN</t>
        </is>
      </c>
      <c r="E9788" t="inlineStr">
        <is>
          <t>HUDIKSVALL</t>
        </is>
      </c>
      <c r="F9788" t="inlineStr">
        <is>
          <t>Holmen skog AB</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2677-2024</t>
        </is>
      </c>
      <c r="B9789" s="1" t="n">
        <v>45314</v>
      </c>
      <c r="C9789" s="1" t="n">
        <v>45677</v>
      </c>
      <c r="D9789" t="inlineStr">
        <is>
          <t>GÄVLEBORGS LÄN</t>
        </is>
      </c>
      <c r="E9789" t="inlineStr">
        <is>
          <t>HUDIKSVALL</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2695-2024</t>
        </is>
      </c>
      <c r="B9790" s="1" t="n">
        <v>45314</v>
      </c>
      <c r="C9790" s="1" t="n">
        <v>45677</v>
      </c>
      <c r="D9790" t="inlineStr">
        <is>
          <t>GÄVLEBORGS LÄN</t>
        </is>
      </c>
      <c r="E9790" t="inlineStr">
        <is>
          <t>HUDIKSVALL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2707-2024</t>
        </is>
      </c>
      <c r="B9791" s="1" t="n">
        <v>45314</v>
      </c>
      <c r="C9791" s="1" t="n">
        <v>45677</v>
      </c>
      <c r="D9791" t="inlineStr">
        <is>
          <t>GÄVLEBORGS LÄN</t>
        </is>
      </c>
      <c r="E9791" t="inlineStr">
        <is>
          <t>HUDIKSVALL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2651-2024</t>
        </is>
      </c>
      <c r="B9792" s="1" t="n">
        <v>45314</v>
      </c>
      <c r="C9792" s="1" t="n">
        <v>45677</v>
      </c>
      <c r="D9792" t="inlineStr">
        <is>
          <t>GÄVLEBORGS LÄN</t>
        </is>
      </c>
      <c r="E9792" t="inlineStr">
        <is>
          <t>HUDIKSVALL</t>
        </is>
      </c>
      <c r="F9792" t="inlineStr">
        <is>
          <t>Holmen skog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2760-2024</t>
        </is>
      </c>
      <c r="B9793" s="1" t="n">
        <v>45314</v>
      </c>
      <c r="C9793" s="1" t="n">
        <v>45677</v>
      </c>
      <c r="D9793" t="inlineStr">
        <is>
          <t>GÄVLEBORGS LÄN</t>
        </is>
      </c>
      <c r="E9793" t="inlineStr">
        <is>
          <t>HUDIKSVALL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2685-2024</t>
        </is>
      </c>
      <c r="B9794" s="1" t="n">
        <v>45314</v>
      </c>
      <c r="C9794" s="1" t="n">
        <v>45677</v>
      </c>
      <c r="D9794" t="inlineStr">
        <is>
          <t>GÄVLEBORGS LÄN</t>
        </is>
      </c>
      <c r="E9794" t="inlineStr">
        <is>
          <t>HUDIKSVALL</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2645-2024</t>
        </is>
      </c>
      <c r="B9795" s="1" t="n">
        <v>45314</v>
      </c>
      <c r="C9795" s="1" t="n">
        <v>45677</v>
      </c>
      <c r="D9795" t="inlineStr">
        <is>
          <t>GÄVLEBORGS LÄN</t>
        </is>
      </c>
      <c r="E9795" t="inlineStr">
        <is>
          <t>HUDIKSVALL</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2805-2024</t>
        </is>
      </c>
      <c r="B9796" s="1" t="n">
        <v>45314</v>
      </c>
      <c r="C9796" s="1" t="n">
        <v>45677</v>
      </c>
      <c r="D9796" t="inlineStr">
        <is>
          <t>GÄVLEBORGS LÄN</t>
        </is>
      </c>
      <c r="E9796" t="inlineStr">
        <is>
          <t>SANDVIKEN</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2911-2024</t>
        </is>
      </c>
      <c r="B9797" s="1" t="n">
        <v>45315</v>
      </c>
      <c r="C9797" s="1" t="n">
        <v>45677</v>
      </c>
      <c r="D9797" t="inlineStr">
        <is>
          <t>GÄVLEBORGS LÄN</t>
        </is>
      </c>
      <c r="E9797" t="inlineStr">
        <is>
          <t>OVANÅKER</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2894-2024</t>
        </is>
      </c>
      <c r="B9798" s="1" t="n">
        <v>45315</v>
      </c>
      <c r="C9798" s="1" t="n">
        <v>45677</v>
      </c>
      <c r="D9798" t="inlineStr">
        <is>
          <t>GÄVLEBORGS LÄN</t>
        </is>
      </c>
      <c r="E9798" t="inlineStr">
        <is>
          <t>LJUSDAL</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2912-2024</t>
        </is>
      </c>
      <c r="B9799" s="1" t="n">
        <v>45315</v>
      </c>
      <c r="C9799" s="1" t="n">
        <v>45677</v>
      </c>
      <c r="D9799" t="inlineStr">
        <is>
          <t>GÄVLEBORGS LÄN</t>
        </is>
      </c>
      <c r="E9799" t="inlineStr">
        <is>
          <t>OVANÅKER</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2924-2024</t>
        </is>
      </c>
      <c r="B9800" s="1" t="n">
        <v>45315</v>
      </c>
      <c r="C9800" s="1" t="n">
        <v>45677</v>
      </c>
      <c r="D9800" t="inlineStr">
        <is>
          <t>GÄVLEBORGS LÄN</t>
        </is>
      </c>
      <c r="E9800" t="inlineStr">
        <is>
          <t>OCKELBO</t>
        </is>
      </c>
      <c r="F9800" t="inlineStr">
        <is>
          <t>Bergvik skog väst AB</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2932-2024</t>
        </is>
      </c>
      <c r="B9801" s="1" t="n">
        <v>45315</v>
      </c>
      <c r="C9801" s="1" t="n">
        <v>45677</v>
      </c>
      <c r="D9801" t="inlineStr">
        <is>
          <t>GÄVLEBORGS LÄN</t>
        </is>
      </c>
      <c r="E9801" t="inlineStr">
        <is>
          <t>BOLLNÄS</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2985-2024</t>
        </is>
      </c>
      <c r="B9802" s="1" t="n">
        <v>45315</v>
      </c>
      <c r="C9802" s="1" t="n">
        <v>45677</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2986-2024</t>
        </is>
      </c>
      <c r="B9803" s="1" t="n">
        <v>45315</v>
      </c>
      <c r="C9803" s="1" t="n">
        <v>45677</v>
      </c>
      <c r="D9803" t="inlineStr">
        <is>
          <t>GÄVLEBORGS LÄN</t>
        </is>
      </c>
      <c r="E9803" t="inlineStr">
        <is>
          <t>LJUSDAL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2909-2024</t>
        </is>
      </c>
      <c r="B9804" s="1" t="n">
        <v>45315</v>
      </c>
      <c r="C9804" s="1" t="n">
        <v>45677</v>
      </c>
      <c r="D9804" t="inlineStr">
        <is>
          <t>GÄVLEBORGS LÄN</t>
        </is>
      </c>
      <c r="E9804" t="inlineStr">
        <is>
          <t>LJUSDAL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3171-2024</t>
        </is>
      </c>
      <c r="B9805" s="1" t="n">
        <v>45316</v>
      </c>
      <c r="C9805" s="1" t="n">
        <v>45677</v>
      </c>
      <c r="D9805" t="inlineStr">
        <is>
          <t>GÄVLEBORGS LÄN</t>
        </is>
      </c>
      <c r="E9805" t="inlineStr">
        <is>
          <t>OCKELBO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3193-2024</t>
        </is>
      </c>
      <c r="B9806" s="1" t="n">
        <v>45316</v>
      </c>
      <c r="C9806" s="1" t="n">
        <v>45677</v>
      </c>
      <c r="D9806" t="inlineStr">
        <is>
          <t>GÄVLEBORGS LÄN</t>
        </is>
      </c>
      <c r="E9806" t="inlineStr">
        <is>
          <t>LJUSDAL</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3316-2024</t>
        </is>
      </c>
      <c r="B9807" s="1" t="n">
        <v>45317</v>
      </c>
      <c r="C9807" s="1" t="n">
        <v>45677</v>
      </c>
      <c r="D9807" t="inlineStr">
        <is>
          <t>GÄVLEBORGS LÄN</t>
        </is>
      </c>
      <c r="E9807" t="inlineStr">
        <is>
          <t>SÖDERHAMN</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3334-2024</t>
        </is>
      </c>
      <c r="B9808" s="1" t="n">
        <v>45317</v>
      </c>
      <c r="C9808" s="1" t="n">
        <v>45677</v>
      </c>
      <c r="D9808" t="inlineStr">
        <is>
          <t>GÄVLEBORGS LÄN</t>
        </is>
      </c>
      <c r="E9808" t="inlineStr">
        <is>
          <t>GÄVLE</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3297-2024</t>
        </is>
      </c>
      <c r="B9809" s="1" t="n">
        <v>45317</v>
      </c>
      <c r="C9809" s="1" t="n">
        <v>45677</v>
      </c>
      <c r="D9809" t="inlineStr">
        <is>
          <t>GÄVLEBORGS LÄN</t>
        </is>
      </c>
      <c r="E9809" t="inlineStr">
        <is>
          <t>HUDIKSVALL</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3267-2024</t>
        </is>
      </c>
      <c r="B9810" s="1" t="n">
        <v>45317</v>
      </c>
      <c r="C9810" s="1" t="n">
        <v>45677</v>
      </c>
      <c r="D9810" t="inlineStr">
        <is>
          <t>GÄVLEBORGS LÄN</t>
        </is>
      </c>
      <c r="E9810" t="inlineStr">
        <is>
          <t>LJUSDAL</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3287-2024</t>
        </is>
      </c>
      <c r="B9811" s="1" t="n">
        <v>45317</v>
      </c>
      <c r="C9811" s="1" t="n">
        <v>45677</v>
      </c>
      <c r="D9811" t="inlineStr">
        <is>
          <t>GÄVLEBORGS LÄN</t>
        </is>
      </c>
      <c r="E9811" t="inlineStr">
        <is>
          <t>LJUSDAL</t>
        </is>
      </c>
      <c r="F9811" t="inlineStr">
        <is>
          <t>Övriga Aktiebolag</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3324-2024</t>
        </is>
      </c>
      <c r="B9812" s="1" t="n">
        <v>45317</v>
      </c>
      <c r="C9812" s="1" t="n">
        <v>45677</v>
      </c>
      <c r="D9812" t="inlineStr">
        <is>
          <t>GÄVLEBORGS LÄN</t>
        </is>
      </c>
      <c r="E9812" t="inlineStr">
        <is>
          <t>OVANÅKER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3333-2024</t>
        </is>
      </c>
      <c r="B9813" s="1" t="n">
        <v>45317</v>
      </c>
      <c r="C9813" s="1" t="n">
        <v>45677</v>
      </c>
      <c r="D9813" t="inlineStr">
        <is>
          <t>GÄVLEBORGS LÄN</t>
        </is>
      </c>
      <c r="E9813" t="inlineStr">
        <is>
          <t>OVANÅKER</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3337-2024</t>
        </is>
      </c>
      <c r="B9814" s="1" t="n">
        <v>45317</v>
      </c>
      <c r="C9814" s="1" t="n">
        <v>45677</v>
      </c>
      <c r="D9814" t="inlineStr">
        <is>
          <t>GÄVLEBORGS LÄN</t>
        </is>
      </c>
      <c r="E9814" t="inlineStr">
        <is>
          <t>GÄVLE</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3341-2024</t>
        </is>
      </c>
      <c r="B9815" s="1" t="n">
        <v>45317</v>
      </c>
      <c r="C9815" s="1" t="n">
        <v>45677</v>
      </c>
      <c r="D9815" t="inlineStr">
        <is>
          <t>GÄVLEBORGS LÄN</t>
        </is>
      </c>
      <c r="E9815" t="inlineStr">
        <is>
          <t>HUDIKSVALL</t>
        </is>
      </c>
      <c r="G9815" t="n">
        <v>10.1</v>
      </c>
      <c r="H9815" t="n">
        <v>0</v>
      </c>
      <c r="I9815" t="n">
        <v>0</v>
      </c>
      <c r="J9815" t="n">
        <v>0</v>
      </c>
      <c r="K9815" t="n">
        <v>0</v>
      </c>
      <c r="L9815" t="n">
        <v>0</v>
      </c>
      <c r="M9815" t="n">
        <v>0</v>
      </c>
      <c r="N9815" t="n">
        <v>0</v>
      </c>
      <c r="O9815" t="n">
        <v>0</v>
      </c>
      <c r="P9815" t="n">
        <v>0</v>
      </c>
      <c r="Q9815" t="n">
        <v>0</v>
      </c>
      <c r="R9815" s="2" t="inlineStr"/>
    </row>
    <row r="9816" ht="15" customHeight="1">
      <c r="A9816" t="inlineStr">
        <is>
          <t>A 3375-2024</t>
        </is>
      </c>
      <c r="B9816" s="1" t="n">
        <v>45317</v>
      </c>
      <c r="C9816" s="1" t="n">
        <v>45677</v>
      </c>
      <c r="D9816" t="inlineStr">
        <is>
          <t>GÄVLEBORGS LÄN</t>
        </is>
      </c>
      <c r="E9816" t="inlineStr">
        <is>
          <t>LJUSDAL</t>
        </is>
      </c>
      <c r="G9816" t="n">
        <v>7.3</v>
      </c>
      <c r="H9816" t="n">
        <v>0</v>
      </c>
      <c r="I9816" t="n">
        <v>0</v>
      </c>
      <c r="J9816" t="n">
        <v>0</v>
      </c>
      <c r="K9816" t="n">
        <v>0</v>
      </c>
      <c r="L9816" t="n">
        <v>0</v>
      </c>
      <c r="M9816" t="n">
        <v>0</v>
      </c>
      <c r="N9816" t="n">
        <v>0</v>
      </c>
      <c r="O9816" t="n">
        <v>0</v>
      </c>
      <c r="P9816" t="n">
        <v>0</v>
      </c>
      <c r="Q9816" t="n">
        <v>0</v>
      </c>
      <c r="R9816" s="2" t="inlineStr"/>
    </row>
    <row r="9817" ht="15" customHeight="1">
      <c r="A9817" t="inlineStr">
        <is>
          <t>A 3424-2024</t>
        </is>
      </c>
      <c r="B9817" s="1" t="n">
        <v>45319</v>
      </c>
      <c r="C9817" s="1" t="n">
        <v>45677</v>
      </c>
      <c r="D9817" t="inlineStr">
        <is>
          <t>GÄVLEBORGS LÄN</t>
        </is>
      </c>
      <c r="E9817" t="inlineStr">
        <is>
          <t>BOLLNÄS</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3426-2024</t>
        </is>
      </c>
      <c r="B9818" s="1" t="n">
        <v>45319</v>
      </c>
      <c r="C9818" s="1" t="n">
        <v>45677</v>
      </c>
      <c r="D9818" t="inlineStr">
        <is>
          <t>GÄVLEBORGS LÄN</t>
        </is>
      </c>
      <c r="E9818" t="inlineStr">
        <is>
          <t>GÄVLE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3442-2024</t>
        </is>
      </c>
      <c r="B9819" s="1" t="n">
        <v>45320</v>
      </c>
      <c r="C9819" s="1" t="n">
        <v>45677</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3434-2024</t>
        </is>
      </c>
      <c r="B9820" s="1" t="n">
        <v>45320</v>
      </c>
      <c r="C9820" s="1" t="n">
        <v>45677</v>
      </c>
      <c r="D9820" t="inlineStr">
        <is>
          <t>GÄVLEBORGS LÄN</t>
        </is>
      </c>
      <c r="E9820" t="inlineStr">
        <is>
          <t>LJUSDAL</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3449-2024</t>
        </is>
      </c>
      <c r="B9821" s="1" t="n">
        <v>45320</v>
      </c>
      <c r="C9821" s="1" t="n">
        <v>45677</v>
      </c>
      <c r="D9821" t="inlineStr">
        <is>
          <t>GÄVLEBORGS LÄN</t>
        </is>
      </c>
      <c r="E9821" t="inlineStr">
        <is>
          <t>LJUSDAL</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3470-2024</t>
        </is>
      </c>
      <c r="B9822" s="1" t="n">
        <v>45320</v>
      </c>
      <c r="C9822" s="1" t="n">
        <v>45677</v>
      </c>
      <c r="D9822" t="inlineStr">
        <is>
          <t>GÄVLEBORGS LÄN</t>
        </is>
      </c>
      <c r="E9822" t="inlineStr">
        <is>
          <t>LJUSDAL</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3474-2024</t>
        </is>
      </c>
      <c r="B9823" s="1" t="n">
        <v>45320</v>
      </c>
      <c r="C9823" s="1" t="n">
        <v>45677</v>
      </c>
      <c r="D9823" t="inlineStr">
        <is>
          <t>GÄVLEBORGS LÄN</t>
        </is>
      </c>
      <c r="E9823" t="inlineStr">
        <is>
          <t>NORDANSTIG</t>
        </is>
      </c>
      <c r="F9823" t="inlineStr">
        <is>
          <t>Holmen skog AB</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3437-2024</t>
        </is>
      </c>
      <c r="B9824" s="1" t="n">
        <v>45320</v>
      </c>
      <c r="C9824" s="1" t="n">
        <v>45677</v>
      </c>
      <c r="D9824" t="inlineStr">
        <is>
          <t>GÄVLEBORGS LÄN</t>
        </is>
      </c>
      <c r="E9824" t="inlineStr">
        <is>
          <t>LJUSDAL</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3456-2024</t>
        </is>
      </c>
      <c r="B9825" s="1" t="n">
        <v>45320</v>
      </c>
      <c r="C9825" s="1" t="n">
        <v>45677</v>
      </c>
      <c r="D9825" t="inlineStr">
        <is>
          <t>GÄVLEBORGS LÄN</t>
        </is>
      </c>
      <c r="E9825" t="inlineStr">
        <is>
          <t>SANDVIKEN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3508-2024</t>
        </is>
      </c>
      <c r="B9826" s="1" t="n">
        <v>45320</v>
      </c>
      <c r="C9826" s="1" t="n">
        <v>45677</v>
      </c>
      <c r="D9826" t="inlineStr">
        <is>
          <t>GÄVLEBORGS LÄN</t>
        </is>
      </c>
      <c r="E9826" t="inlineStr">
        <is>
          <t>LJUSDAL</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3443-2024</t>
        </is>
      </c>
      <c r="B9827" s="1" t="n">
        <v>45320</v>
      </c>
      <c r="C9827" s="1" t="n">
        <v>45677</v>
      </c>
      <c r="D9827" t="inlineStr">
        <is>
          <t>GÄVLEBORGS LÄN</t>
        </is>
      </c>
      <c r="E9827" t="inlineStr">
        <is>
          <t>OVANÅKER</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3486-2024</t>
        </is>
      </c>
      <c r="B9828" s="1" t="n">
        <v>45320</v>
      </c>
      <c r="C9828" s="1" t="n">
        <v>45677</v>
      </c>
      <c r="D9828" t="inlineStr">
        <is>
          <t>GÄVLEBORGS LÄN</t>
        </is>
      </c>
      <c r="E9828" t="inlineStr">
        <is>
          <t>BOLLNÄS</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3615-2024</t>
        </is>
      </c>
      <c r="B9829" s="1" t="n">
        <v>45320</v>
      </c>
      <c r="C9829" s="1" t="n">
        <v>45677</v>
      </c>
      <c r="D9829" t="inlineStr">
        <is>
          <t>GÄVLEBORGS LÄN</t>
        </is>
      </c>
      <c r="E9829" t="inlineStr">
        <is>
          <t>GÄVLE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3731-2024</t>
        </is>
      </c>
      <c r="B9830" s="1" t="n">
        <v>45321</v>
      </c>
      <c r="C9830" s="1" t="n">
        <v>45677</v>
      </c>
      <c r="D9830" t="inlineStr">
        <is>
          <t>GÄVLEBORGS LÄN</t>
        </is>
      </c>
      <c r="E9830" t="inlineStr">
        <is>
          <t>SANDVIKEN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3810-2024</t>
        </is>
      </c>
      <c r="B9831" s="1" t="n">
        <v>45321</v>
      </c>
      <c r="C9831" s="1" t="n">
        <v>45677</v>
      </c>
      <c r="D9831" t="inlineStr">
        <is>
          <t>GÄVLEBORGS LÄN</t>
        </is>
      </c>
      <c r="E9831" t="inlineStr">
        <is>
          <t>HUDIKSVALL</t>
        </is>
      </c>
      <c r="G9831" t="n">
        <v>14.4</v>
      </c>
      <c r="H9831" t="n">
        <v>0</v>
      </c>
      <c r="I9831" t="n">
        <v>0</v>
      </c>
      <c r="J9831" t="n">
        <v>0</v>
      </c>
      <c r="K9831" t="n">
        <v>0</v>
      </c>
      <c r="L9831" t="n">
        <v>0</v>
      </c>
      <c r="M9831" t="n">
        <v>0</v>
      </c>
      <c r="N9831" t="n">
        <v>0</v>
      </c>
      <c r="O9831" t="n">
        <v>0</v>
      </c>
      <c r="P9831" t="n">
        <v>0</v>
      </c>
      <c r="Q9831" t="n">
        <v>0</v>
      </c>
      <c r="R9831" s="2" t="inlineStr"/>
    </row>
    <row r="9832" ht="15" customHeight="1">
      <c r="A9832" t="inlineStr">
        <is>
          <t>A 3788-2024</t>
        </is>
      </c>
      <c r="B9832" s="1" t="n">
        <v>45321</v>
      </c>
      <c r="C9832" s="1" t="n">
        <v>45677</v>
      </c>
      <c r="D9832" t="inlineStr">
        <is>
          <t>GÄVLEBORGS LÄN</t>
        </is>
      </c>
      <c r="E9832" t="inlineStr">
        <is>
          <t>OCKELBO</t>
        </is>
      </c>
      <c r="G9832" t="n">
        <v>14.5</v>
      </c>
      <c r="H9832" t="n">
        <v>0</v>
      </c>
      <c r="I9832" t="n">
        <v>0</v>
      </c>
      <c r="J9832" t="n">
        <v>0</v>
      </c>
      <c r="K9832" t="n">
        <v>0</v>
      </c>
      <c r="L9832" t="n">
        <v>0</v>
      </c>
      <c r="M9832" t="n">
        <v>0</v>
      </c>
      <c r="N9832" t="n">
        <v>0</v>
      </c>
      <c r="O9832" t="n">
        <v>0</v>
      </c>
      <c r="P9832" t="n">
        <v>0</v>
      </c>
      <c r="Q9832" t="n">
        <v>0</v>
      </c>
      <c r="R9832" s="2" t="inlineStr"/>
    </row>
    <row r="9833" ht="15" customHeight="1">
      <c r="A9833" t="inlineStr">
        <is>
          <t>A 3833-2024</t>
        </is>
      </c>
      <c r="B9833" s="1" t="n">
        <v>45321</v>
      </c>
      <c r="C9833" s="1" t="n">
        <v>45677</v>
      </c>
      <c r="D9833" t="inlineStr">
        <is>
          <t>GÄVLEBORGS LÄN</t>
        </is>
      </c>
      <c r="E9833" t="inlineStr">
        <is>
          <t>SANDVIKEN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3859-2024</t>
        </is>
      </c>
      <c r="B9834" s="1" t="n">
        <v>45322</v>
      </c>
      <c r="C9834" s="1" t="n">
        <v>45677</v>
      </c>
      <c r="D9834" t="inlineStr">
        <is>
          <t>GÄVLEBORGS LÄN</t>
        </is>
      </c>
      <c r="E9834" t="inlineStr">
        <is>
          <t>OVANÅKER</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3862-2024</t>
        </is>
      </c>
      <c r="B9835" s="1" t="n">
        <v>45322</v>
      </c>
      <c r="C9835" s="1" t="n">
        <v>45677</v>
      </c>
      <c r="D9835" t="inlineStr">
        <is>
          <t>GÄVLEBORGS LÄN</t>
        </is>
      </c>
      <c r="E9835" t="inlineStr">
        <is>
          <t>GÄVLE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3871-2024</t>
        </is>
      </c>
      <c r="B9836" s="1" t="n">
        <v>45322</v>
      </c>
      <c r="C9836" s="1" t="n">
        <v>45677</v>
      </c>
      <c r="D9836" t="inlineStr">
        <is>
          <t>GÄVLEBORGS LÄN</t>
        </is>
      </c>
      <c r="E9836" t="inlineStr">
        <is>
          <t>OVANÅKER</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3907-2024</t>
        </is>
      </c>
      <c r="B9837" s="1" t="n">
        <v>45322</v>
      </c>
      <c r="C9837" s="1" t="n">
        <v>45677</v>
      </c>
      <c r="D9837" t="inlineStr">
        <is>
          <t>GÄVLEBORGS LÄN</t>
        </is>
      </c>
      <c r="E9837" t="inlineStr">
        <is>
          <t>OCKELBO</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3873-2024</t>
        </is>
      </c>
      <c r="B9838" s="1" t="n">
        <v>45322</v>
      </c>
      <c r="C9838" s="1" t="n">
        <v>45677</v>
      </c>
      <c r="D9838" t="inlineStr">
        <is>
          <t>GÄVLEBORGS LÄN</t>
        </is>
      </c>
      <c r="E9838" t="inlineStr">
        <is>
          <t>BOLLNÄS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3877-2024</t>
        </is>
      </c>
      <c r="B9839" s="1" t="n">
        <v>45322</v>
      </c>
      <c r="C9839" s="1" t="n">
        <v>45677</v>
      </c>
      <c r="D9839" t="inlineStr">
        <is>
          <t>GÄVLEBORGS LÄN</t>
        </is>
      </c>
      <c r="E9839" t="inlineStr">
        <is>
          <t>OVANÅKER</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4087-2024</t>
        </is>
      </c>
      <c r="B9840" s="1" t="n">
        <v>45323</v>
      </c>
      <c r="C9840" s="1" t="n">
        <v>45677</v>
      </c>
      <c r="D9840" t="inlineStr">
        <is>
          <t>GÄVLEBORGS LÄN</t>
        </is>
      </c>
      <c r="E9840" t="inlineStr">
        <is>
          <t>OVANÅKER</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4095-2024</t>
        </is>
      </c>
      <c r="B9841" s="1" t="n">
        <v>45323</v>
      </c>
      <c r="C9841" s="1" t="n">
        <v>45677</v>
      </c>
      <c r="D9841" t="inlineStr">
        <is>
          <t>GÄVLEBORGS LÄN</t>
        </is>
      </c>
      <c r="E9841" t="inlineStr">
        <is>
          <t>LJUSDAL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4021-2024</t>
        </is>
      </c>
      <c r="B9842" s="1" t="n">
        <v>45323</v>
      </c>
      <c r="C9842" s="1" t="n">
        <v>45677</v>
      </c>
      <c r="D9842" t="inlineStr">
        <is>
          <t>GÄVLEBORGS LÄN</t>
        </is>
      </c>
      <c r="E9842" t="inlineStr">
        <is>
          <t>LJUSDAL</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4069-2024</t>
        </is>
      </c>
      <c r="B9843" s="1" t="n">
        <v>45323</v>
      </c>
      <c r="C9843" s="1" t="n">
        <v>45677</v>
      </c>
      <c r="D9843" t="inlineStr">
        <is>
          <t>GÄVLEBORGS LÄN</t>
        </is>
      </c>
      <c r="E9843" t="inlineStr">
        <is>
          <t>OCKELBO</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4043-2024</t>
        </is>
      </c>
      <c r="B9844" s="1" t="n">
        <v>45323</v>
      </c>
      <c r="C9844" s="1" t="n">
        <v>45677</v>
      </c>
      <c r="D9844" t="inlineStr">
        <is>
          <t>GÄVLEBORGS LÄN</t>
        </is>
      </c>
      <c r="E9844" t="inlineStr">
        <is>
          <t>LJUSDAL</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4164-2024</t>
        </is>
      </c>
      <c r="B9845" s="1" t="n">
        <v>45323</v>
      </c>
      <c r="C9845" s="1" t="n">
        <v>45677</v>
      </c>
      <c r="D9845" t="inlineStr">
        <is>
          <t>GÄVLEBORGS LÄN</t>
        </is>
      </c>
      <c r="E9845" t="inlineStr">
        <is>
          <t>HUDIKSVALL</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4221-2024</t>
        </is>
      </c>
      <c r="B9846" s="1" t="n">
        <v>45324</v>
      </c>
      <c r="C9846" s="1" t="n">
        <v>45677</v>
      </c>
      <c r="D9846" t="inlineStr">
        <is>
          <t>GÄVLEBORGS LÄN</t>
        </is>
      </c>
      <c r="E9846" t="inlineStr">
        <is>
          <t>LJUSDAL</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4230-2024</t>
        </is>
      </c>
      <c r="B9847" s="1" t="n">
        <v>45324</v>
      </c>
      <c r="C9847" s="1" t="n">
        <v>45677</v>
      </c>
      <c r="D9847" t="inlineStr">
        <is>
          <t>GÄVLEBORGS LÄN</t>
        </is>
      </c>
      <c r="E9847" t="inlineStr">
        <is>
          <t>LJUSDAL</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4234-2024</t>
        </is>
      </c>
      <c r="B9848" s="1" t="n">
        <v>45324</v>
      </c>
      <c r="C9848" s="1" t="n">
        <v>45677</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4238-2024</t>
        </is>
      </c>
      <c r="B9849" s="1" t="n">
        <v>45324</v>
      </c>
      <c r="C9849" s="1" t="n">
        <v>45677</v>
      </c>
      <c r="D9849" t="inlineStr">
        <is>
          <t>GÄVLEBORGS LÄN</t>
        </is>
      </c>
      <c r="E9849" t="inlineStr">
        <is>
          <t>LJUSDAL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4290-2024</t>
        </is>
      </c>
      <c r="B9850" s="1" t="n">
        <v>45324</v>
      </c>
      <c r="C9850" s="1" t="n">
        <v>45677</v>
      </c>
      <c r="D9850" t="inlineStr">
        <is>
          <t>GÄVLEBORGS LÄN</t>
        </is>
      </c>
      <c r="E9850" t="inlineStr">
        <is>
          <t>GÄVLE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4294-2024</t>
        </is>
      </c>
      <c r="B9851" s="1" t="n">
        <v>45324</v>
      </c>
      <c r="C9851" s="1" t="n">
        <v>45677</v>
      </c>
      <c r="D9851" t="inlineStr">
        <is>
          <t>GÄVLEBORGS LÄN</t>
        </is>
      </c>
      <c r="E9851" t="inlineStr">
        <is>
          <t>GÄVLE</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4298-2024</t>
        </is>
      </c>
      <c r="B9852" s="1" t="n">
        <v>45324</v>
      </c>
      <c r="C9852" s="1" t="n">
        <v>45677</v>
      </c>
      <c r="D9852" t="inlineStr">
        <is>
          <t>GÄVLEBORGS LÄN</t>
        </is>
      </c>
      <c r="E9852" t="inlineStr">
        <is>
          <t>SÖDERHAMN</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4255-2024</t>
        </is>
      </c>
      <c r="B9853" s="1" t="n">
        <v>45324</v>
      </c>
      <c r="C9853" s="1" t="n">
        <v>45677</v>
      </c>
      <c r="D9853" t="inlineStr">
        <is>
          <t>GÄVLEBORGS LÄN</t>
        </is>
      </c>
      <c r="E9853" t="inlineStr">
        <is>
          <t>NORDANSTIG</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4283-2024</t>
        </is>
      </c>
      <c r="B9854" s="1" t="n">
        <v>45324</v>
      </c>
      <c r="C9854" s="1" t="n">
        <v>45677</v>
      </c>
      <c r="D9854" t="inlineStr">
        <is>
          <t>GÄVLEBORGS LÄN</t>
        </is>
      </c>
      <c r="E9854" t="inlineStr">
        <is>
          <t>SÖDERHAMN</t>
        </is>
      </c>
      <c r="G9854" t="n">
        <v>9.1</v>
      </c>
      <c r="H9854" t="n">
        <v>0</v>
      </c>
      <c r="I9854" t="n">
        <v>0</v>
      </c>
      <c r="J9854" t="n">
        <v>0</v>
      </c>
      <c r="K9854" t="n">
        <v>0</v>
      </c>
      <c r="L9854" t="n">
        <v>0</v>
      </c>
      <c r="M9854" t="n">
        <v>0</v>
      </c>
      <c r="N9854" t="n">
        <v>0</v>
      </c>
      <c r="O9854" t="n">
        <v>0</v>
      </c>
      <c r="P9854" t="n">
        <v>0</v>
      </c>
      <c r="Q9854" t="n">
        <v>0</v>
      </c>
      <c r="R9854" s="2" t="inlineStr"/>
    </row>
    <row r="9855" ht="15" customHeight="1">
      <c r="A9855" t="inlineStr">
        <is>
          <t>A 4287-2024</t>
        </is>
      </c>
      <c r="B9855" s="1" t="n">
        <v>45324</v>
      </c>
      <c r="C9855" s="1" t="n">
        <v>45677</v>
      </c>
      <c r="D9855" t="inlineStr">
        <is>
          <t>GÄVLEBORGS LÄN</t>
        </is>
      </c>
      <c r="E9855" t="inlineStr">
        <is>
          <t>GÄVLE</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4300-2024</t>
        </is>
      </c>
      <c r="B9856" s="1" t="n">
        <v>45324</v>
      </c>
      <c r="C9856" s="1" t="n">
        <v>45677</v>
      </c>
      <c r="D9856" t="inlineStr">
        <is>
          <t>GÄVLEBORGS LÄN</t>
        </is>
      </c>
      <c r="E9856" t="inlineStr">
        <is>
          <t>HUDIKSVALL</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4260-2024</t>
        </is>
      </c>
      <c r="B9857" s="1" t="n">
        <v>45324</v>
      </c>
      <c r="C9857" s="1" t="n">
        <v>45677</v>
      </c>
      <c r="D9857" t="inlineStr">
        <is>
          <t>GÄVLEBORGS LÄN</t>
        </is>
      </c>
      <c r="E9857" t="inlineStr">
        <is>
          <t>LJUSDAL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4360-2024</t>
        </is>
      </c>
      <c r="B9858" s="1" t="n">
        <v>45325</v>
      </c>
      <c r="C9858" s="1" t="n">
        <v>45677</v>
      </c>
      <c r="D9858" t="inlineStr">
        <is>
          <t>GÄVLEBORGS LÄN</t>
        </is>
      </c>
      <c r="E9858" t="inlineStr">
        <is>
          <t>LJUSDAL</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4385-2024</t>
        </is>
      </c>
      <c r="B9859" s="1" t="n">
        <v>45327</v>
      </c>
      <c r="C9859" s="1" t="n">
        <v>45677</v>
      </c>
      <c r="D9859" t="inlineStr">
        <is>
          <t>GÄVLEBORGS LÄN</t>
        </is>
      </c>
      <c r="E9859" t="inlineStr">
        <is>
          <t>SANDVIKEN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4407-2024</t>
        </is>
      </c>
      <c r="B9860" s="1" t="n">
        <v>45327</v>
      </c>
      <c r="C9860" s="1" t="n">
        <v>45677</v>
      </c>
      <c r="D9860" t="inlineStr">
        <is>
          <t>GÄVLEBORGS LÄN</t>
        </is>
      </c>
      <c r="E9860" t="inlineStr">
        <is>
          <t>HUDIKSVALL</t>
        </is>
      </c>
      <c r="G9860" t="n">
        <v>16.8</v>
      </c>
      <c r="H9860" t="n">
        <v>0</v>
      </c>
      <c r="I9860" t="n">
        <v>0</v>
      </c>
      <c r="J9860" t="n">
        <v>0</v>
      </c>
      <c r="K9860" t="n">
        <v>0</v>
      </c>
      <c r="L9860" t="n">
        <v>0</v>
      </c>
      <c r="M9860" t="n">
        <v>0</v>
      </c>
      <c r="N9860" t="n">
        <v>0</v>
      </c>
      <c r="O9860" t="n">
        <v>0</v>
      </c>
      <c r="P9860" t="n">
        <v>0</v>
      </c>
      <c r="Q9860" t="n">
        <v>0</v>
      </c>
      <c r="R9860" s="2" t="inlineStr"/>
    </row>
    <row r="9861" ht="15" customHeight="1">
      <c r="A9861" t="inlineStr">
        <is>
          <t>A 4420-2024</t>
        </is>
      </c>
      <c r="B9861" s="1" t="n">
        <v>45327</v>
      </c>
      <c r="C9861" s="1" t="n">
        <v>45677</v>
      </c>
      <c r="D9861" t="inlineStr">
        <is>
          <t>GÄVLEBORGS LÄN</t>
        </is>
      </c>
      <c r="E9861" t="inlineStr">
        <is>
          <t>LJUSDAL</t>
        </is>
      </c>
      <c r="F9861" t="inlineStr">
        <is>
          <t>Holmen skog AB</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4495-2024</t>
        </is>
      </c>
      <c r="B9862" s="1" t="n">
        <v>45327</v>
      </c>
      <c r="C9862" s="1" t="n">
        <v>45677</v>
      </c>
      <c r="D9862" t="inlineStr">
        <is>
          <t>GÄVLEBORGS LÄN</t>
        </is>
      </c>
      <c r="E9862" t="inlineStr">
        <is>
          <t>SANDVIKEN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4511-2024</t>
        </is>
      </c>
      <c r="B9863" s="1" t="n">
        <v>45327</v>
      </c>
      <c r="C9863" s="1" t="n">
        <v>45677</v>
      </c>
      <c r="D9863" t="inlineStr">
        <is>
          <t>GÄVLEBORGS LÄN</t>
        </is>
      </c>
      <c r="E9863" t="inlineStr">
        <is>
          <t>SANDVIKEN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4497-2024</t>
        </is>
      </c>
      <c r="B9864" s="1" t="n">
        <v>45327</v>
      </c>
      <c r="C9864" s="1" t="n">
        <v>45677</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4505-2024</t>
        </is>
      </c>
      <c r="B9865" s="1" t="n">
        <v>45327</v>
      </c>
      <c r="C9865" s="1" t="n">
        <v>45677</v>
      </c>
      <c r="D9865" t="inlineStr">
        <is>
          <t>GÄVLEBORGS LÄN</t>
        </is>
      </c>
      <c r="E9865" t="inlineStr">
        <is>
          <t>HUDIKSVALL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4517-2024</t>
        </is>
      </c>
      <c r="B9866" s="1" t="n">
        <v>45327</v>
      </c>
      <c r="C9866" s="1" t="n">
        <v>45677</v>
      </c>
      <c r="D9866" t="inlineStr">
        <is>
          <t>GÄVLEBORGS LÄN</t>
        </is>
      </c>
      <c r="E9866" t="inlineStr">
        <is>
          <t>BOLLNÄS</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4500-2024</t>
        </is>
      </c>
      <c r="B9867" s="1" t="n">
        <v>45327</v>
      </c>
      <c r="C9867" s="1" t="n">
        <v>45677</v>
      </c>
      <c r="D9867" t="inlineStr">
        <is>
          <t>GÄVLEBORGS LÄN</t>
        </is>
      </c>
      <c r="E9867" t="inlineStr">
        <is>
          <t>SANDVIKEN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4504-2024</t>
        </is>
      </c>
      <c r="B9868" s="1" t="n">
        <v>45327</v>
      </c>
      <c r="C9868" s="1" t="n">
        <v>45677</v>
      </c>
      <c r="D9868" t="inlineStr">
        <is>
          <t>GÄVLEBORGS LÄN</t>
        </is>
      </c>
      <c r="E9868" t="inlineStr">
        <is>
          <t>HUDIKSVALL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4531-2024</t>
        </is>
      </c>
      <c r="B9869" s="1" t="n">
        <v>45327</v>
      </c>
      <c r="C9869" s="1" t="n">
        <v>45677</v>
      </c>
      <c r="D9869" t="inlineStr">
        <is>
          <t>GÄVLEBORGS LÄN</t>
        </is>
      </c>
      <c r="E9869" t="inlineStr">
        <is>
          <t>NORDANSTIG</t>
        </is>
      </c>
      <c r="F9869" t="inlineStr">
        <is>
          <t>Holmen skog AB</t>
        </is>
      </c>
      <c r="G9869" t="n">
        <v>7.2</v>
      </c>
      <c r="H9869" t="n">
        <v>0</v>
      </c>
      <c r="I9869" t="n">
        <v>0</v>
      </c>
      <c r="J9869" t="n">
        <v>0</v>
      </c>
      <c r="K9869" t="n">
        <v>0</v>
      </c>
      <c r="L9869" t="n">
        <v>0</v>
      </c>
      <c r="M9869" t="n">
        <v>0</v>
      </c>
      <c r="N9869" t="n">
        <v>0</v>
      </c>
      <c r="O9869" t="n">
        <v>0</v>
      </c>
      <c r="P9869" t="n">
        <v>0</v>
      </c>
      <c r="Q9869" t="n">
        <v>0</v>
      </c>
      <c r="R9869" s="2" t="inlineStr"/>
    </row>
    <row r="9870" ht="15" customHeight="1">
      <c r="A9870" t="inlineStr">
        <is>
          <t>A 4498-2024</t>
        </is>
      </c>
      <c r="B9870" s="1" t="n">
        <v>45327</v>
      </c>
      <c r="C9870" s="1" t="n">
        <v>45677</v>
      </c>
      <c r="D9870" t="inlineStr">
        <is>
          <t>GÄVLEBORGS LÄN</t>
        </is>
      </c>
      <c r="E9870" t="inlineStr">
        <is>
          <t>SANDVIKEN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4502-2024</t>
        </is>
      </c>
      <c r="B9871" s="1" t="n">
        <v>45327</v>
      </c>
      <c r="C9871" s="1" t="n">
        <v>45677</v>
      </c>
      <c r="D9871" t="inlineStr">
        <is>
          <t>GÄVLEBORGS LÄN</t>
        </is>
      </c>
      <c r="E9871" t="inlineStr">
        <is>
          <t>SANDVIKEN</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4557-2024</t>
        </is>
      </c>
      <c r="B9872" s="1" t="n">
        <v>45327</v>
      </c>
      <c r="C9872" s="1" t="n">
        <v>45677</v>
      </c>
      <c r="D9872" t="inlineStr">
        <is>
          <t>GÄVLEBORGS LÄN</t>
        </is>
      </c>
      <c r="E9872" t="inlineStr">
        <is>
          <t>SÖDERHAMN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4565-2024</t>
        </is>
      </c>
      <c r="B9873" s="1" t="n">
        <v>45327</v>
      </c>
      <c r="C9873" s="1" t="n">
        <v>45677</v>
      </c>
      <c r="D9873" t="inlineStr">
        <is>
          <t>GÄVLEBORGS LÄN</t>
        </is>
      </c>
      <c r="E9873" t="inlineStr">
        <is>
          <t>HUDIKSVALL</t>
        </is>
      </c>
      <c r="F9873" t="inlineStr">
        <is>
          <t>Holmen skog AB</t>
        </is>
      </c>
      <c r="G9873" t="n">
        <v>34.7</v>
      </c>
      <c r="H9873" t="n">
        <v>0</v>
      </c>
      <c r="I9873" t="n">
        <v>0</v>
      </c>
      <c r="J9873" t="n">
        <v>0</v>
      </c>
      <c r="K9873" t="n">
        <v>0</v>
      </c>
      <c r="L9873" t="n">
        <v>0</v>
      </c>
      <c r="M9873" t="n">
        <v>0</v>
      </c>
      <c r="N9873" t="n">
        <v>0</v>
      </c>
      <c r="O9873" t="n">
        <v>0</v>
      </c>
      <c r="P9873" t="n">
        <v>0</v>
      </c>
      <c r="Q9873" t="n">
        <v>0</v>
      </c>
      <c r="R9873" s="2" t="inlineStr"/>
    </row>
    <row r="9874" ht="15" customHeight="1">
      <c r="A9874" t="inlineStr">
        <is>
          <t>A 4582-2024</t>
        </is>
      </c>
      <c r="B9874" s="1" t="n">
        <v>45327</v>
      </c>
      <c r="C9874" s="1" t="n">
        <v>45677</v>
      </c>
      <c r="D9874" t="inlineStr">
        <is>
          <t>GÄVLEBORGS LÄN</t>
        </is>
      </c>
      <c r="E9874" t="inlineStr">
        <is>
          <t>LJUSDAL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4573-2024</t>
        </is>
      </c>
      <c r="B9875" s="1" t="n">
        <v>45327</v>
      </c>
      <c r="C9875" s="1" t="n">
        <v>45677</v>
      </c>
      <c r="D9875" t="inlineStr">
        <is>
          <t>GÄVLEBORGS LÄN</t>
        </is>
      </c>
      <c r="E9875" t="inlineStr">
        <is>
          <t>HUDIKSVALL</t>
        </is>
      </c>
      <c r="F9875" t="inlineStr">
        <is>
          <t>Holmen skog AB</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4581-2024</t>
        </is>
      </c>
      <c r="B9876" s="1" t="n">
        <v>45327</v>
      </c>
      <c r="C9876" s="1" t="n">
        <v>45677</v>
      </c>
      <c r="D9876" t="inlineStr">
        <is>
          <t>GÄVLEBORGS LÄN</t>
        </is>
      </c>
      <c r="E9876" t="inlineStr">
        <is>
          <t>LJUSDAL</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4580-2024</t>
        </is>
      </c>
      <c r="B9877" s="1" t="n">
        <v>45327</v>
      </c>
      <c r="C9877" s="1" t="n">
        <v>45677</v>
      </c>
      <c r="D9877" t="inlineStr">
        <is>
          <t>GÄVLEBORGS LÄN</t>
        </is>
      </c>
      <c r="E9877" t="inlineStr">
        <is>
          <t>LJUSDAL</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4607-2024</t>
        </is>
      </c>
      <c r="B9878" s="1" t="n">
        <v>45328</v>
      </c>
      <c r="C9878" s="1" t="n">
        <v>45677</v>
      </c>
      <c r="D9878" t="inlineStr">
        <is>
          <t>GÄVLEBORGS LÄN</t>
        </is>
      </c>
      <c r="E9878" t="inlineStr">
        <is>
          <t>OVANÅKER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4685-2024</t>
        </is>
      </c>
      <c r="B9879" s="1" t="n">
        <v>45328</v>
      </c>
      <c r="C9879" s="1" t="n">
        <v>45677</v>
      </c>
      <c r="D9879" t="inlineStr">
        <is>
          <t>GÄVLEBORGS LÄN</t>
        </is>
      </c>
      <c r="E9879" t="inlineStr">
        <is>
          <t>HUDIKSVALL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4683-2024</t>
        </is>
      </c>
      <c r="B9880" s="1" t="n">
        <v>45328</v>
      </c>
      <c r="C9880" s="1" t="n">
        <v>45677</v>
      </c>
      <c r="D9880" t="inlineStr">
        <is>
          <t>GÄVLEBORGS LÄN</t>
        </is>
      </c>
      <c r="E9880" t="inlineStr">
        <is>
          <t>HUDIKSVALL</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4619-2024</t>
        </is>
      </c>
      <c r="B9881" s="1" t="n">
        <v>45328</v>
      </c>
      <c r="C9881" s="1" t="n">
        <v>45677</v>
      </c>
      <c r="D9881" t="inlineStr">
        <is>
          <t>GÄVLEBORGS LÄN</t>
        </is>
      </c>
      <c r="E9881" t="inlineStr">
        <is>
          <t>HUDIKSVALL</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4763-2024</t>
        </is>
      </c>
      <c r="B9882" s="1" t="n">
        <v>45328</v>
      </c>
      <c r="C9882" s="1" t="n">
        <v>45677</v>
      </c>
      <c r="D9882" t="inlineStr">
        <is>
          <t>GÄVLEBORGS LÄN</t>
        </is>
      </c>
      <c r="E9882" t="inlineStr">
        <is>
          <t>LJUSDAL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4741-2024</t>
        </is>
      </c>
      <c r="B9883" s="1" t="n">
        <v>45328</v>
      </c>
      <c r="C9883" s="1" t="n">
        <v>45677</v>
      </c>
      <c r="D9883" t="inlineStr">
        <is>
          <t>GÄVLEBORGS LÄN</t>
        </is>
      </c>
      <c r="E9883" t="inlineStr">
        <is>
          <t>OCKELBO</t>
        </is>
      </c>
      <c r="F9883" t="inlineStr">
        <is>
          <t>Bergvik skog väst AB</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4814-2024</t>
        </is>
      </c>
      <c r="B9884" s="1" t="n">
        <v>45328</v>
      </c>
      <c r="C9884" s="1" t="n">
        <v>45677</v>
      </c>
      <c r="D9884" t="inlineStr">
        <is>
          <t>GÄVLEBORGS LÄN</t>
        </is>
      </c>
      <c r="E9884" t="inlineStr">
        <is>
          <t>GÄVLE</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4826-2024</t>
        </is>
      </c>
      <c r="B9885" s="1" t="n">
        <v>45328</v>
      </c>
      <c r="C9885" s="1" t="n">
        <v>45677</v>
      </c>
      <c r="D9885" t="inlineStr">
        <is>
          <t>GÄVLEBORGS LÄN</t>
        </is>
      </c>
      <c r="E9885" t="inlineStr">
        <is>
          <t>LJUSDAL</t>
        </is>
      </c>
      <c r="G9885" t="n">
        <v>7.4</v>
      </c>
      <c r="H9885" t="n">
        <v>0</v>
      </c>
      <c r="I9885" t="n">
        <v>0</v>
      </c>
      <c r="J9885" t="n">
        <v>0</v>
      </c>
      <c r="K9885" t="n">
        <v>0</v>
      </c>
      <c r="L9885" t="n">
        <v>0</v>
      </c>
      <c r="M9885" t="n">
        <v>0</v>
      </c>
      <c r="N9885" t="n">
        <v>0</v>
      </c>
      <c r="O9885" t="n">
        <v>0</v>
      </c>
      <c r="P9885" t="n">
        <v>0</v>
      </c>
      <c r="Q9885" t="n">
        <v>0</v>
      </c>
      <c r="R9885" s="2" t="inlineStr"/>
    </row>
    <row r="9886" ht="15" customHeight="1">
      <c r="A9886" t="inlineStr">
        <is>
          <t>A 4830-2024</t>
        </is>
      </c>
      <c r="B9886" s="1" t="n">
        <v>45329</v>
      </c>
      <c r="C9886" s="1" t="n">
        <v>45677</v>
      </c>
      <c r="D9886" t="inlineStr">
        <is>
          <t>GÄVLEBORGS LÄN</t>
        </is>
      </c>
      <c r="E9886" t="inlineStr">
        <is>
          <t>OVANÅKER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4874-2024</t>
        </is>
      </c>
      <c r="B9887" s="1" t="n">
        <v>45329</v>
      </c>
      <c r="C9887" s="1" t="n">
        <v>45677</v>
      </c>
      <c r="D9887" t="inlineStr">
        <is>
          <t>GÄVLEBORGS LÄN</t>
        </is>
      </c>
      <c r="E9887" t="inlineStr">
        <is>
          <t>HUDIKSVALL</t>
        </is>
      </c>
      <c r="F9887" t="inlineStr">
        <is>
          <t>Holmen skog AB</t>
        </is>
      </c>
      <c r="G9887" t="n">
        <v>40.8</v>
      </c>
      <c r="H9887" t="n">
        <v>0</v>
      </c>
      <c r="I9887" t="n">
        <v>0</v>
      </c>
      <c r="J9887" t="n">
        <v>0</v>
      </c>
      <c r="K9887" t="n">
        <v>0</v>
      </c>
      <c r="L9887" t="n">
        <v>0</v>
      </c>
      <c r="M9887" t="n">
        <v>0</v>
      </c>
      <c r="N9887" t="n">
        <v>0</v>
      </c>
      <c r="O9887" t="n">
        <v>0</v>
      </c>
      <c r="P9887" t="n">
        <v>0</v>
      </c>
      <c r="Q9887" t="n">
        <v>0</v>
      </c>
      <c r="R9887" s="2" t="inlineStr"/>
    </row>
    <row r="9888" ht="15" customHeight="1">
      <c r="A9888" t="inlineStr">
        <is>
          <t>A 4912-2024</t>
        </is>
      </c>
      <c r="B9888" s="1" t="n">
        <v>45329</v>
      </c>
      <c r="C9888" s="1" t="n">
        <v>45677</v>
      </c>
      <c r="D9888" t="inlineStr">
        <is>
          <t>GÄVLEBORGS LÄN</t>
        </is>
      </c>
      <c r="E9888" t="inlineStr">
        <is>
          <t>BOLLNÄS</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5010-2024</t>
        </is>
      </c>
      <c r="B9889" s="1" t="n">
        <v>45329</v>
      </c>
      <c r="C9889" s="1" t="n">
        <v>45677</v>
      </c>
      <c r="D9889" t="inlineStr">
        <is>
          <t>GÄVLEBORGS LÄN</t>
        </is>
      </c>
      <c r="E9889" t="inlineStr">
        <is>
          <t>SANDVIKEN</t>
        </is>
      </c>
      <c r="G9889" t="n">
        <v>9</v>
      </c>
      <c r="H9889" t="n">
        <v>0</v>
      </c>
      <c r="I9889" t="n">
        <v>0</v>
      </c>
      <c r="J9889" t="n">
        <v>0</v>
      </c>
      <c r="K9889" t="n">
        <v>0</v>
      </c>
      <c r="L9889" t="n">
        <v>0</v>
      </c>
      <c r="M9889" t="n">
        <v>0</v>
      </c>
      <c r="N9889" t="n">
        <v>0</v>
      </c>
      <c r="O9889" t="n">
        <v>0</v>
      </c>
      <c r="P9889" t="n">
        <v>0</v>
      </c>
      <c r="Q9889" t="n">
        <v>0</v>
      </c>
      <c r="R9889" s="2" t="inlineStr"/>
    </row>
    <row r="9890" ht="15" customHeight="1">
      <c r="A9890" t="inlineStr">
        <is>
          <t>A 5000-2024</t>
        </is>
      </c>
      <c r="B9890" s="1" t="n">
        <v>45329</v>
      </c>
      <c r="C9890" s="1" t="n">
        <v>45677</v>
      </c>
      <c r="D9890" t="inlineStr">
        <is>
          <t>GÄVLEBORGS LÄN</t>
        </is>
      </c>
      <c r="E9890" t="inlineStr">
        <is>
          <t>GÄVLE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5081-2024</t>
        </is>
      </c>
      <c r="B9891" s="1" t="n">
        <v>45330</v>
      </c>
      <c r="C9891" s="1" t="n">
        <v>45677</v>
      </c>
      <c r="D9891" t="inlineStr">
        <is>
          <t>GÄVLEBORGS LÄN</t>
        </is>
      </c>
      <c r="E9891" t="inlineStr">
        <is>
          <t>BOLLNÄS</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5131-2024</t>
        </is>
      </c>
      <c r="B9892" s="1" t="n">
        <v>45330</v>
      </c>
      <c r="C9892" s="1" t="n">
        <v>45677</v>
      </c>
      <c r="D9892" t="inlineStr">
        <is>
          <t>GÄVLEBORGS LÄN</t>
        </is>
      </c>
      <c r="E9892" t="inlineStr">
        <is>
          <t>OCKELBO</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5151-2024</t>
        </is>
      </c>
      <c r="B9893" s="1" t="n">
        <v>45330</v>
      </c>
      <c r="C9893" s="1" t="n">
        <v>45677</v>
      </c>
      <c r="D9893" t="inlineStr">
        <is>
          <t>GÄVLEBORGS LÄN</t>
        </is>
      </c>
      <c r="E9893" t="inlineStr">
        <is>
          <t>OVANÅKER</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5092-2024</t>
        </is>
      </c>
      <c r="B9894" s="1" t="n">
        <v>45330</v>
      </c>
      <c r="C9894" s="1" t="n">
        <v>45677</v>
      </c>
      <c r="D9894" t="inlineStr">
        <is>
          <t>GÄVLEBORGS LÄN</t>
        </is>
      </c>
      <c r="E9894" t="inlineStr">
        <is>
          <t>LJUSDAL</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5090-2024</t>
        </is>
      </c>
      <c r="B9895" s="1" t="n">
        <v>45330</v>
      </c>
      <c r="C9895" s="1" t="n">
        <v>45677</v>
      </c>
      <c r="D9895" t="inlineStr">
        <is>
          <t>GÄVLEBORGS LÄN</t>
        </is>
      </c>
      <c r="E9895" t="inlineStr">
        <is>
          <t>LJUSDAL</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5098-2024</t>
        </is>
      </c>
      <c r="B9896" s="1" t="n">
        <v>45330</v>
      </c>
      <c r="C9896" s="1" t="n">
        <v>45677</v>
      </c>
      <c r="D9896" t="inlineStr">
        <is>
          <t>GÄVLEBORGS LÄN</t>
        </is>
      </c>
      <c r="E9896" t="inlineStr">
        <is>
          <t>LJUSDAL</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5244-2024</t>
        </is>
      </c>
      <c r="B9897" s="1" t="n">
        <v>45330</v>
      </c>
      <c r="C9897" s="1" t="n">
        <v>45677</v>
      </c>
      <c r="D9897" t="inlineStr">
        <is>
          <t>GÄVLEBORGS LÄN</t>
        </is>
      </c>
      <c r="E9897" t="inlineStr">
        <is>
          <t>SANDVIKEN</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5230-2024</t>
        </is>
      </c>
      <c r="B9898" s="1" t="n">
        <v>45330</v>
      </c>
      <c r="C9898" s="1" t="n">
        <v>45677</v>
      </c>
      <c r="D9898" t="inlineStr">
        <is>
          <t>GÄVLEBORGS LÄN</t>
        </is>
      </c>
      <c r="E9898" t="inlineStr">
        <is>
          <t>HUDIKSVALL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5243-2024</t>
        </is>
      </c>
      <c r="B9899" s="1" t="n">
        <v>45330</v>
      </c>
      <c r="C9899" s="1" t="n">
        <v>45677</v>
      </c>
      <c r="D9899" t="inlineStr">
        <is>
          <t>GÄVLEBORGS LÄN</t>
        </is>
      </c>
      <c r="E9899" t="inlineStr">
        <is>
          <t>GÄVLE</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5225-2024</t>
        </is>
      </c>
      <c r="B9900" s="1" t="n">
        <v>45330</v>
      </c>
      <c r="C9900" s="1" t="n">
        <v>45677</v>
      </c>
      <c r="D9900" t="inlineStr">
        <is>
          <t>GÄVLEBORGS LÄN</t>
        </is>
      </c>
      <c r="E9900" t="inlineStr">
        <is>
          <t>LJUSDAL</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5241-2024</t>
        </is>
      </c>
      <c r="B9901" s="1" t="n">
        <v>45330</v>
      </c>
      <c r="C9901" s="1" t="n">
        <v>45677</v>
      </c>
      <c r="D9901" t="inlineStr">
        <is>
          <t>GÄVLEBORGS LÄN</t>
        </is>
      </c>
      <c r="E9901" t="inlineStr">
        <is>
          <t>GÄVLE</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5309-2024</t>
        </is>
      </c>
      <c r="B9902" s="1" t="n">
        <v>45331</v>
      </c>
      <c r="C9902" s="1" t="n">
        <v>45677</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5366-2024</t>
        </is>
      </c>
      <c r="B9903" s="1" t="n">
        <v>45331</v>
      </c>
      <c r="C9903" s="1" t="n">
        <v>45677</v>
      </c>
      <c r="D9903" t="inlineStr">
        <is>
          <t>GÄVLEBORGS LÄN</t>
        </is>
      </c>
      <c r="E9903" t="inlineStr">
        <is>
          <t>SÖDERHAMN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5388-2024</t>
        </is>
      </c>
      <c r="B9904" s="1" t="n">
        <v>45331</v>
      </c>
      <c r="C9904" s="1" t="n">
        <v>45677</v>
      </c>
      <c r="D9904" t="inlineStr">
        <is>
          <t>GÄVLEBORGS LÄN</t>
        </is>
      </c>
      <c r="E9904" t="inlineStr">
        <is>
          <t>BOLLNÄS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5385-2024</t>
        </is>
      </c>
      <c r="B9905" s="1" t="n">
        <v>45331</v>
      </c>
      <c r="C9905" s="1" t="n">
        <v>45677</v>
      </c>
      <c r="D9905" t="inlineStr">
        <is>
          <t>GÄVLEBORGS LÄN</t>
        </is>
      </c>
      <c r="E9905" t="inlineStr">
        <is>
          <t>NORDANSTIG</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5416-2024</t>
        </is>
      </c>
      <c r="B9906" s="1" t="n">
        <v>45331</v>
      </c>
      <c r="C9906" s="1" t="n">
        <v>45677</v>
      </c>
      <c r="D9906" t="inlineStr">
        <is>
          <t>GÄVLEBORGS LÄN</t>
        </is>
      </c>
      <c r="E9906" t="inlineStr">
        <is>
          <t>OVANÅKER</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5481-2024</t>
        </is>
      </c>
      <c r="B9907" s="1" t="n">
        <v>45333</v>
      </c>
      <c r="C9907" s="1" t="n">
        <v>45677</v>
      </c>
      <c r="D9907" t="inlineStr">
        <is>
          <t>GÄVLEBORGS LÄN</t>
        </is>
      </c>
      <c r="E9907" t="inlineStr">
        <is>
          <t>BOLLNÄS</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5500-2024</t>
        </is>
      </c>
      <c r="B9908" s="1" t="n">
        <v>45334</v>
      </c>
      <c r="C9908" s="1" t="n">
        <v>45677</v>
      </c>
      <c r="D9908" t="inlineStr">
        <is>
          <t>GÄVLEBORGS LÄN</t>
        </is>
      </c>
      <c r="E9908" t="inlineStr">
        <is>
          <t>HUDIKSVALL</t>
        </is>
      </c>
      <c r="F9908" t="inlineStr">
        <is>
          <t>Holmen skog AB</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5534-2024</t>
        </is>
      </c>
      <c r="B9909" s="1" t="n">
        <v>45334</v>
      </c>
      <c r="C9909" s="1" t="n">
        <v>45677</v>
      </c>
      <c r="D9909" t="inlineStr">
        <is>
          <t>GÄVLEBORGS LÄN</t>
        </is>
      </c>
      <c r="E9909" t="inlineStr">
        <is>
          <t>LJUSDAL</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5535-2024</t>
        </is>
      </c>
      <c r="B9910" s="1" t="n">
        <v>45334</v>
      </c>
      <c r="C9910" s="1" t="n">
        <v>45677</v>
      </c>
      <c r="D9910" t="inlineStr">
        <is>
          <t>GÄVLEBORGS LÄN</t>
        </is>
      </c>
      <c r="E9910" t="inlineStr">
        <is>
          <t>LJUSDAL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5554-2024</t>
        </is>
      </c>
      <c r="B9911" s="1" t="n">
        <v>45334</v>
      </c>
      <c r="C9911" s="1" t="n">
        <v>45677</v>
      </c>
      <c r="D9911" t="inlineStr">
        <is>
          <t>GÄVLEBORGS LÄN</t>
        </is>
      </c>
      <c r="E9911" t="inlineStr">
        <is>
          <t>HOFORS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5558-2024</t>
        </is>
      </c>
      <c r="B9912" s="1" t="n">
        <v>45334</v>
      </c>
      <c r="C9912" s="1" t="n">
        <v>45677</v>
      </c>
      <c r="D9912" t="inlineStr">
        <is>
          <t>GÄVLEBORGS LÄN</t>
        </is>
      </c>
      <c r="E9912" t="inlineStr">
        <is>
          <t>OCKELBO</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5605-2024</t>
        </is>
      </c>
      <c r="B9913" s="1" t="n">
        <v>45334</v>
      </c>
      <c r="C9913" s="1" t="n">
        <v>45677</v>
      </c>
      <c r="D9913" t="inlineStr">
        <is>
          <t>GÄVLEBORGS LÄN</t>
        </is>
      </c>
      <c r="E9913" t="inlineStr">
        <is>
          <t>GÄVLE</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5711-2024</t>
        </is>
      </c>
      <c r="B9914" s="1" t="n">
        <v>45334</v>
      </c>
      <c r="C9914" s="1" t="n">
        <v>45677</v>
      </c>
      <c r="D9914" t="inlineStr">
        <is>
          <t>GÄVLEBORGS LÄN</t>
        </is>
      </c>
      <c r="E9914" t="inlineStr">
        <is>
          <t>HUDIKSVALL</t>
        </is>
      </c>
      <c r="F9914" t="inlineStr">
        <is>
          <t>Holmen skog AB</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5571-2024</t>
        </is>
      </c>
      <c r="B9915" s="1" t="n">
        <v>45334</v>
      </c>
      <c r="C9915" s="1" t="n">
        <v>45677</v>
      </c>
      <c r="D9915" t="inlineStr">
        <is>
          <t>GÄVLEBORGS LÄN</t>
        </is>
      </c>
      <c r="E9915" t="inlineStr">
        <is>
          <t>OCKELBO</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5579-2024</t>
        </is>
      </c>
      <c r="B9916" s="1" t="n">
        <v>45334</v>
      </c>
      <c r="C9916" s="1" t="n">
        <v>45677</v>
      </c>
      <c r="D9916" t="inlineStr">
        <is>
          <t>GÄVLEBORGS LÄN</t>
        </is>
      </c>
      <c r="E9916" t="inlineStr">
        <is>
          <t>LJUSDAL</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5620-2024</t>
        </is>
      </c>
      <c r="B9917" s="1" t="n">
        <v>45334</v>
      </c>
      <c r="C9917" s="1" t="n">
        <v>45677</v>
      </c>
      <c r="D9917" t="inlineStr">
        <is>
          <t>GÄVLEBORGS LÄN</t>
        </is>
      </c>
      <c r="E9917" t="inlineStr">
        <is>
          <t>SANDVIKEN</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5635-2024</t>
        </is>
      </c>
      <c r="B9918" s="1" t="n">
        <v>45334</v>
      </c>
      <c r="C9918" s="1" t="n">
        <v>45677</v>
      </c>
      <c r="D9918" t="inlineStr">
        <is>
          <t>GÄVLEBORGS LÄN</t>
        </is>
      </c>
      <c r="E9918" t="inlineStr">
        <is>
          <t>HUDIKSVALL</t>
        </is>
      </c>
      <c r="F9918" t="inlineStr">
        <is>
          <t>Kommuner</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5604-2024</t>
        </is>
      </c>
      <c r="B9919" s="1" t="n">
        <v>45334</v>
      </c>
      <c r="C9919" s="1" t="n">
        <v>45677</v>
      </c>
      <c r="D9919" t="inlineStr">
        <is>
          <t>GÄVLEBORGS LÄN</t>
        </is>
      </c>
      <c r="E9919" t="inlineStr">
        <is>
          <t>HUDIKSVALL</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5633-2024</t>
        </is>
      </c>
      <c r="B9920" s="1" t="n">
        <v>45334</v>
      </c>
      <c r="C9920" s="1" t="n">
        <v>45677</v>
      </c>
      <c r="D9920" t="inlineStr">
        <is>
          <t>GÄVLEBORGS LÄN</t>
        </is>
      </c>
      <c r="E9920" t="inlineStr">
        <is>
          <t>GÄVLE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5725-2024</t>
        </is>
      </c>
      <c r="B9921" s="1" t="n">
        <v>45334</v>
      </c>
      <c r="C9921" s="1" t="n">
        <v>45677</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5756-2024</t>
        </is>
      </c>
      <c r="B9922" s="1" t="n">
        <v>45335</v>
      </c>
      <c r="C9922" s="1" t="n">
        <v>45677</v>
      </c>
      <c r="D9922" t="inlineStr">
        <is>
          <t>GÄVLEBORGS LÄN</t>
        </is>
      </c>
      <c r="E9922" t="inlineStr">
        <is>
          <t>BOLLNÄS</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5838-2024</t>
        </is>
      </c>
      <c r="B9923" s="1" t="n">
        <v>45335</v>
      </c>
      <c r="C9923" s="1" t="n">
        <v>45677</v>
      </c>
      <c r="D9923" t="inlineStr">
        <is>
          <t>GÄVLEBORGS LÄN</t>
        </is>
      </c>
      <c r="E9923" t="inlineStr">
        <is>
          <t>BOLLNÄS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5836-2024</t>
        </is>
      </c>
      <c r="B9924" s="1" t="n">
        <v>45335</v>
      </c>
      <c r="C9924" s="1" t="n">
        <v>45677</v>
      </c>
      <c r="D9924" t="inlineStr">
        <is>
          <t>GÄVLEBORGS LÄN</t>
        </is>
      </c>
      <c r="E9924" t="inlineStr">
        <is>
          <t>BOLLNÄS</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5893-2024</t>
        </is>
      </c>
      <c r="B9925" s="1" t="n">
        <v>45335</v>
      </c>
      <c r="C9925" s="1" t="n">
        <v>45677</v>
      </c>
      <c r="D9925" t="inlineStr">
        <is>
          <t>GÄVLEBORGS LÄN</t>
        </is>
      </c>
      <c r="E9925" t="inlineStr">
        <is>
          <t>GÄVLE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5897-2024</t>
        </is>
      </c>
      <c r="B9926" s="1" t="n">
        <v>45335</v>
      </c>
      <c r="C9926" s="1" t="n">
        <v>45677</v>
      </c>
      <c r="D9926" t="inlineStr">
        <is>
          <t>GÄVLEBORGS LÄN</t>
        </is>
      </c>
      <c r="E9926" t="inlineStr">
        <is>
          <t>HUDIKSVALL</t>
        </is>
      </c>
      <c r="F9926" t="inlineStr">
        <is>
          <t>Holmen skog AB</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5983-2024</t>
        </is>
      </c>
      <c r="B9927" s="1" t="n">
        <v>45336</v>
      </c>
      <c r="C9927" s="1" t="n">
        <v>45677</v>
      </c>
      <c r="D9927" t="inlineStr">
        <is>
          <t>GÄVLEBORGS LÄN</t>
        </is>
      </c>
      <c r="E9927" t="inlineStr">
        <is>
          <t>NORDANSTIG</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5999-2024</t>
        </is>
      </c>
      <c r="B9928" s="1" t="n">
        <v>45336</v>
      </c>
      <c r="C9928" s="1" t="n">
        <v>45677</v>
      </c>
      <c r="D9928" t="inlineStr">
        <is>
          <t>GÄVLEBORGS LÄN</t>
        </is>
      </c>
      <c r="E9928" t="inlineStr">
        <is>
          <t>NORDANSTIG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6015-2024</t>
        </is>
      </c>
      <c r="B9929" s="1" t="n">
        <v>45336</v>
      </c>
      <c r="C9929" s="1" t="n">
        <v>45677</v>
      </c>
      <c r="D9929" t="inlineStr">
        <is>
          <t>GÄVLEBORGS LÄN</t>
        </is>
      </c>
      <c r="E9929" t="inlineStr">
        <is>
          <t>HUDIKSVALL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6031-2024</t>
        </is>
      </c>
      <c r="B9930" s="1" t="n">
        <v>45336</v>
      </c>
      <c r="C9930" s="1" t="n">
        <v>45677</v>
      </c>
      <c r="D9930" t="inlineStr">
        <is>
          <t>GÄVLEBORGS LÄN</t>
        </is>
      </c>
      <c r="E9930" t="inlineStr">
        <is>
          <t>HUDIKSVALL</t>
        </is>
      </c>
      <c r="G9930" t="n">
        <v>24.4</v>
      </c>
      <c r="H9930" t="n">
        <v>0</v>
      </c>
      <c r="I9930" t="n">
        <v>0</v>
      </c>
      <c r="J9930" t="n">
        <v>0</v>
      </c>
      <c r="K9930" t="n">
        <v>0</v>
      </c>
      <c r="L9930" t="n">
        <v>0</v>
      </c>
      <c r="M9930" t="n">
        <v>0</v>
      </c>
      <c r="N9930" t="n">
        <v>0</v>
      </c>
      <c r="O9930" t="n">
        <v>0</v>
      </c>
      <c r="P9930" t="n">
        <v>0</v>
      </c>
      <c r="Q9930" t="n">
        <v>0</v>
      </c>
      <c r="R9930" s="2" t="inlineStr"/>
    </row>
    <row r="9931" ht="15" customHeight="1">
      <c r="A9931" t="inlineStr">
        <is>
          <t>A 6062-2024</t>
        </is>
      </c>
      <c r="B9931" s="1" t="n">
        <v>45336</v>
      </c>
      <c r="C9931" s="1" t="n">
        <v>45677</v>
      </c>
      <c r="D9931" t="inlineStr">
        <is>
          <t>GÄVLEBORGS LÄN</t>
        </is>
      </c>
      <c r="E9931" t="inlineStr">
        <is>
          <t>HUDIKSVALL</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6016-2024</t>
        </is>
      </c>
      <c r="B9932" s="1" t="n">
        <v>45336</v>
      </c>
      <c r="C9932" s="1" t="n">
        <v>45677</v>
      </c>
      <c r="D9932" t="inlineStr">
        <is>
          <t>GÄVLEBORGS LÄN</t>
        </is>
      </c>
      <c r="E9932" t="inlineStr">
        <is>
          <t>HUDIKSVALL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6074-2024</t>
        </is>
      </c>
      <c r="B9933" s="1" t="n">
        <v>45336</v>
      </c>
      <c r="C9933" s="1" t="n">
        <v>45677</v>
      </c>
      <c r="D9933" t="inlineStr">
        <is>
          <t>GÄVLEBORGS LÄN</t>
        </is>
      </c>
      <c r="E9933" t="inlineStr">
        <is>
          <t>LJUSDAL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6072-2024</t>
        </is>
      </c>
      <c r="B9934" s="1" t="n">
        <v>45336</v>
      </c>
      <c r="C9934" s="1" t="n">
        <v>45677</v>
      </c>
      <c r="D9934" t="inlineStr">
        <is>
          <t>GÄVLEBORGS LÄN</t>
        </is>
      </c>
      <c r="E9934" t="inlineStr">
        <is>
          <t>LJUSDAL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6073-2024</t>
        </is>
      </c>
      <c r="B9935" s="1" t="n">
        <v>45336</v>
      </c>
      <c r="C9935" s="1" t="n">
        <v>45677</v>
      </c>
      <c r="D9935" t="inlineStr">
        <is>
          <t>GÄVLEBORGS LÄN</t>
        </is>
      </c>
      <c r="E9935" t="inlineStr">
        <is>
          <t>LJUSDAL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6191-2024</t>
        </is>
      </c>
      <c r="B9936" s="1" t="n">
        <v>45337</v>
      </c>
      <c r="C9936" s="1" t="n">
        <v>45677</v>
      </c>
      <c r="D9936" t="inlineStr">
        <is>
          <t>GÄVLEBORGS LÄN</t>
        </is>
      </c>
      <c r="E9936" t="inlineStr">
        <is>
          <t>BOLLNÄS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6235-2024</t>
        </is>
      </c>
      <c r="B9937" s="1" t="n">
        <v>45337</v>
      </c>
      <c r="C9937" s="1" t="n">
        <v>45677</v>
      </c>
      <c r="D9937" t="inlineStr">
        <is>
          <t>GÄVLEBORGS LÄN</t>
        </is>
      </c>
      <c r="E9937" t="inlineStr">
        <is>
          <t>SANDVIKEN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6095-2024</t>
        </is>
      </c>
      <c r="B9938" s="1" t="n">
        <v>45337</v>
      </c>
      <c r="C9938" s="1" t="n">
        <v>45677</v>
      </c>
      <c r="D9938" t="inlineStr">
        <is>
          <t>GÄVLEBORGS LÄN</t>
        </is>
      </c>
      <c r="E9938" t="inlineStr">
        <is>
          <t>HUDIKSVALL</t>
        </is>
      </c>
      <c r="F9938" t="inlineStr">
        <is>
          <t>Holmen skog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6128-2024</t>
        </is>
      </c>
      <c r="B9939" s="1" t="n">
        <v>45337</v>
      </c>
      <c r="C9939" s="1" t="n">
        <v>45677</v>
      </c>
      <c r="D9939" t="inlineStr">
        <is>
          <t>GÄVLEBORGS LÄN</t>
        </is>
      </c>
      <c r="E9939" t="inlineStr">
        <is>
          <t>OCKELBO</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6110-2024</t>
        </is>
      </c>
      <c r="B9940" s="1" t="n">
        <v>45337</v>
      </c>
      <c r="C9940" s="1" t="n">
        <v>45677</v>
      </c>
      <c r="D9940" t="inlineStr">
        <is>
          <t>GÄVLEBORGS LÄN</t>
        </is>
      </c>
      <c r="E9940" t="inlineStr">
        <is>
          <t>HUDIKSVALL</t>
        </is>
      </c>
      <c r="F9940" t="inlineStr">
        <is>
          <t>Kommuner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6188-2024</t>
        </is>
      </c>
      <c r="B9941" s="1" t="n">
        <v>45337</v>
      </c>
      <c r="C9941" s="1" t="n">
        <v>45677</v>
      </c>
      <c r="D9941" t="inlineStr">
        <is>
          <t>GÄVLEBORGS LÄN</t>
        </is>
      </c>
      <c r="E9941" t="inlineStr">
        <is>
          <t>OVANÅKER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6260-2024</t>
        </is>
      </c>
      <c r="B9942" s="1" t="n">
        <v>45337</v>
      </c>
      <c r="C9942" s="1" t="n">
        <v>45677</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6331-2024</t>
        </is>
      </c>
      <c r="B9943" s="1" t="n">
        <v>45338</v>
      </c>
      <c r="C9943" s="1" t="n">
        <v>45677</v>
      </c>
      <c r="D9943" t="inlineStr">
        <is>
          <t>GÄVLEBORGS LÄN</t>
        </is>
      </c>
      <c r="E9943" t="inlineStr">
        <is>
          <t>OVANÅKER</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6389-2024</t>
        </is>
      </c>
      <c r="B9944" s="1" t="n">
        <v>45338</v>
      </c>
      <c r="C9944" s="1" t="n">
        <v>45677</v>
      </c>
      <c r="D9944" t="inlineStr">
        <is>
          <t>GÄVLEBORGS LÄN</t>
        </is>
      </c>
      <c r="E9944" t="inlineStr">
        <is>
          <t>SÖDERHAMN</t>
        </is>
      </c>
      <c r="G9944" t="n">
        <v>8.800000000000001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6388-2024</t>
        </is>
      </c>
      <c r="B9945" s="1" t="n">
        <v>45338</v>
      </c>
      <c r="C9945" s="1" t="n">
        <v>45677</v>
      </c>
      <c r="D9945" t="inlineStr">
        <is>
          <t>GÄVLEBORGS LÄN</t>
        </is>
      </c>
      <c r="E9945" t="inlineStr">
        <is>
          <t>SÖDERHAMN</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6378-2024</t>
        </is>
      </c>
      <c r="B9946" s="1" t="n">
        <v>45338</v>
      </c>
      <c r="C9946" s="1" t="n">
        <v>45677</v>
      </c>
      <c r="D9946" t="inlineStr">
        <is>
          <t>GÄVLEBORGS LÄN</t>
        </is>
      </c>
      <c r="E9946" t="inlineStr">
        <is>
          <t>SÖDERHAMN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6425-2024</t>
        </is>
      </c>
      <c r="B9947" s="1" t="n">
        <v>45338</v>
      </c>
      <c r="C9947" s="1" t="n">
        <v>45677</v>
      </c>
      <c r="D9947" t="inlineStr">
        <is>
          <t>GÄVLEBORGS LÄN</t>
        </is>
      </c>
      <c r="E9947" t="inlineStr">
        <is>
          <t>HUDIKSVALL</t>
        </is>
      </c>
      <c r="F9947" t="inlineStr">
        <is>
          <t>Holmen skog AB</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6474-2024</t>
        </is>
      </c>
      <c r="B9948" s="1" t="n">
        <v>45338</v>
      </c>
      <c r="C9948" s="1" t="n">
        <v>45677</v>
      </c>
      <c r="D9948" t="inlineStr">
        <is>
          <t>GÄVLEBORGS LÄN</t>
        </is>
      </c>
      <c r="E9948" t="inlineStr">
        <is>
          <t>GÄVLE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6469-2024</t>
        </is>
      </c>
      <c r="B9949" s="1" t="n">
        <v>45338</v>
      </c>
      <c r="C9949" s="1" t="n">
        <v>45677</v>
      </c>
      <c r="D9949" t="inlineStr">
        <is>
          <t>GÄVLEBORGS LÄN</t>
        </is>
      </c>
      <c r="E9949" t="inlineStr">
        <is>
          <t>LJUSDAL</t>
        </is>
      </c>
      <c r="G9949" t="n">
        <v>10.3</v>
      </c>
      <c r="H9949" t="n">
        <v>0</v>
      </c>
      <c r="I9949" t="n">
        <v>0</v>
      </c>
      <c r="J9949" t="n">
        <v>0</v>
      </c>
      <c r="K9949" t="n">
        <v>0</v>
      </c>
      <c r="L9949" t="n">
        <v>0</v>
      </c>
      <c r="M9949" t="n">
        <v>0</v>
      </c>
      <c r="N9949" t="n">
        <v>0</v>
      </c>
      <c r="O9949" t="n">
        <v>0</v>
      </c>
      <c r="P9949" t="n">
        <v>0</v>
      </c>
      <c r="Q9949" t="n">
        <v>0</v>
      </c>
      <c r="R9949" s="2" t="inlineStr"/>
    </row>
    <row r="9950" ht="15" customHeight="1">
      <c r="A9950" t="inlineStr">
        <is>
          <t>A 6467-2024</t>
        </is>
      </c>
      <c r="B9950" s="1" t="n">
        <v>45338</v>
      </c>
      <c r="C9950" s="1" t="n">
        <v>45677</v>
      </c>
      <c r="D9950" t="inlineStr">
        <is>
          <t>GÄVLEBORGS LÄN</t>
        </is>
      </c>
      <c r="E9950" t="inlineStr">
        <is>
          <t>NORDANSTIG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6568-2024</t>
        </is>
      </c>
      <c r="B9951" s="1" t="n">
        <v>45341</v>
      </c>
      <c r="C9951" s="1" t="n">
        <v>45677</v>
      </c>
      <c r="D9951" t="inlineStr">
        <is>
          <t>GÄVLEBORGS LÄN</t>
        </is>
      </c>
      <c r="E9951" t="inlineStr">
        <is>
          <t>OCKELBO</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6581-2024</t>
        </is>
      </c>
      <c r="B9952" s="1" t="n">
        <v>45341</v>
      </c>
      <c r="C9952" s="1" t="n">
        <v>45677</v>
      </c>
      <c r="D9952" t="inlineStr">
        <is>
          <t>GÄVLEBORGS LÄN</t>
        </is>
      </c>
      <c r="E9952" t="inlineStr">
        <is>
          <t>HUDIKSVALL</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6626-2024</t>
        </is>
      </c>
      <c r="B9953" s="1" t="n">
        <v>45341</v>
      </c>
      <c r="C9953" s="1" t="n">
        <v>45677</v>
      </c>
      <c r="D9953" t="inlineStr">
        <is>
          <t>GÄVLEBORGS LÄN</t>
        </is>
      </c>
      <c r="E9953" t="inlineStr">
        <is>
          <t>OCKELBO</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6729-2024</t>
        </is>
      </c>
      <c r="B9954" s="1" t="n">
        <v>45342</v>
      </c>
      <c r="C9954" s="1" t="n">
        <v>45677</v>
      </c>
      <c r="D9954" t="inlineStr">
        <is>
          <t>GÄVLEBORGS LÄN</t>
        </is>
      </c>
      <c r="E9954" t="inlineStr">
        <is>
          <t>LJUSDAL</t>
        </is>
      </c>
      <c r="F9954" t="inlineStr">
        <is>
          <t>Bergvik skog väst AB</t>
        </is>
      </c>
      <c r="G9954" t="n">
        <v>22.5</v>
      </c>
      <c r="H9954" t="n">
        <v>0</v>
      </c>
      <c r="I9954" t="n">
        <v>0</v>
      </c>
      <c r="J9954" t="n">
        <v>0</v>
      </c>
      <c r="K9954" t="n">
        <v>0</v>
      </c>
      <c r="L9954" t="n">
        <v>0</v>
      </c>
      <c r="M9954" t="n">
        <v>0</v>
      </c>
      <c r="N9954" t="n">
        <v>0</v>
      </c>
      <c r="O9954" t="n">
        <v>0</v>
      </c>
      <c r="P9954" t="n">
        <v>0</v>
      </c>
      <c r="Q9954" t="n">
        <v>0</v>
      </c>
      <c r="R9954" s="2" t="inlineStr"/>
    </row>
    <row r="9955" ht="15" customHeight="1">
      <c r="A9955" t="inlineStr">
        <is>
          <t>A 6724-2024</t>
        </is>
      </c>
      <c r="B9955" s="1" t="n">
        <v>45342</v>
      </c>
      <c r="C9955" s="1" t="n">
        <v>45677</v>
      </c>
      <c r="D9955" t="inlineStr">
        <is>
          <t>GÄVLEBORGS LÄN</t>
        </is>
      </c>
      <c r="E9955" t="inlineStr">
        <is>
          <t>LJUSDAL</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6730-2024</t>
        </is>
      </c>
      <c r="B9956" s="1" t="n">
        <v>45342</v>
      </c>
      <c r="C9956" s="1" t="n">
        <v>45677</v>
      </c>
      <c r="D9956" t="inlineStr">
        <is>
          <t>GÄVLEBORGS LÄN</t>
        </is>
      </c>
      <c r="E9956" t="inlineStr">
        <is>
          <t>HUDIKSVALL</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6742-2024</t>
        </is>
      </c>
      <c r="B9957" s="1" t="n">
        <v>45342</v>
      </c>
      <c r="C9957" s="1" t="n">
        <v>45677</v>
      </c>
      <c r="D9957" t="inlineStr">
        <is>
          <t>GÄVLEBORGS LÄN</t>
        </is>
      </c>
      <c r="E9957" t="inlineStr">
        <is>
          <t>OCKELBO</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6752-2024</t>
        </is>
      </c>
      <c r="B9958" s="1" t="n">
        <v>45342</v>
      </c>
      <c r="C9958" s="1" t="n">
        <v>45677</v>
      </c>
      <c r="D9958" t="inlineStr">
        <is>
          <t>GÄVLEBORGS LÄN</t>
        </is>
      </c>
      <c r="E9958" t="inlineStr">
        <is>
          <t>BOLLNÄS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6755-2024</t>
        </is>
      </c>
      <c r="B9959" s="1" t="n">
        <v>45342</v>
      </c>
      <c r="C9959" s="1" t="n">
        <v>45677</v>
      </c>
      <c r="D9959" t="inlineStr">
        <is>
          <t>GÄVLEBORGS LÄN</t>
        </is>
      </c>
      <c r="E9959" t="inlineStr">
        <is>
          <t>BOLLNÄS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6792-2024</t>
        </is>
      </c>
      <c r="B9960" s="1" t="n">
        <v>45342</v>
      </c>
      <c r="C9960" s="1" t="n">
        <v>45677</v>
      </c>
      <c r="D9960" t="inlineStr">
        <is>
          <t>GÄVLEBORGS LÄN</t>
        </is>
      </c>
      <c r="E9960" t="inlineStr">
        <is>
          <t>SÖDERHAMN</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6844-2024</t>
        </is>
      </c>
      <c r="B9961" s="1" t="n">
        <v>45342</v>
      </c>
      <c r="C9961" s="1" t="n">
        <v>45677</v>
      </c>
      <c r="D9961" t="inlineStr">
        <is>
          <t>GÄVLEBORGS LÄN</t>
        </is>
      </c>
      <c r="E9961" t="inlineStr">
        <is>
          <t>LJUSDAL</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6761-2024</t>
        </is>
      </c>
      <c r="B9962" s="1" t="n">
        <v>45342</v>
      </c>
      <c r="C9962" s="1" t="n">
        <v>45677</v>
      </c>
      <c r="D9962" t="inlineStr">
        <is>
          <t>GÄVLEBORGS LÄN</t>
        </is>
      </c>
      <c r="E9962" t="inlineStr">
        <is>
          <t>OVANÅKER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6802-2024</t>
        </is>
      </c>
      <c r="B9963" s="1" t="n">
        <v>45342</v>
      </c>
      <c r="C9963" s="1" t="n">
        <v>45677</v>
      </c>
      <c r="D9963" t="inlineStr">
        <is>
          <t>GÄVLEBORGS LÄN</t>
        </is>
      </c>
      <c r="E9963" t="inlineStr">
        <is>
          <t>LJUSDAL</t>
        </is>
      </c>
      <c r="F9963" t="inlineStr">
        <is>
          <t>Holmen skog AB</t>
        </is>
      </c>
      <c r="G9963" t="n">
        <v>23.2</v>
      </c>
      <c r="H9963" t="n">
        <v>0</v>
      </c>
      <c r="I9963" t="n">
        <v>0</v>
      </c>
      <c r="J9963" t="n">
        <v>0</v>
      </c>
      <c r="K9963" t="n">
        <v>0</v>
      </c>
      <c r="L9963" t="n">
        <v>0</v>
      </c>
      <c r="M9963" t="n">
        <v>0</v>
      </c>
      <c r="N9963" t="n">
        <v>0</v>
      </c>
      <c r="O9963" t="n">
        <v>0</v>
      </c>
      <c r="P9963" t="n">
        <v>0</v>
      </c>
      <c r="Q9963" t="n">
        <v>0</v>
      </c>
      <c r="R9963" s="2" t="inlineStr"/>
    </row>
    <row r="9964" ht="15" customHeight="1">
      <c r="A9964" t="inlineStr">
        <is>
          <t>A 6853-2024</t>
        </is>
      </c>
      <c r="B9964" s="1" t="n">
        <v>45342</v>
      </c>
      <c r="C9964" s="1" t="n">
        <v>45677</v>
      </c>
      <c r="D9964" t="inlineStr">
        <is>
          <t>GÄVLEBORGS LÄN</t>
        </is>
      </c>
      <c r="E9964" t="inlineStr">
        <is>
          <t>SÖDERHAMN</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6851-2024</t>
        </is>
      </c>
      <c r="B9965" s="1" t="n">
        <v>45342</v>
      </c>
      <c r="C9965" s="1" t="n">
        <v>45677</v>
      </c>
      <c r="D9965" t="inlineStr">
        <is>
          <t>GÄVLEBORGS LÄN</t>
        </is>
      </c>
      <c r="E9965" t="inlineStr">
        <is>
          <t>SÖDERHAMN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6872-2024</t>
        </is>
      </c>
      <c r="B9966" s="1" t="n">
        <v>45342</v>
      </c>
      <c r="C9966" s="1" t="n">
        <v>45677</v>
      </c>
      <c r="D9966" t="inlineStr">
        <is>
          <t>GÄVLEBORGS LÄN</t>
        </is>
      </c>
      <c r="E9966" t="inlineStr">
        <is>
          <t>HUDIKSVALL</t>
        </is>
      </c>
      <c r="F9966" t="inlineStr">
        <is>
          <t>Holmen skog AB</t>
        </is>
      </c>
      <c r="G9966" t="n">
        <v>8.300000000000001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6923-2024</t>
        </is>
      </c>
      <c r="B9967" s="1" t="n">
        <v>45343</v>
      </c>
      <c r="C9967" s="1" t="n">
        <v>45677</v>
      </c>
      <c r="D9967" t="inlineStr">
        <is>
          <t>GÄVLEBORGS LÄN</t>
        </is>
      </c>
      <c r="E9967" t="inlineStr">
        <is>
          <t>NORDANSTIG</t>
        </is>
      </c>
      <c r="F9967" t="inlineStr">
        <is>
          <t>Holmen skog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6958-2024</t>
        </is>
      </c>
      <c r="B9968" s="1" t="n">
        <v>45343</v>
      </c>
      <c r="C9968" s="1" t="n">
        <v>45677</v>
      </c>
      <c r="D9968" t="inlineStr">
        <is>
          <t>GÄVLEBORGS LÄN</t>
        </is>
      </c>
      <c r="E9968" t="inlineStr">
        <is>
          <t>HOFORS</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7031-2024</t>
        </is>
      </c>
      <c r="B9969" s="1" t="n">
        <v>45343</v>
      </c>
      <c r="C9969" s="1" t="n">
        <v>45677</v>
      </c>
      <c r="D9969" t="inlineStr">
        <is>
          <t>GÄVLEBORGS LÄN</t>
        </is>
      </c>
      <c r="E9969" t="inlineStr">
        <is>
          <t>LJUSDAL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6951-2024</t>
        </is>
      </c>
      <c r="B9970" s="1" t="n">
        <v>45343</v>
      </c>
      <c r="C9970" s="1" t="n">
        <v>45677</v>
      </c>
      <c r="D9970" t="inlineStr">
        <is>
          <t>GÄVLEBORGS LÄN</t>
        </is>
      </c>
      <c r="E9970" t="inlineStr">
        <is>
          <t>SANDVIKEN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6963-2024</t>
        </is>
      </c>
      <c r="B9971" s="1" t="n">
        <v>45343</v>
      </c>
      <c r="C9971" s="1" t="n">
        <v>45677</v>
      </c>
      <c r="D9971" t="inlineStr">
        <is>
          <t>GÄVLEBORGS LÄN</t>
        </is>
      </c>
      <c r="E9971" t="inlineStr">
        <is>
          <t>HOFORS</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7080-2024</t>
        </is>
      </c>
      <c r="B9972" s="1" t="n">
        <v>45343</v>
      </c>
      <c r="C9972" s="1" t="n">
        <v>45677</v>
      </c>
      <c r="D9972" t="inlineStr">
        <is>
          <t>GÄVLEBORGS LÄN</t>
        </is>
      </c>
      <c r="E9972" t="inlineStr">
        <is>
          <t>NORDANSTIG</t>
        </is>
      </c>
      <c r="G9972" t="n">
        <v>20.9</v>
      </c>
      <c r="H9972" t="n">
        <v>0</v>
      </c>
      <c r="I9972" t="n">
        <v>0</v>
      </c>
      <c r="J9972" t="n">
        <v>0</v>
      </c>
      <c r="K9972" t="n">
        <v>0</v>
      </c>
      <c r="L9972" t="n">
        <v>0</v>
      </c>
      <c r="M9972" t="n">
        <v>0</v>
      </c>
      <c r="N9972" t="n">
        <v>0</v>
      </c>
      <c r="O9972" t="n">
        <v>0</v>
      </c>
      <c r="P9972" t="n">
        <v>0</v>
      </c>
      <c r="Q9972" t="n">
        <v>0</v>
      </c>
      <c r="R9972" s="2" t="inlineStr"/>
    </row>
    <row r="9973" ht="15" customHeight="1">
      <c r="A9973" t="inlineStr">
        <is>
          <t>A 7103-2024</t>
        </is>
      </c>
      <c r="B9973" s="1" t="n">
        <v>45343</v>
      </c>
      <c r="C9973" s="1" t="n">
        <v>45677</v>
      </c>
      <c r="D9973" t="inlineStr">
        <is>
          <t>GÄVLEBORGS LÄN</t>
        </is>
      </c>
      <c r="E9973" t="inlineStr">
        <is>
          <t>HUDIKSVALL</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7105-2024</t>
        </is>
      </c>
      <c r="B9974" s="1" t="n">
        <v>45343</v>
      </c>
      <c r="C9974" s="1" t="n">
        <v>45677</v>
      </c>
      <c r="D9974" t="inlineStr">
        <is>
          <t>GÄVLEBORGS LÄN</t>
        </is>
      </c>
      <c r="E9974" t="inlineStr">
        <is>
          <t>HUDIKSVALL</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7104-2024</t>
        </is>
      </c>
      <c r="B9975" s="1" t="n">
        <v>45343</v>
      </c>
      <c r="C9975" s="1" t="n">
        <v>45677</v>
      </c>
      <c r="D9975" t="inlineStr">
        <is>
          <t>GÄVLEBORGS LÄN</t>
        </is>
      </c>
      <c r="E9975" t="inlineStr">
        <is>
          <t>HUDIKSVALL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7131-2024</t>
        </is>
      </c>
      <c r="B9976" s="1" t="n">
        <v>45344</v>
      </c>
      <c r="C9976" s="1" t="n">
        <v>45677</v>
      </c>
      <c r="D9976" t="inlineStr">
        <is>
          <t>GÄVLEBORGS LÄN</t>
        </is>
      </c>
      <c r="E9976" t="inlineStr">
        <is>
          <t>SÖDERHAMN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7135-2024</t>
        </is>
      </c>
      <c r="B9977" s="1" t="n">
        <v>45344</v>
      </c>
      <c r="C9977" s="1" t="n">
        <v>45677</v>
      </c>
      <c r="D9977" t="inlineStr">
        <is>
          <t>GÄVLEBORGS LÄN</t>
        </is>
      </c>
      <c r="E9977" t="inlineStr">
        <is>
          <t>OVANÅKER</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7298-2024</t>
        </is>
      </c>
      <c r="B9978" s="1" t="n">
        <v>45344</v>
      </c>
      <c r="C9978" s="1" t="n">
        <v>45677</v>
      </c>
      <c r="D9978" t="inlineStr">
        <is>
          <t>GÄVLEBORGS LÄN</t>
        </is>
      </c>
      <c r="E9978" t="inlineStr">
        <is>
          <t>GÄVLE</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7297-2024</t>
        </is>
      </c>
      <c r="B9979" s="1" t="n">
        <v>45344</v>
      </c>
      <c r="C9979" s="1" t="n">
        <v>45677</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7460-2024</t>
        </is>
      </c>
      <c r="B9980" s="1" t="n">
        <v>45345</v>
      </c>
      <c r="C9980" s="1" t="n">
        <v>45677</v>
      </c>
      <c r="D9980" t="inlineStr">
        <is>
          <t>GÄVLEBORGS LÄN</t>
        </is>
      </c>
      <c r="E9980" t="inlineStr">
        <is>
          <t>NORDANSTIG</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7360-2024</t>
        </is>
      </c>
      <c r="B9981" s="1" t="n">
        <v>45345</v>
      </c>
      <c r="C9981" s="1" t="n">
        <v>45677</v>
      </c>
      <c r="D9981" t="inlineStr">
        <is>
          <t>GÄVLEBORGS LÄN</t>
        </is>
      </c>
      <c r="E9981" t="inlineStr">
        <is>
          <t>SÖDERHAMN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7348-2024</t>
        </is>
      </c>
      <c r="B9982" s="1" t="n">
        <v>45345</v>
      </c>
      <c r="C9982" s="1" t="n">
        <v>45677</v>
      </c>
      <c r="D9982" t="inlineStr">
        <is>
          <t>GÄVLEBORGS LÄN</t>
        </is>
      </c>
      <c r="E9982" t="inlineStr">
        <is>
          <t>LJUSDAL</t>
        </is>
      </c>
      <c r="F9982" t="inlineStr">
        <is>
          <t>Bergvik skog väst AB</t>
        </is>
      </c>
      <c r="G9982" t="n">
        <v>13.4</v>
      </c>
      <c r="H9982" t="n">
        <v>0</v>
      </c>
      <c r="I9982" t="n">
        <v>0</v>
      </c>
      <c r="J9982" t="n">
        <v>0</v>
      </c>
      <c r="K9982" t="n">
        <v>0</v>
      </c>
      <c r="L9982" t="n">
        <v>0</v>
      </c>
      <c r="M9982" t="n">
        <v>0</v>
      </c>
      <c r="N9982" t="n">
        <v>0</v>
      </c>
      <c r="O9982" t="n">
        <v>0</v>
      </c>
      <c r="P9982" t="n">
        <v>0</v>
      </c>
      <c r="Q9982" t="n">
        <v>0</v>
      </c>
      <c r="R9982" s="2" t="inlineStr"/>
    </row>
    <row r="9983" ht="15" customHeight="1">
      <c r="A9983" t="inlineStr">
        <is>
          <t>A 7386-2024</t>
        </is>
      </c>
      <c r="B9983" s="1" t="n">
        <v>45345</v>
      </c>
      <c r="C9983" s="1" t="n">
        <v>45677</v>
      </c>
      <c r="D9983" t="inlineStr">
        <is>
          <t>GÄVLEBORGS LÄN</t>
        </is>
      </c>
      <c r="E9983" t="inlineStr">
        <is>
          <t>LJUSDAL</t>
        </is>
      </c>
      <c r="F9983" t="inlineStr">
        <is>
          <t>Holmen skog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7411-2024</t>
        </is>
      </c>
      <c r="B9984" s="1" t="n">
        <v>45345</v>
      </c>
      <c r="C9984" s="1" t="n">
        <v>45677</v>
      </c>
      <c r="D9984" t="inlineStr">
        <is>
          <t>GÄVLEBORGS LÄN</t>
        </is>
      </c>
      <c r="E9984" t="inlineStr">
        <is>
          <t>HUDIKSVALL</t>
        </is>
      </c>
      <c r="G9984" t="n">
        <v>24.2</v>
      </c>
      <c r="H9984" t="n">
        <v>0</v>
      </c>
      <c r="I9984" t="n">
        <v>0</v>
      </c>
      <c r="J9984" t="n">
        <v>0</v>
      </c>
      <c r="K9984" t="n">
        <v>0</v>
      </c>
      <c r="L9984" t="n">
        <v>0</v>
      </c>
      <c r="M9984" t="n">
        <v>0</v>
      </c>
      <c r="N9984" t="n">
        <v>0</v>
      </c>
      <c r="O9984" t="n">
        <v>0</v>
      </c>
      <c r="P9984" t="n">
        <v>0</v>
      </c>
      <c r="Q9984" t="n">
        <v>0</v>
      </c>
      <c r="R9984" s="2" t="inlineStr"/>
    </row>
    <row r="9985" ht="15" customHeight="1">
      <c r="A9985" t="inlineStr">
        <is>
          <t>A 7363-2024</t>
        </is>
      </c>
      <c r="B9985" s="1" t="n">
        <v>45345</v>
      </c>
      <c r="C9985" s="1" t="n">
        <v>45677</v>
      </c>
      <c r="D9985" t="inlineStr">
        <is>
          <t>GÄVLEBORGS LÄN</t>
        </is>
      </c>
      <c r="E9985" t="inlineStr">
        <is>
          <t>SÖDERHAMN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7436-2024</t>
        </is>
      </c>
      <c r="B9986" s="1" t="n">
        <v>45345</v>
      </c>
      <c r="C9986" s="1" t="n">
        <v>45677</v>
      </c>
      <c r="D9986" t="inlineStr">
        <is>
          <t>GÄVLEBORGS LÄN</t>
        </is>
      </c>
      <c r="E9986" t="inlineStr">
        <is>
          <t>NORDANSTIG</t>
        </is>
      </c>
      <c r="F9986" t="inlineStr">
        <is>
          <t>Holmen skog AB</t>
        </is>
      </c>
      <c r="G9986" t="n">
        <v>62.5</v>
      </c>
      <c r="H9986" t="n">
        <v>0</v>
      </c>
      <c r="I9986" t="n">
        <v>0</v>
      </c>
      <c r="J9986" t="n">
        <v>0</v>
      </c>
      <c r="K9986" t="n">
        <v>0</v>
      </c>
      <c r="L9986" t="n">
        <v>0</v>
      </c>
      <c r="M9986" t="n">
        <v>0</v>
      </c>
      <c r="N9986" t="n">
        <v>0</v>
      </c>
      <c r="O9986" t="n">
        <v>0</v>
      </c>
      <c r="P9986" t="n">
        <v>0</v>
      </c>
      <c r="Q9986" t="n">
        <v>0</v>
      </c>
      <c r="R9986" s="2" t="inlineStr"/>
    </row>
    <row r="9987" ht="15" customHeight="1">
      <c r="A9987" t="inlineStr">
        <is>
          <t>A 7563-2024</t>
        </is>
      </c>
      <c r="B9987" s="1" t="n">
        <v>45348</v>
      </c>
      <c r="C9987" s="1" t="n">
        <v>45677</v>
      </c>
      <c r="D9987" t="inlineStr">
        <is>
          <t>GÄVLEBORGS LÄN</t>
        </is>
      </c>
      <c r="E9987" t="inlineStr">
        <is>
          <t>HOFORS</t>
        </is>
      </c>
      <c r="G9987" t="n">
        <v>10.8</v>
      </c>
      <c r="H9987" t="n">
        <v>0</v>
      </c>
      <c r="I9987" t="n">
        <v>0</v>
      </c>
      <c r="J9987" t="n">
        <v>0</v>
      </c>
      <c r="K9987" t="n">
        <v>0</v>
      </c>
      <c r="L9987" t="n">
        <v>0</v>
      </c>
      <c r="M9987" t="n">
        <v>0</v>
      </c>
      <c r="N9987" t="n">
        <v>0</v>
      </c>
      <c r="O9987" t="n">
        <v>0</v>
      </c>
      <c r="P9987" t="n">
        <v>0</v>
      </c>
      <c r="Q9987" t="n">
        <v>0</v>
      </c>
      <c r="R9987" s="2" t="inlineStr"/>
    </row>
    <row r="9988" ht="15" customHeight="1">
      <c r="A9988" t="inlineStr">
        <is>
          <t>A 7514-2024</t>
        </is>
      </c>
      <c r="B9988" s="1" t="n">
        <v>45348</v>
      </c>
      <c r="C9988" s="1" t="n">
        <v>45677</v>
      </c>
      <c r="D9988" t="inlineStr">
        <is>
          <t>GÄVLEBORGS LÄN</t>
        </is>
      </c>
      <c r="E9988" t="inlineStr">
        <is>
          <t>LJUSDAL</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7560-2024</t>
        </is>
      </c>
      <c r="B9989" s="1" t="n">
        <v>45348</v>
      </c>
      <c r="C9989" s="1" t="n">
        <v>45677</v>
      </c>
      <c r="D9989" t="inlineStr">
        <is>
          <t>GÄVLEBORGS LÄN</t>
        </is>
      </c>
      <c r="E9989" t="inlineStr">
        <is>
          <t>BOLLNÄS</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7513-2024</t>
        </is>
      </c>
      <c r="B9990" s="1" t="n">
        <v>45348</v>
      </c>
      <c r="C9990" s="1" t="n">
        <v>45677</v>
      </c>
      <c r="D9990" t="inlineStr">
        <is>
          <t>GÄVLEBORGS LÄN</t>
        </is>
      </c>
      <c r="E9990" t="inlineStr">
        <is>
          <t>LJUSDAL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7547-2024</t>
        </is>
      </c>
      <c r="B9991" s="1" t="n">
        <v>45348</v>
      </c>
      <c r="C9991" s="1" t="n">
        <v>45677</v>
      </c>
      <c r="D9991" t="inlineStr">
        <is>
          <t>GÄVLEBORGS LÄN</t>
        </is>
      </c>
      <c r="E9991" t="inlineStr">
        <is>
          <t>HOFORS</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7603-2024</t>
        </is>
      </c>
      <c r="B9992" s="1" t="n">
        <v>45348</v>
      </c>
      <c r="C9992" s="1" t="n">
        <v>45677</v>
      </c>
      <c r="D9992" t="inlineStr">
        <is>
          <t>GÄVLEBORGS LÄN</t>
        </is>
      </c>
      <c r="E9992" t="inlineStr">
        <is>
          <t>LJUSDAL</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7606-2024</t>
        </is>
      </c>
      <c r="B9993" s="1" t="n">
        <v>45348</v>
      </c>
      <c r="C9993" s="1" t="n">
        <v>45677</v>
      </c>
      <c r="D9993" t="inlineStr">
        <is>
          <t>GÄVLEBORGS LÄN</t>
        </is>
      </c>
      <c r="E9993" t="inlineStr">
        <is>
          <t>LJUSDAL</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7580-2024</t>
        </is>
      </c>
      <c r="B9994" s="1" t="n">
        <v>45348</v>
      </c>
      <c r="C9994" s="1" t="n">
        <v>45677</v>
      </c>
      <c r="D9994" t="inlineStr">
        <is>
          <t>GÄVLEBORGS LÄN</t>
        </is>
      </c>
      <c r="E9994" t="inlineStr">
        <is>
          <t>BOLLNÄS</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7731-2024</t>
        </is>
      </c>
      <c r="B9995" s="1" t="n">
        <v>45349</v>
      </c>
      <c r="C9995" s="1" t="n">
        <v>45677</v>
      </c>
      <c r="D9995" t="inlineStr">
        <is>
          <t>GÄVLEBORGS LÄN</t>
        </is>
      </c>
      <c r="E9995" t="inlineStr">
        <is>
          <t>LJUSDAL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7693-2024</t>
        </is>
      </c>
      <c r="B9996" s="1" t="n">
        <v>45349</v>
      </c>
      <c r="C9996" s="1" t="n">
        <v>45677</v>
      </c>
      <c r="D9996" t="inlineStr">
        <is>
          <t>GÄVLEBORGS LÄN</t>
        </is>
      </c>
      <c r="E9996" t="inlineStr">
        <is>
          <t>OVANÅKER</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7694-2024</t>
        </is>
      </c>
      <c r="B9997" s="1" t="n">
        <v>45349</v>
      </c>
      <c r="C9997" s="1" t="n">
        <v>45677</v>
      </c>
      <c r="D9997" t="inlineStr">
        <is>
          <t>GÄVLEBORGS LÄN</t>
        </is>
      </c>
      <c r="E9997" t="inlineStr">
        <is>
          <t>OVANÅKER</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7709-2024</t>
        </is>
      </c>
      <c r="B9998" s="1" t="n">
        <v>45349</v>
      </c>
      <c r="C9998" s="1" t="n">
        <v>45677</v>
      </c>
      <c r="D9998" t="inlineStr">
        <is>
          <t>GÄVLEBORGS LÄN</t>
        </is>
      </c>
      <c r="E9998" t="inlineStr">
        <is>
          <t>LJUSDAL</t>
        </is>
      </c>
      <c r="F9998" t="inlineStr">
        <is>
          <t>Holmen skog AB</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7724-2024</t>
        </is>
      </c>
      <c r="B9999" s="1" t="n">
        <v>45349</v>
      </c>
      <c r="C9999" s="1" t="n">
        <v>45677</v>
      </c>
      <c r="D9999" t="inlineStr">
        <is>
          <t>GÄVLEBORGS LÄN</t>
        </is>
      </c>
      <c r="E9999" t="inlineStr">
        <is>
          <t>LJUSDAL</t>
        </is>
      </c>
      <c r="F9999" t="inlineStr">
        <is>
          <t>Bergvik skog väst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7729-2024</t>
        </is>
      </c>
      <c r="B10000" s="1" t="n">
        <v>45349</v>
      </c>
      <c r="C10000" s="1" t="n">
        <v>45677</v>
      </c>
      <c r="D10000" t="inlineStr">
        <is>
          <t>GÄVLEBORGS LÄN</t>
        </is>
      </c>
      <c r="E10000" t="inlineStr">
        <is>
          <t>LJUSDAL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7734-2024</t>
        </is>
      </c>
      <c r="B10001" s="1" t="n">
        <v>45349</v>
      </c>
      <c r="C10001" s="1" t="n">
        <v>45677</v>
      </c>
      <c r="D10001" t="inlineStr">
        <is>
          <t>GÄVLEBORGS LÄN</t>
        </is>
      </c>
      <c r="E10001" t="inlineStr">
        <is>
          <t>BOLLNÄS</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7836-2024</t>
        </is>
      </c>
      <c r="B10002" s="1" t="n">
        <v>45349</v>
      </c>
      <c r="C10002" s="1" t="n">
        <v>45677</v>
      </c>
      <c r="D10002" t="inlineStr">
        <is>
          <t>GÄVLEBORGS LÄN</t>
        </is>
      </c>
      <c r="E10002" t="inlineStr">
        <is>
          <t>HUDIKSVALL</t>
        </is>
      </c>
      <c r="F10002" t="inlineStr">
        <is>
          <t>Holmen skog AB</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7846-2024</t>
        </is>
      </c>
      <c r="B10003" s="1" t="n">
        <v>45350</v>
      </c>
      <c r="C10003" s="1" t="n">
        <v>45677</v>
      </c>
      <c r="D10003" t="inlineStr">
        <is>
          <t>GÄVLEBORGS LÄN</t>
        </is>
      </c>
      <c r="E10003" t="inlineStr">
        <is>
          <t>NORDANSTIG</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7811-2024</t>
        </is>
      </c>
      <c r="B10004" s="1" t="n">
        <v>45349</v>
      </c>
      <c r="C10004" s="1" t="n">
        <v>45677</v>
      </c>
      <c r="D10004" t="inlineStr">
        <is>
          <t>GÄVLEBORGS LÄN</t>
        </is>
      </c>
      <c r="E10004" t="inlineStr">
        <is>
          <t>NORDANSTIG</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7915-2024</t>
        </is>
      </c>
      <c r="B10005" s="1" t="n">
        <v>45350</v>
      </c>
      <c r="C10005" s="1" t="n">
        <v>45677</v>
      </c>
      <c r="D10005" t="inlineStr">
        <is>
          <t>GÄVLEBORGS LÄN</t>
        </is>
      </c>
      <c r="E10005" t="inlineStr">
        <is>
          <t>GÄVLE</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7919-2024</t>
        </is>
      </c>
      <c r="B10006" s="1" t="n">
        <v>45350</v>
      </c>
      <c r="C10006" s="1" t="n">
        <v>45677</v>
      </c>
      <c r="D10006" t="inlineStr">
        <is>
          <t>GÄVLEBORGS LÄN</t>
        </is>
      </c>
      <c r="E10006" t="inlineStr">
        <is>
          <t>SANDVIKEN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7923-2024</t>
        </is>
      </c>
      <c r="B10007" s="1" t="n">
        <v>45350</v>
      </c>
      <c r="C10007" s="1" t="n">
        <v>45677</v>
      </c>
      <c r="D10007" t="inlineStr">
        <is>
          <t>GÄVLEBORGS LÄN</t>
        </is>
      </c>
      <c r="E10007" t="inlineStr">
        <is>
          <t>GÄVLE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7946-2024</t>
        </is>
      </c>
      <c r="B10008" s="1" t="n">
        <v>45350</v>
      </c>
      <c r="C10008" s="1" t="n">
        <v>45677</v>
      </c>
      <c r="D10008" t="inlineStr">
        <is>
          <t>GÄVLEBORGS LÄN</t>
        </is>
      </c>
      <c r="E10008" t="inlineStr">
        <is>
          <t>SANDVIKEN</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7994-2024</t>
        </is>
      </c>
      <c r="B10009" s="1" t="n">
        <v>45350</v>
      </c>
      <c r="C10009" s="1" t="n">
        <v>45677</v>
      </c>
      <c r="D10009" t="inlineStr">
        <is>
          <t>GÄVLEBORGS LÄN</t>
        </is>
      </c>
      <c r="E10009" t="inlineStr">
        <is>
          <t>LJUSDAL</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7949-2024</t>
        </is>
      </c>
      <c r="B10010" s="1" t="n">
        <v>45350</v>
      </c>
      <c r="C10010" s="1" t="n">
        <v>45677</v>
      </c>
      <c r="D10010" t="inlineStr">
        <is>
          <t>GÄVLEBORGS LÄN</t>
        </is>
      </c>
      <c r="E10010" t="inlineStr">
        <is>
          <t>SANDVIKEN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7886-2024</t>
        </is>
      </c>
      <c r="B10011" s="1" t="n">
        <v>45350</v>
      </c>
      <c r="C10011" s="1" t="n">
        <v>45677</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7899-2024</t>
        </is>
      </c>
      <c r="B10012" s="1" t="n">
        <v>45350</v>
      </c>
      <c r="C10012" s="1" t="n">
        <v>45677</v>
      </c>
      <c r="D10012" t="inlineStr">
        <is>
          <t>GÄVLEBORGS LÄN</t>
        </is>
      </c>
      <c r="E10012" t="inlineStr">
        <is>
          <t>GÄVLE</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7997-2024</t>
        </is>
      </c>
      <c r="B10013" s="1" t="n">
        <v>45350</v>
      </c>
      <c r="C10013" s="1" t="n">
        <v>45677</v>
      </c>
      <c r="D10013" t="inlineStr">
        <is>
          <t>GÄVLEBORGS LÄN</t>
        </is>
      </c>
      <c r="E10013" t="inlineStr">
        <is>
          <t>OVANÅKER</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7992-2024</t>
        </is>
      </c>
      <c r="B10014" s="1" t="n">
        <v>45350</v>
      </c>
      <c r="C10014" s="1" t="n">
        <v>45677</v>
      </c>
      <c r="D10014" t="inlineStr">
        <is>
          <t>GÄVLEBORGS LÄN</t>
        </is>
      </c>
      <c r="E10014" t="inlineStr">
        <is>
          <t>HUDIKSVALL</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8032-2024</t>
        </is>
      </c>
      <c r="B10015" s="1" t="n">
        <v>45350</v>
      </c>
      <c r="C10015" s="1" t="n">
        <v>45677</v>
      </c>
      <c r="D10015" t="inlineStr">
        <is>
          <t>GÄVLEBORGS LÄN</t>
        </is>
      </c>
      <c r="E10015" t="inlineStr">
        <is>
          <t>OVANÅKER</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7907-2024</t>
        </is>
      </c>
      <c r="B10016" s="1" t="n">
        <v>45350</v>
      </c>
      <c r="C10016" s="1" t="n">
        <v>45677</v>
      </c>
      <c r="D10016" t="inlineStr">
        <is>
          <t>GÄVLEBORGS LÄN</t>
        </is>
      </c>
      <c r="E10016" t="inlineStr">
        <is>
          <t>HUDIKSVALL</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7920-2024</t>
        </is>
      </c>
      <c r="B10017" s="1" t="n">
        <v>45350</v>
      </c>
      <c r="C10017" s="1" t="n">
        <v>45677</v>
      </c>
      <c r="D10017" t="inlineStr">
        <is>
          <t>GÄVLEBORGS LÄN</t>
        </is>
      </c>
      <c r="E10017" t="inlineStr">
        <is>
          <t>GÄVLE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7926-2024</t>
        </is>
      </c>
      <c r="B10018" s="1" t="n">
        <v>45350</v>
      </c>
      <c r="C10018" s="1" t="n">
        <v>45677</v>
      </c>
      <c r="D10018" t="inlineStr">
        <is>
          <t>GÄVLEBORGS LÄN</t>
        </is>
      </c>
      <c r="E10018" t="inlineStr">
        <is>
          <t>GÄVLE</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8027-2024</t>
        </is>
      </c>
      <c r="B10019" s="1" t="n">
        <v>45350</v>
      </c>
      <c r="C10019" s="1" t="n">
        <v>45677</v>
      </c>
      <c r="D10019" t="inlineStr">
        <is>
          <t>GÄVLEBORGS LÄN</t>
        </is>
      </c>
      <c r="E10019" t="inlineStr">
        <is>
          <t>HUDIKSVALL</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8031-2024</t>
        </is>
      </c>
      <c r="B10020" s="1" t="n">
        <v>45350</v>
      </c>
      <c r="C10020" s="1" t="n">
        <v>45677</v>
      </c>
      <c r="D10020" t="inlineStr">
        <is>
          <t>GÄVLEBORGS LÄN</t>
        </is>
      </c>
      <c r="E10020" t="inlineStr">
        <is>
          <t>GÄVLE</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8040-2024</t>
        </is>
      </c>
      <c r="B10021" s="1" t="n">
        <v>45350</v>
      </c>
      <c r="C10021" s="1" t="n">
        <v>45677</v>
      </c>
      <c r="D10021" t="inlineStr">
        <is>
          <t>GÄVLEBORGS LÄN</t>
        </is>
      </c>
      <c r="E10021" t="inlineStr">
        <is>
          <t>NORDANSTIG</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8080-2024</t>
        </is>
      </c>
      <c r="B10022" s="1" t="n">
        <v>45351</v>
      </c>
      <c r="C10022" s="1" t="n">
        <v>45677</v>
      </c>
      <c r="D10022" t="inlineStr">
        <is>
          <t>GÄVLEBORGS LÄN</t>
        </is>
      </c>
      <c r="E10022" t="inlineStr">
        <is>
          <t>SÖDERHAMN</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8096-2024</t>
        </is>
      </c>
      <c r="B10023" s="1" t="n">
        <v>45351</v>
      </c>
      <c r="C10023" s="1" t="n">
        <v>45677</v>
      </c>
      <c r="D10023" t="inlineStr">
        <is>
          <t>GÄVLEBORGS LÄN</t>
        </is>
      </c>
      <c r="E10023" t="inlineStr">
        <is>
          <t>HUDIKSVALL</t>
        </is>
      </c>
      <c r="F10023" t="inlineStr">
        <is>
          <t>Holmen skog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8142-2024</t>
        </is>
      </c>
      <c r="B10024" s="1" t="n">
        <v>45351</v>
      </c>
      <c r="C10024" s="1" t="n">
        <v>45677</v>
      </c>
      <c r="D10024" t="inlineStr">
        <is>
          <t>GÄVLEBORGS LÄN</t>
        </is>
      </c>
      <c r="E10024" t="inlineStr">
        <is>
          <t>LJUSDAL</t>
        </is>
      </c>
      <c r="F10024" t="inlineStr">
        <is>
          <t>Holmen skog AB</t>
        </is>
      </c>
      <c r="G10024" t="n">
        <v>17.1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8051-2024</t>
        </is>
      </c>
      <c r="B10025" s="1" t="n">
        <v>45351</v>
      </c>
      <c r="C10025" s="1" t="n">
        <v>45677</v>
      </c>
      <c r="D10025" t="inlineStr">
        <is>
          <t>GÄVLEBORGS LÄN</t>
        </is>
      </c>
      <c r="E10025" t="inlineStr">
        <is>
          <t>HUDIKSVALL</t>
        </is>
      </c>
      <c r="F10025" t="inlineStr">
        <is>
          <t>Holmen skog AB</t>
        </is>
      </c>
      <c r="G10025" t="n">
        <v>12.9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8119-2024</t>
        </is>
      </c>
      <c r="B10026" s="1" t="n">
        <v>45351</v>
      </c>
      <c r="C10026" s="1" t="n">
        <v>45677</v>
      </c>
      <c r="D10026" t="inlineStr">
        <is>
          <t>GÄVLEBORGS LÄN</t>
        </is>
      </c>
      <c r="E10026" t="inlineStr">
        <is>
          <t>BOLLNÄS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8061-2024</t>
        </is>
      </c>
      <c r="B10027" s="1" t="n">
        <v>45351</v>
      </c>
      <c r="C10027" s="1" t="n">
        <v>45677</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8081-2024</t>
        </is>
      </c>
      <c r="B10028" s="1" t="n">
        <v>45351</v>
      </c>
      <c r="C10028" s="1" t="n">
        <v>45677</v>
      </c>
      <c r="D10028" t="inlineStr">
        <is>
          <t>GÄVLEBORGS LÄN</t>
        </is>
      </c>
      <c r="E10028" t="inlineStr">
        <is>
          <t>LJUSDAL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8199-2024</t>
        </is>
      </c>
      <c r="B10029" s="1" t="n">
        <v>45351</v>
      </c>
      <c r="C10029" s="1" t="n">
        <v>45677</v>
      </c>
      <c r="D10029" t="inlineStr">
        <is>
          <t>GÄVLEBORGS LÄN</t>
        </is>
      </c>
      <c r="E10029" t="inlineStr">
        <is>
          <t>NORDANSTIG</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8233-2024</t>
        </is>
      </c>
      <c r="B10030" s="1" t="n">
        <v>45351</v>
      </c>
      <c r="C10030" s="1" t="n">
        <v>45677</v>
      </c>
      <c r="D10030" t="inlineStr">
        <is>
          <t>GÄVLEBORGS LÄN</t>
        </is>
      </c>
      <c r="E10030" t="inlineStr">
        <is>
          <t>BOLLNÄS</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8289-2024</t>
        </is>
      </c>
      <c r="B10031" s="1" t="n">
        <v>45352</v>
      </c>
      <c r="C10031" s="1" t="n">
        <v>45677</v>
      </c>
      <c r="D10031" t="inlineStr">
        <is>
          <t>GÄVLEBORGS LÄN</t>
        </is>
      </c>
      <c r="E10031" t="inlineStr">
        <is>
          <t>LJUSDAL</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8335-2024</t>
        </is>
      </c>
      <c r="B10032" s="1" t="n">
        <v>45352</v>
      </c>
      <c r="C10032" s="1" t="n">
        <v>45677</v>
      </c>
      <c r="D10032" t="inlineStr">
        <is>
          <t>GÄVLEBORGS LÄN</t>
        </is>
      </c>
      <c r="E10032" t="inlineStr">
        <is>
          <t>LJUSDAL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8323-2024</t>
        </is>
      </c>
      <c r="B10033" s="1" t="n">
        <v>45352</v>
      </c>
      <c r="C10033" s="1" t="n">
        <v>45677</v>
      </c>
      <c r="D10033" t="inlineStr">
        <is>
          <t>GÄVLEBORGS LÄN</t>
        </is>
      </c>
      <c r="E10033" t="inlineStr">
        <is>
          <t>BOLLNÄS</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8339-2024</t>
        </is>
      </c>
      <c r="B10034" s="1" t="n">
        <v>45352</v>
      </c>
      <c r="C10034" s="1" t="n">
        <v>45677</v>
      </c>
      <c r="D10034" t="inlineStr">
        <is>
          <t>GÄVLEBORGS LÄN</t>
        </is>
      </c>
      <c r="E10034" t="inlineStr">
        <is>
          <t>LJUSDAL</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8395-2024</t>
        </is>
      </c>
      <c r="B10035" s="1" t="n">
        <v>45352</v>
      </c>
      <c r="C10035" s="1" t="n">
        <v>45677</v>
      </c>
      <c r="D10035" t="inlineStr">
        <is>
          <t>GÄVLEBORGS LÄN</t>
        </is>
      </c>
      <c r="E10035" t="inlineStr">
        <is>
          <t>NORDANSTIG</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8327-2024</t>
        </is>
      </c>
      <c r="B10036" s="1" t="n">
        <v>45352</v>
      </c>
      <c r="C10036" s="1" t="n">
        <v>45677</v>
      </c>
      <c r="D10036" t="inlineStr">
        <is>
          <t>GÄVLEBORGS LÄN</t>
        </is>
      </c>
      <c r="E10036" t="inlineStr">
        <is>
          <t>BOLLNÄS</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8302-2024</t>
        </is>
      </c>
      <c r="B10037" s="1" t="n">
        <v>45352</v>
      </c>
      <c r="C10037" s="1" t="n">
        <v>45677</v>
      </c>
      <c r="D10037" t="inlineStr">
        <is>
          <t>GÄVLEBORGS LÄN</t>
        </is>
      </c>
      <c r="E10037" t="inlineStr">
        <is>
          <t>BOLLNÄS</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8308-2024</t>
        </is>
      </c>
      <c r="B10038" s="1" t="n">
        <v>45352</v>
      </c>
      <c r="C10038" s="1" t="n">
        <v>45677</v>
      </c>
      <c r="D10038" t="inlineStr">
        <is>
          <t>GÄVLEBORGS LÄN</t>
        </is>
      </c>
      <c r="E10038" t="inlineStr">
        <is>
          <t>BOLLNÄS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8384-2024</t>
        </is>
      </c>
      <c r="B10039" s="1" t="n">
        <v>45352</v>
      </c>
      <c r="C10039" s="1" t="n">
        <v>45677</v>
      </c>
      <c r="D10039" t="inlineStr">
        <is>
          <t>GÄVLEBORGS LÄN</t>
        </is>
      </c>
      <c r="E10039" t="inlineStr">
        <is>
          <t>LJUSDAL</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8397-2024</t>
        </is>
      </c>
      <c r="B10040" s="1" t="n">
        <v>45352</v>
      </c>
      <c r="C10040" s="1" t="n">
        <v>45677</v>
      </c>
      <c r="D10040" t="inlineStr">
        <is>
          <t>GÄVLEBORGS LÄN</t>
        </is>
      </c>
      <c r="E10040" t="inlineStr">
        <is>
          <t>NORDANSTIG</t>
        </is>
      </c>
      <c r="F10040" t="inlineStr">
        <is>
          <t>Holmen skog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8434-2024</t>
        </is>
      </c>
      <c r="B10041" s="1" t="n">
        <v>45353</v>
      </c>
      <c r="C10041" s="1" t="n">
        <v>45677</v>
      </c>
      <c r="D10041" t="inlineStr">
        <is>
          <t>GÄVLEBORGS LÄN</t>
        </is>
      </c>
      <c r="E10041" t="inlineStr">
        <is>
          <t>HUDIKSVALL</t>
        </is>
      </c>
      <c r="F10041" t="inlineStr">
        <is>
          <t>Holmen skog AB</t>
        </is>
      </c>
      <c r="G10041" t="n">
        <v>10.1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8486-2024</t>
        </is>
      </c>
      <c r="B10042" s="1" t="n">
        <v>45355</v>
      </c>
      <c r="C10042" s="1" t="n">
        <v>45677</v>
      </c>
      <c r="D10042" t="inlineStr">
        <is>
          <t>GÄVLEBORGS LÄN</t>
        </is>
      </c>
      <c r="E10042" t="inlineStr">
        <is>
          <t>HUDIKSVALL</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8494-2024</t>
        </is>
      </c>
      <c r="B10043" s="1" t="n">
        <v>45355</v>
      </c>
      <c r="C10043" s="1" t="n">
        <v>45677</v>
      </c>
      <c r="D10043" t="inlineStr">
        <is>
          <t>GÄVLEBORGS LÄN</t>
        </is>
      </c>
      <c r="E10043" t="inlineStr">
        <is>
          <t>HUDIKSVALL</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8515-2024</t>
        </is>
      </c>
      <c r="B10044" s="1" t="n">
        <v>45355</v>
      </c>
      <c r="C10044" s="1" t="n">
        <v>45677</v>
      </c>
      <c r="D10044" t="inlineStr">
        <is>
          <t>GÄVLEBORGS LÄN</t>
        </is>
      </c>
      <c r="E10044" t="inlineStr">
        <is>
          <t>HUDIKSVALL</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8522-2024</t>
        </is>
      </c>
      <c r="B10045" s="1" t="n">
        <v>45355</v>
      </c>
      <c r="C10045" s="1" t="n">
        <v>45677</v>
      </c>
      <c r="D10045" t="inlineStr">
        <is>
          <t>GÄVLEBORGS LÄN</t>
        </is>
      </c>
      <c r="E10045" t="inlineStr">
        <is>
          <t>HUDIKSVALL</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8573-2024</t>
        </is>
      </c>
      <c r="B10046" s="1" t="n">
        <v>45355</v>
      </c>
      <c r="C10046" s="1" t="n">
        <v>45677</v>
      </c>
      <c r="D10046" t="inlineStr">
        <is>
          <t>GÄVLEBORGS LÄN</t>
        </is>
      </c>
      <c r="E10046" t="inlineStr">
        <is>
          <t>BOLLNÄS</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8496-2024</t>
        </is>
      </c>
      <c r="B10047" s="1" t="n">
        <v>45355</v>
      </c>
      <c r="C10047" s="1" t="n">
        <v>45677</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8487-2024</t>
        </is>
      </c>
      <c r="B10048" s="1" t="n">
        <v>45355</v>
      </c>
      <c r="C10048" s="1" t="n">
        <v>45677</v>
      </c>
      <c r="D10048" t="inlineStr">
        <is>
          <t>GÄVLEBORGS LÄN</t>
        </is>
      </c>
      <c r="E10048" t="inlineStr">
        <is>
          <t>HUDIKSVALL</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8691-2024</t>
        </is>
      </c>
      <c r="B10049" s="1" t="n">
        <v>45356</v>
      </c>
      <c r="C10049" s="1" t="n">
        <v>45677</v>
      </c>
      <c r="D10049" t="inlineStr">
        <is>
          <t>GÄVLEBORGS LÄN</t>
        </is>
      </c>
      <c r="E10049" t="inlineStr">
        <is>
          <t>GÄVLE</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8667-2024</t>
        </is>
      </c>
      <c r="B10050" s="1" t="n">
        <v>45356</v>
      </c>
      <c r="C10050" s="1" t="n">
        <v>45677</v>
      </c>
      <c r="D10050" t="inlineStr">
        <is>
          <t>GÄVLEBORGS LÄN</t>
        </is>
      </c>
      <c r="E10050" t="inlineStr">
        <is>
          <t>LJUSDAL</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8693-2024</t>
        </is>
      </c>
      <c r="B10051" s="1" t="n">
        <v>45356</v>
      </c>
      <c r="C10051" s="1" t="n">
        <v>45677</v>
      </c>
      <c r="D10051" t="inlineStr">
        <is>
          <t>GÄVLEBORGS LÄN</t>
        </is>
      </c>
      <c r="E10051" t="inlineStr">
        <is>
          <t>GÄVLE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8698-2024</t>
        </is>
      </c>
      <c r="B10052" s="1" t="n">
        <v>45356</v>
      </c>
      <c r="C10052" s="1" t="n">
        <v>45677</v>
      </c>
      <c r="D10052" t="inlineStr">
        <is>
          <t>GÄVLEBORGS LÄN</t>
        </is>
      </c>
      <c r="E10052" t="inlineStr">
        <is>
          <t>SANDVIKEN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8695-2024</t>
        </is>
      </c>
      <c r="B10053" s="1" t="n">
        <v>45356</v>
      </c>
      <c r="C10053" s="1" t="n">
        <v>45677</v>
      </c>
      <c r="D10053" t="inlineStr">
        <is>
          <t>GÄVLEBORGS LÄN</t>
        </is>
      </c>
      <c r="E10053" t="inlineStr">
        <is>
          <t>SANDVIKEN</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8768-2024</t>
        </is>
      </c>
      <c r="B10054" s="1" t="n">
        <v>45356</v>
      </c>
      <c r="C10054" s="1" t="n">
        <v>45677</v>
      </c>
      <c r="D10054" t="inlineStr">
        <is>
          <t>GÄVLEBORGS LÄN</t>
        </is>
      </c>
      <c r="E10054" t="inlineStr">
        <is>
          <t>SÖDERHAMN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8776-2024</t>
        </is>
      </c>
      <c r="B10055" s="1" t="n">
        <v>45356</v>
      </c>
      <c r="C10055" s="1" t="n">
        <v>45677</v>
      </c>
      <c r="D10055" t="inlineStr">
        <is>
          <t>GÄVLEBORGS LÄN</t>
        </is>
      </c>
      <c r="E10055" t="inlineStr">
        <is>
          <t>BOLLNÄS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8898-2024</t>
        </is>
      </c>
      <c r="B10056" s="1" t="n">
        <v>45357</v>
      </c>
      <c r="C10056" s="1" t="n">
        <v>45677</v>
      </c>
      <c r="D10056" t="inlineStr">
        <is>
          <t>GÄVLEBORGS LÄN</t>
        </is>
      </c>
      <c r="E10056" t="inlineStr">
        <is>
          <t>NORDANSTIG</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9053-2024</t>
        </is>
      </c>
      <c r="B10057" s="1" t="n">
        <v>45357</v>
      </c>
      <c r="C10057" s="1" t="n">
        <v>45677</v>
      </c>
      <c r="D10057" t="inlineStr">
        <is>
          <t>GÄVLEBORGS LÄN</t>
        </is>
      </c>
      <c r="E10057" t="inlineStr">
        <is>
          <t>SANDVIKEN</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9058-2024</t>
        </is>
      </c>
      <c r="B10058" s="1" t="n">
        <v>45357</v>
      </c>
      <c r="C10058" s="1" t="n">
        <v>45677</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9062-2024</t>
        </is>
      </c>
      <c r="B10059" s="1" t="n">
        <v>45357</v>
      </c>
      <c r="C10059" s="1" t="n">
        <v>45677</v>
      </c>
      <c r="D10059" t="inlineStr">
        <is>
          <t>GÄVLEBORGS LÄN</t>
        </is>
      </c>
      <c r="E10059" t="inlineStr">
        <is>
          <t>SANDVIKEN</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8909-2024</t>
        </is>
      </c>
      <c r="B10060" s="1" t="n">
        <v>45357</v>
      </c>
      <c r="C10060" s="1" t="n">
        <v>45677</v>
      </c>
      <c r="D10060" t="inlineStr">
        <is>
          <t>GÄVLEBORGS LÄN</t>
        </is>
      </c>
      <c r="E10060" t="inlineStr">
        <is>
          <t>NORDANSTIG</t>
        </is>
      </c>
      <c r="G10060" t="n">
        <v>15.3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8979-2024</t>
        </is>
      </c>
      <c r="B10061" s="1" t="n">
        <v>45357</v>
      </c>
      <c r="C10061" s="1" t="n">
        <v>45677</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9025-2024</t>
        </is>
      </c>
      <c r="B10062" s="1" t="n">
        <v>45357</v>
      </c>
      <c r="C10062" s="1" t="n">
        <v>45677</v>
      </c>
      <c r="D10062" t="inlineStr">
        <is>
          <t>GÄVLEBORGS LÄN</t>
        </is>
      </c>
      <c r="E10062" t="inlineStr">
        <is>
          <t>BOLLNÄS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9059-2024</t>
        </is>
      </c>
      <c r="B10063" s="1" t="n">
        <v>45357</v>
      </c>
      <c r="C10063" s="1" t="n">
        <v>45677</v>
      </c>
      <c r="D10063" t="inlineStr">
        <is>
          <t>GÄVLEBORGS LÄN</t>
        </is>
      </c>
      <c r="E10063" t="inlineStr">
        <is>
          <t>SANDVIKEN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9111-2024</t>
        </is>
      </c>
      <c r="B10064" s="1" t="n">
        <v>45358</v>
      </c>
      <c r="C10064" s="1" t="n">
        <v>45677</v>
      </c>
      <c r="D10064" t="inlineStr">
        <is>
          <t>GÄVLEBORGS LÄN</t>
        </is>
      </c>
      <c r="E10064" t="inlineStr">
        <is>
          <t>LJUSDAL</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9110-2024</t>
        </is>
      </c>
      <c r="B10065" s="1" t="n">
        <v>45358</v>
      </c>
      <c r="C10065" s="1" t="n">
        <v>45677</v>
      </c>
      <c r="D10065" t="inlineStr">
        <is>
          <t>GÄVLEBORGS LÄN</t>
        </is>
      </c>
      <c r="E10065" t="inlineStr">
        <is>
          <t>HUDIKSVALL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9243-2024</t>
        </is>
      </c>
      <c r="B10066" s="1" t="n">
        <v>45358</v>
      </c>
      <c r="C10066" s="1" t="n">
        <v>45677</v>
      </c>
      <c r="D10066" t="inlineStr">
        <is>
          <t>GÄVLEBORGS LÄN</t>
        </is>
      </c>
      <c r="E10066" t="inlineStr">
        <is>
          <t>OVANÅKER</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9220-2024</t>
        </is>
      </c>
      <c r="B10067" s="1" t="n">
        <v>45358</v>
      </c>
      <c r="C10067" s="1" t="n">
        <v>45677</v>
      </c>
      <c r="D10067" t="inlineStr">
        <is>
          <t>GÄVLEBORGS LÄN</t>
        </is>
      </c>
      <c r="E10067" t="inlineStr">
        <is>
          <t>LJUSDAL</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9262-2024</t>
        </is>
      </c>
      <c r="B10068" s="1" t="n">
        <v>45358</v>
      </c>
      <c r="C10068" s="1" t="n">
        <v>45677</v>
      </c>
      <c r="D10068" t="inlineStr">
        <is>
          <t>GÄVLEBORGS LÄN</t>
        </is>
      </c>
      <c r="E10068" t="inlineStr">
        <is>
          <t>BOLLNÄS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9224-2024</t>
        </is>
      </c>
      <c r="B10069" s="1" t="n">
        <v>45358</v>
      </c>
      <c r="C10069" s="1" t="n">
        <v>45677</v>
      </c>
      <c r="D10069" t="inlineStr">
        <is>
          <t>GÄVLEBORGS LÄN</t>
        </is>
      </c>
      <c r="E10069" t="inlineStr">
        <is>
          <t>LJUSDAL</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9315-2024</t>
        </is>
      </c>
      <c r="B10070" s="1" t="n">
        <v>45358</v>
      </c>
      <c r="C10070" s="1" t="n">
        <v>45677</v>
      </c>
      <c r="D10070" t="inlineStr">
        <is>
          <t>GÄVLEBORGS LÄN</t>
        </is>
      </c>
      <c r="E10070" t="inlineStr">
        <is>
          <t>HUDIKSVALL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9131-2024</t>
        </is>
      </c>
      <c r="B10071" s="1" t="n">
        <v>45358</v>
      </c>
      <c r="C10071" s="1" t="n">
        <v>45677</v>
      </c>
      <c r="D10071" t="inlineStr">
        <is>
          <t>GÄVLEBORGS LÄN</t>
        </is>
      </c>
      <c r="E10071" t="inlineStr">
        <is>
          <t>NORDANSTIG</t>
        </is>
      </c>
      <c r="F10071" t="inlineStr">
        <is>
          <t>Holmen skog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9343-2024</t>
        </is>
      </c>
      <c r="B10072" s="1" t="n">
        <v>45359</v>
      </c>
      <c r="C10072" s="1" t="n">
        <v>45677</v>
      </c>
      <c r="D10072" t="inlineStr">
        <is>
          <t>GÄVLEBORGS LÄN</t>
        </is>
      </c>
      <c r="E10072" t="inlineStr">
        <is>
          <t>LJUSDAL</t>
        </is>
      </c>
      <c r="F10072" t="inlineStr">
        <is>
          <t>SCA</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9367-2024</t>
        </is>
      </c>
      <c r="B10073" s="1" t="n">
        <v>45358</v>
      </c>
      <c r="C10073" s="1" t="n">
        <v>45677</v>
      </c>
      <c r="D10073" t="inlineStr">
        <is>
          <t>GÄVLEBORGS LÄN</t>
        </is>
      </c>
      <c r="E10073" t="inlineStr">
        <is>
          <t>HUDIKSVALL</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9361-2024</t>
        </is>
      </c>
      <c r="B10074" s="1" t="n">
        <v>45359</v>
      </c>
      <c r="C10074" s="1" t="n">
        <v>45677</v>
      </c>
      <c r="D10074" t="inlineStr">
        <is>
          <t>GÄVLEBORGS LÄN</t>
        </is>
      </c>
      <c r="E10074" t="inlineStr">
        <is>
          <t>LJUSDAL</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9359-2024</t>
        </is>
      </c>
      <c r="B10075" s="1" t="n">
        <v>45359</v>
      </c>
      <c r="C10075" s="1" t="n">
        <v>45677</v>
      </c>
      <c r="D10075" t="inlineStr">
        <is>
          <t>GÄVLEBORGS LÄN</t>
        </is>
      </c>
      <c r="E10075" t="inlineStr">
        <is>
          <t>LJUSDAL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9363-2024</t>
        </is>
      </c>
      <c r="B10076" s="1" t="n">
        <v>45359</v>
      </c>
      <c r="C10076" s="1" t="n">
        <v>45677</v>
      </c>
      <c r="D10076" t="inlineStr">
        <is>
          <t>GÄVLEBORGS LÄN</t>
        </is>
      </c>
      <c r="E10076" t="inlineStr">
        <is>
          <t>LJUSDAL</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9366-2024</t>
        </is>
      </c>
      <c r="B10077" s="1" t="n">
        <v>45359</v>
      </c>
      <c r="C10077" s="1" t="n">
        <v>45677</v>
      </c>
      <c r="D10077" t="inlineStr">
        <is>
          <t>GÄVLEBORGS LÄN</t>
        </is>
      </c>
      <c r="E10077" t="inlineStr">
        <is>
          <t>HUDIKSVALL</t>
        </is>
      </c>
      <c r="F10077" t="inlineStr">
        <is>
          <t>Holmen skog AB</t>
        </is>
      </c>
      <c r="G10077" t="n">
        <v>13.6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9400-2024</t>
        </is>
      </c>
      <c r="B10078" s="1" t="n">
        <v>45359</v>
      </c>
      <c r="C10078" s="1" t="n">
        <v>45677</v>
      </c>
      <c r="D10078" t="inlineStr">
        <is>
          <t>GÄVLEBORGS LÄN</t>
        </is>
      </c>
      <c r="E10078" t="inlineStr">
        <is>
          <t>HUDIKSVALL</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9427-2024</t>
        </is>
      </c>
      <c r="B10079" s="1" t="n">
        <v>45359</v>
      </c>
      <c r="C10079" s="1" t="n">
        <v>45677</v>
      </c>
      <c r="D10079" t="inlineStr">
        <is>
          <t>GÄVLEBORGS LÄN</t>
        </is>
      </c>
      <c r="E10079" t="inlineStr">
        <is>
          <t>HUDIKSVALL</t>
        </is>
      </c>
      <c r="F10079" t="inlineStr">
        <is>
          <t>Holmen skog AB</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9602-2024</t>
        </is>
      </c>
      <c r="B10080" s="1" t="n">
        <v>45361</v>
      </c>
      <c r="C10080" s="1" t="n">
        <v>45677</v>
      </c>
      <c r="D10080" t="inlineStr">
        <is>
          <t>GÄVLEBORGS LÄN</t>
        </is>
      </c>
      <c r="E10080" t="inlineStr">
        <is>
          <t>LJUSDAL</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9603-2024</t>
        </is>
      </c>
      <c r="B10081" s="1" t="n">
        <v>45361</v>
      </c>
      <c r="C10081" s="1" t="n">
        <v>45677</v>
      </c>
      <c r="D10081" t="inlineStr">
        <is>
          <t>GÄVLEBORGS LÄN</t>
        </is>
      </c>
      <c r="E10081" t="inlineStr">
        <is>
          <t>LJUSDAL</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9680-2024</t>
        </is>
      </c>
      <c r="B10082" s="1" t="n">
        <v>45362</v>
      </c>
      <c r="C10082" s="1" t="n">
        <v>45677</v>
      </c>
      <c r="D10082" t="inlineStr">
        <is>
          <t>GÄVLEBORGS LÄN</t>
        </is>
      </c>
      <c r="E10082" t="inlineStr">
        <is>
          <t>HUDIKSVALL</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9762-2024</t>
        </is>
      </c>
      <c r="B10083" s="1" t="n">
        <v>45362</v>
      </c>
      <c r="C10083" s="1" t="n">
        <v>45677</v>
      </c>
      <c r="D10083" t="inlineStr">
        <is>
          <t>GÄVLEBORGS LÄN</t>
        </is>
      </c>
      <c r="E10083" t="inlineStr">
        <is>
          <t>BOLLNÄS</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9766-2024</t>
        </is>
      </c>
      <c r="B10084" s="1" t="n">
        <v>45362</v>
      </c>
      <c r="C10084" s="1" t="n">
        <v>45677</v>
      </c>
      <c r="D10084" t="inlineStr">
        <is>
          <t>GÄVLEBORGS LÄN</t>
        </is>
      </c>
      <c r="E10084" t="inlineStr">
        <is>
          <t>HUDIKSVALL</t>
        </is>
      </c>
      <c r="F10084" t="inlineStr">
        <is>
          <t>Holmen skog AB</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9648-2024</t>
        </is>
      </c>
      <c r="B10085" s="1" t="n">
        <v>45362</v>
      </c>
      <c r="C10085" s="1" t="n">
        <v>45677</v>
      </c>
      <c r="D10085" t="inlineStr">
        <is>
          <t>GÄVLEBORGS LÄN</t>
        </is>
      </c>
      <c r="E10085" t="inlineStr">
        <is>
          <t>BOLLNÄS</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9661-2024</t>
        </is>
      </c>
      <c r="B10086" s="1" t="n">
        <v>45362</v>
      </c>
      <c r="C10086" s="1" t="n">
        <v>45677</v>
      </c>
      <c r="D10086" t="inlineStr">
        <is>
          <t>GÄVLEBORGS LÄN</t>
        </is>
      </c>
      <c r="E10086" t="inlineStr">
        <is>
          <t>LJUSDAL</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9960-2024</t>
        </is>
      </c>
      <c r="B10087" s="1" t="n">
        <v>45363</v>
      </c>
      <c r="C10087" s="1" t="n">
        <v>45677</v>
      </c>
      <c r="D10087" t="inlineStr">
        <is>
          <t>GÄVLEBORGS LÄN</t>
        </is>
      </c>
      <c r="E10087" t="inlineStr">
        <is>
          <t>OVANÅKER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9905-2024</t>
        </is>
      </c>
      <c r="B10088" s="1" t="n">
        <v>45363</v>
      </c>
      <c r="C10088" s="1" t="n">
        <v>45677</v>
      </c>
      <c r="D10088" t="inlineStr">
        <is>
          <t>GÄVLEBORGS LÄN</t>
        </is>
      </c>
      <c r="E10088" t="inlineStr">
        <is>
          <t>HUDIKSVALL</t>
        </is>
      </c>
      <c r="F10088" t="inlineStr">
        <is>
          <t>Holmen skog AB</t>
        </is>
      </c>
      <c r="G10088" t="n">
        <v>16.5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9955-2024</t>
        </is>
      </c>
      <c r="B10089" s="1" t="n">
        <v>45363</v>
      </c>
      <c r="C10089" s="1" t="n">
        <v>45677</v>
      </c>
      <c r="D10089" t="inlineStr">
        <is>
          <t>GÄVLEBORGS LÄN</t>
        </is>
      </c>
      <c r="E10089" t="inlineStr">
        <is>
          <t>HUDIKSVALL</t>
        </is>
      </c>
      <c r="F10089" t="inlineStr">
        <is>
          <t>Holmen skog AB</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10105-2024</t>
        </is>
      </c>
      <c r="B10090" s="1" t="n">
        <v>45364</v>
      </c>
      <c r="C10090" s="1" t="n">
        <v>45677</v>
      </c>
      <c r="D10090" t="inlineStr">
        <is>
          <t>GÄVLEBORGS LÄN</t>
        </is>
      </c>
      <c r="E10090" t="inlineStr">
        <is>
          <t>LJUSDAL</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10109-2024</t>
        </is>
      </c>
      <c r="B10091" s="1" t="n">
        <v>45364</v>
      </c>
      <c r="C10091" s="1" t="n">
        <v>45677</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10113-2024</t>
        </is>
      </c>
      <c r="B10092" s="1" t="n">
        <v>45364</v>
      </c>
      <c r="C10092" s="1" t="n">
        <v>45677</v>
      </c>
      <c r="D10092" t="inlineStr">
        <is>
          <t>GÄVLEBORGS LÄN</t>
        </is>
      </c>
      <c r="E10092" t="inlineStr">
        <is>
          <t>SÖDERHAMN</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10117-2024</t>
        </is>
      </c>
      <c r="B10093" s="1" t="n">
        <v>45364</v>
      </c>
      <c r="C10093" s="1" t="n">
        <v>45677</v>
      </c>
      <c r="D10093" t="inlineStr">
        <is>
          <t>GÄVLEBORGS LÄN</t>
        </is>
      </c>
      <c r="E10093" t="inlineStr">
        <is>
          <t>SÖDERHAMN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10177-2024</t>
        </is>
      </c>
      <c r="B10094" s="1" t="n">
        <v>45364</v>
      </c>
      <c r="C10094" s="1" t="n">
        <v>45677</v>
      </c>
      <c r="D10094" t="inlineStr">
        <is>
          <t>GÄVLEBORGS LÄN</t>
        </is>
      </c>
      <c r="E10094" t="inlineStr">
        <is>
          <t>LJUSDAL</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10054-2024</t>
        </is>
      </c>
      <c r="B10095" s="1" t="n">
        <v>45364</v>
      </c>
      <c r="C10095" s="1" t="n">
        <v>45677</v>
      </c>
      <c r="D10095" t="inlineStr">
        <is>
          <t>GÄVLEBORGS LÄN</t>
        </is>
      </c>
      <c r="E10095" t="inlineStr">
        <is>
          <t>HUDIKSVALL</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10118-2024</t>
        </is>
      </c>
      <c r="B10096" s="1" t="n">
        <v>45364</v>
      </c>
      <c r="C10096" s="1" t="n">
        <v>45677</v>
      </c>
      <c r="D10096" t="inlineStr">
        <is>
          <t>GÄVLEBORGS LÄN</t>
        </is>
      </c>
      <c r="E10096" t="inlineStr">
        <is>
          <t>BOLLNÄS</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10131-2024</t>
        </is>
      </c>
      <c r="B10097" s="1" t="n">
        <v>45364</v>
      </c>
      <c r="C10097" s="1" t="n">
        <v>45677</v>
      </c>
      <c r="D10097" t="inlineStr">
        <is>
          <t>GÄVLEBORGS LÄN</t>
        </is>
      </c>
      <c r="E10097" t="inlineStr">
        <is>
          <t>HUDIKSVALL</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10137-2024</t>
        </is>
      </c>
      <c r="B10098" s="1" t="n">
        <v>45364</v>
      </c>
      <c r="C10098" s="1" t="n">
        <v>45677</v>
      </c>
      <c r="D10098" t="inlineStr">
        <is>
          <t>GÄVLEBORGS LÄN</t>
        </is>
      </c>
      <c r="E10098" t="inlineStr">
        <is>
          <t>NORDANSTIG</t>
        </is>
      </c>
      <c r="F10098" t="inlineStr">
        <is>
          <t>Holmen skog AB</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10141-2024</t>
        </is>
      </c>
      <c r="B10099" s="1" t="n">
        <v>45364</v>
      </c>
      <c r="C10099" s="1" t="n">
        <v>45677</v>
      </c>
      <c r="D10099" t="inlineStr">
        <is>
          <t>GÄVLEBORGS LÄN</t>
        </is>
      </c>
      <c r="E10099" t="inlineStr">
        <is>
          <t>LJUSDAL</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10095-2024</t>
        </is>
      </c>
      <c r="B10100" s="1" t="n">
        <v>45364</v>
      </c>
      <c r="C10100" s="1" t="n">
        <v>45677</v>
      </c>
      <c r="D10100" t="inlineStr">
        <is>
          <t>GÄVLEBORGS LÄN</t>
        </is>
      </c>
      <c r="E10100" t="inlineStr">
        <is>
          <t>SÖDERHAMN</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10119-2024</t>
        </is>
      </c>
      <c r="B10101" s="1" t="n">
        <v>45364</v>
      </c>
      <c r="C10101" s="1" t="n">
        <v>45677</v>
      </c>
      <c r="D10101" t="inlineStr">
        <is>
          <t>GÄVLEBORGS LÄN</t>
        </is>
      </c>
      <c r="E10101" t="inlineStr">
        <is>
          <t>BOLLNÄS</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10123-2024</t>
        </is>
      </c>
      <c r="B10102" s="1" t="n">
        <v>45364</v>
      </c>
      <c r="C10102" s="1" t="n">
        <v>45677</v>
      </c>
      <c r="D10102" t="inlineStr">
        <is>
          <t>GÄVLEBORGS LÄN</t>
        </is>
      </c>
      <c r="E10102" t="inlineStr">
        <is>
          <t>BOLLNÄS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10100-2024</t>
        </is>
      </c>
      <c r="B10103" s="1" t="n">
        <v>45364</v>
      </c>
      <c r="C10103" s="1" t="n">
        <v>45677</v>
      </c>
      <c r="D10103" t="inlineStr">
        <is>
          <t>GÄVLEBORGS LÄN</t>
        </is>
      </c>
      <c r="E10103" t="inlineStr">
        <is>
          <t>NORDANSTIG</t>
        </is>
      </c>
      <c r="F10103" t="inlineStr">
        <is>
          <t>Holmen skog AB</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10108-2024</t>
        </is>
      </c>
      <c r="B10104" s="1" t="n">
        <v>45364</v>
      </c>
      <c r="C10104" s="1" t="n">
        <v>45677</v>
      </c>
      <c r="D10104" t="inlineStr">
        <is>
          <t>GÄVLEBORGS LÄN</t>
        </is>
      </c>
      <c r="E10104" t="inlineStr">
        <is>
          <t>HUDIKSVALL</t>
        </is>
      </c>
      <c r="F10104" t="inlineStr">
        <is>
          <t>Holmen skog AB</t>
        </is>
      </c>
      <c r="G10104" t="n">
        <v>23.1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10207-2024</t>
        </is>
      </c>
      <c r="B10105" s="1" t="n">
        <v>45364</v>
      </c>
      <c r="C10105" s="1" t="n">
        <v>45677</v>
      </c>
      <c r="D10105" t="inlineStr">
        <is>
          <t>GÄVLEBORGS LÄN</t>
        </is>
      </c>
      <c r="E10105" t="inlineStr">
        <is>
          <t>LJUSDAL</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10238-2024</t>
        </is>
      </c>
      <c r="B10106" s="1" t="n">
        <v>45365</v>
      </c>
      <c r="C10106" s="1" t="n">
        <v>45677</v>
      </c>
      <c r="D10106" t="inlineStr">
        <is>
          <t>GÄVLEBORGS LÄN</t>
        </is>
      </c>
      <c r="E10106" t="inlineStr">
        <is>
          <t>OCKELBO</t>
        </is>
      </c>
      <c r="F10106" t="inlineStr">
        <is>
          <t>Kyrkan</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10324-2024</t>
        </is>
      </c>
      <c r="B10107" s="1" t="n">
        <v>45365</v>
      </c>
      <c r="C10107" s="1" t="n">
        <v>45677</v>
      </c>
      <c r="D10107" t="inlineStr">
        <is>
          <t>GÄVLEBORGS LÄN</t>
        </is>
      </c>
      <c r="E10107" t="inlineStr">
        <is>
          <t>SÖDERHAMN</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10236-2024</t>
        </is>
      </c>
      <c r="B10108" s="1" t="n">
        <v>45365</v>
      </c>
      <c r="C10108" s="1" t="n">
        <v>45677</v>
      </c>
      <c r="D10108" t="inlineStr">
        <is>
          <t>GÄVLEBORGS LÄN</t>
        </is>
      </c>
      <c r="E10108" t="inlineStr">
        <is>
          <t>HUDIKSVALL</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10327-2024</t>
        </is>
      </c>
      <c r="B10109" s="1" t="n">
        <v>45365</v>
      </c>
      <c r="C10109" s="1" t="n">
        <v>45677</v>
      </c>
      <c r="D10109" t="inlineStr">
        <is>
          <t>GÄVLEBORGS LÄN</t>
        </is>
      </c>
      <c r="E10109" t="inlineStr">
        <is>
          <t>SÖDERHAMN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10373-2024</t>
        </is>
      </c>
      <c r="B10110" s="1" t="n">
        <v>45365</v>
      </c>
      <c r="C10110" s="1" t="n">
        <v>45677</v>
      </c>
      <c r="D10110" t="inlineStr">
        <is>
          <t>GÄVLEBORGS LÄN</t>
        </is>
      </c>
      <c r="E10110" t="inlineStr">
        <is>
          <t>HUDIKSVALL</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10356-2024</t>
        </is>
      </c>
      <c r="B10111" s="1" t="n">
        <v>45365</v>
      </c>
      <c r="C10111" s="1" t="n">
        <v>45677</v>
      </c>
      <c r="D10111" t="inlineStr">
        <is>
          <t>GÄVLEBORGS LÄN</t>
        </is>
      </c>
      <c r="E10111" t="inlineStr">
        <is>
          <t>HUDIKSVALL</t>
        </is>
      </c>
      <c r="F10111" t="inlineStr">
        <is>
          <t>Holmen skog AB</t>
        </is>
      </c>
      <c r="G10111" t="n">
        <v>19.4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10239-2024</t>
        </is>
      </c>
      <c r="B10112" s="1" t="n">
        <v>45365</v>
      </c>
      <c r="C10112" s="1" t="n">
        <v>45677</v>
      </c>
      <c r="D10112" t="inlineStr">
        <is>
          <t>GÄVLEBORGS LÄN</t>
        </is>
      </c>
      <c r="E10112" t="inlineStr">
        <is>
          <t>LJUSDAL</t>
        </is>
      </c>
      <c r="F10112" t="inlineStr">
        <is>
          <t>Bergvik skog väst AB</t>
        </is>
      </c>
      <c r="G10112" t="n">
        <v>7.1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10260-2024</t>
        </is>
      </c>
      <c r="B10113" s="1" t="n">
        <v>45365</v>
      </c>
      <c r="C10113" s="1" t="n">
        <v>45677</v>
      </c>
      <c r="D10113" t="inlineStr">
        <is>
          <t>GÄVLEBORGS LÄN</t>
        </is>
      </c>
      <c r="E10113" t="inlineStr">
        <is>
          <t>SANDVIKEN</t>
        </is>
      </c>
      <c r="F10113" t="inlineStr">
        <is>
          <t>Kommuner</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10325-2024</t>
        </is>
      </c>
      <c r="B10114" s="1" t="n">
        <v>45365</v>
      </c>
      <c r="C10114" s="1" t="n">
        <v>45677</v>
      </c>
      <c r="D10114" t="inlineStr">
        <is>
          <t>GÄVLEBORGS LÄN</t>
        </is>
      </c>
      <c r="E10114" t="inlineStr">
        <is>
          <t>HUDIKSVALL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10329-2024</t>
        </is>
      </c>
      <c r="B10115" s="1" t="n">
        <v>45365</v>
      </c>
      <c r="C10115" s="1" t="n">
        <v>45677</v>
      </c>
      <c r="D10115" t="inlineStr">
        <is>
          <t>GÄVLEBORGS LÄN</t>
        </is>
      </c>
      <c r="E10115" t="inlineStr">
        <is>
          <t>NORDANSTIG</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10483-2024</t>
        </is>
      </c>
      <c r="B10116" s="1" t="n">
        <v>45366</v>
      </c>
      <c r="C10116" s="1" t="n">
        <v>45677</v>
      </c>
      <c r="D10116" t="inlineStr">
        <is>
          <t>GÄVLEBORGS LÄN</t>
        </is>
      </c>
      <c r="E10116" t="inlineStr">
        <is>
          <t>BOLLNÄS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10487-2024</t>
        </is>
      </c>
      <c r="B10117" s="1" t="n">
        <v>45366</v>
      </c>
      <c r="C10117" s="1" t="n">
        <v>45677</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10495-2024</t>
        </is>
      </c>
      <c r="B10118" s="1" t="n">
        <v>45366</v>
      </c>
      <c r="C10118" s="1" t="n">
        <v>45677</v>
      </c>
      <c r="D10118" t="inlineStr">
        <is>
          <t>GÄVLEBORGS LÄN</t>
        </is>
      </c>
      <c r="E10118" t="inlineStr">
        <is>
          <t>BOLLNÄS</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10485-2024</t>
        </is>
      </c>
      <c r="B10119" s="1" t="n">
        <v>45366</v>
      </c>
      <c r="C10119" s="1" t="n">
        <v>45677</v>
      </c>
      <c r="D10119" t="inlineStr">
        <is>
          <t>GÄVLEBORGS LÄN</t>
        </is>
      </c>
      <c r="E10119" t="inlineStr">
        <is>
          <t>BOLLNÄS</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10514-2024</t>
        </is>
      </c>
      <c r="B10120" s="1" t="n">
        <v>45366</v>
      </c>
      <c r="C10120" s="1" t="n">
        <v>45677</v>
      </c>
      <c r="D10120" t="inlineStr">
        <is>
          <t>GÄVLEBORGS LÄN</t>
        </is>
      </c>
      <c r="E10120" t="inlineStr">
        <is>
          <t>LJUSDAL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10560-2024</t>
        </is>
      </c>
      <c r="B10121" s="1" t="n">
        <v>45366</v>
      </c>
      <c r="C10121" s="1" t="n">
        <v>45677</v>
      </c>
      <c r="D10121" t="inlineStr">
        <is>
          <t>GÄVLEBORGS LÄN</t>
        </is>
      </c>
      <c r="E10121" t="inlineStr">
        <is>
          <t>HUDIKSVALL</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10445-2024</t>
        </is>
      </c>
      <c r="B10122" s="1" t="n">
        <v>45366</v>
      </c>
      <c r="C10122" s="1" t="n">
        <v>45677</v>
      </c>
      <c r="D10122" t="inlineStr">
        <is>
          <t>GÄVLEBORGS LÄN</t>
        </is>
      </c>
      <c r="E10122" t="inlineStr">
        <is>
          <t>OCKELBO</t>
        </is>
      </c>
      <c r="F10122" t="inlineStr">
        <is>
          <t>Bergvik skog väst AB</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10465-2024</t>
        </is>
      </c>
      <c r="B10123" s="1" t="n">
        <v>45366</v>
      </c>
      <c r="C10123" s="1" t="n">
        <v>45677</v>
      </c>
      <c r="D10123" t="inlineStr">
        <is>
          <t>GÄVLEBORGS LÄN</t>
        </is>
      </c>
      <c r="E10123" t="inlineStr">
        <is>
          <t>NORDANSTIG</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10482-2024</t>
        </is>
      </c>
      <c r="B10124" s="1" t="n">
        <v>45366</v>
      </c>
      <c r="C10124" s="1" t="n">
        <v>45677</v>
      </c>
      <c r="D10124" t="inlineStr">
        <is>
          <t>GÄVLEBORGS LÄN</t>
        </is>
      </c>
      <c r="E10124" t="inlineStr">
        <is>
          <t>BOLLNÄS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10486-2024</t>
        </is>
      </c>
      <c r="B10125" s="1" t="n">
        <v>45366</v>
      </c>
      <c r="C10125" s="1" t="n">
        <v>45677</v>
      </c>
      <c r="D10125" t="inlineStr">
        <is>
          <t>GÄVLEBORGS LÄN</t>
        </is>
      </c>
      <c r="E10125" t="inlineStr">
        <is>
          <t>BOLLNÄS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10480-2024</t>
        </is>
      </c>
      <c r="B10126" s="1" t="n">
        <v>45366</v>
      </c>
      <c r="C10126" s="1" t="n">
        <v>45677</v>
      </c>
      <c r="D10126" t="inlineStr">
        <is>
          <t>GÄVLEBORGS LÄN</t>
        </is>
      </c>
      <c r="E10126" t="inlineStr">
        <is>
          <t>NORDANSTIG</t>
        </is>
      </c>
      <c r="F10126" t="inlineStr">
        <is>
          <t>Holmen skog AB</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10484-2024</t>
        </is>
      </c>
      <c r="B10127" s="1" t="n">
        <v>45366</v>
      </c>
      <c r="C10127" s="1" t="n">
        <v>45677</v>
      </c>
      <c r="D10127" t="inlineStr">
        <is>
          <t>GÄVLEBORGS LÄN</t>
        </is>
      </c>
      <c r="E10127" t="inlineStr">
        <is>
          <t>BOLLNÄS</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10488-2024</t>
        </is>
      </c>
      <c r="B10128" s="1" t="n">
        <v>45366</v>
      </c>
      <c r="C10128" s="1" t="n">
        <v>45677</v>
      </c>
      <c r="D10128" t="inlineStr">
        <is>
          <t>GÄVLEBORGS LÄN</t>
        </is>
      </c>
      <c r="E10128" t="inlineStr">
        <is>
          <t>BOLLNÄS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10606-2024</t>
        </is>
      </c>
      <c r="B10129" s="1" t="n">
        <v>45367</v>
      </c>
      <c r="C10129" s="1" t="n">
        <v>45677</v>
      </c>
      <c r="D10129" t="inlineStr">
        <is>
          <t>GÄVLEBORGS LÄN</t>
        </is>
      </c>
      <c r="E10129" t="inlineStr">
        <is>
          <t>BOLLNÄS</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10591-2024</t>
        </is>
      </c>
      <c r="B10130" s="1" t="n">
        <v>45366</v>
      </c>
      <c r="C10130" s="1" t="n">
        <v>45677</v>
      </c>
      <c r="D10130" t="inlineStr">
        <is>
          <t>GÄVLEBORGS LÄN</t>
        </is>
      </c>
      <c r="E10130" t="inlineStr">
        <is>
          <t>HUDIKSVALL</t>
        </is>
      </c>
      <c r="F10130" t="inlineStr">
        <is>
          <t>Holmen skog AB</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10595-2024</t>
        </is>
      </c>
      <c r="B10131" s="1" t="n">
        <v>45366</v>
      </c>
      <c r="C10131" s="1" t="n">
        <v>45677</v>
      </c>
      <c r="D10131" t="inlineStr">
        <is>
          <t>GÄVLEBORGS LÄN</t>
        </is>
      </c>
      <c r="E10131" t="inlineStr">
        <is>
          <t>OVANÅKER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10615-2024</t>
        </is>
      </c>
      <c r="B10132" s="1" t="n">
        <v>45367</v>
      </c>
      <c r="C10132" s="1" t="n">
        <v>45677</v>
      </c>
      <c r="D10132" t="inlineStr">
        <is>
          <t>GÄVLEBORGS LÄN</t>
        </is>
      </c>
      <c r="E10132" t="inlineStr">
        <is>
          <t>OVANÅKER</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10715-2024</t>
        </is>
      </c>
      <c r="B10133" s="1" t="n">
        <v>45369</v>
      </c>
      <c r="C10133" s="1" t="n">
        <v>45677</v>
      </c>
      <c r="D10133" t="inlineStr">
        <is>
          <t>GÄVLEBORGS LÄN</t>
        </is>
      </c>
      <c r="E10133" t="inlineStr">
        <is>
          <t>BOLLNÄS</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10750-2024</t>
        </is>
      </c>
      <c r="B10134" s="1" t="n">
        <v>45369</v>
      </c>
      <c r="C10134" s="1" t="n">
        <v>45677</v>
      </c>
      <c r="D10134" t="inlineStr">
        <is>
          <t>GÄVLEBORGS LÄN</t>
        </is>
      </c>
      <c r="E10134" t="inlineStr">
        <is>
          <t>HUDIKSVALL</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10891-2024</t>
        </is>
      </c>
      <c r="B10135" s="1" t="n">
        <v>45370</v>
      </c>
      <c r="C10135" s="1" t="n">
        <v>45677</v>
      </c>
      <c r="D10135" t="inlineStr">
        <is>
          <t>GÄVLEBORGS LÄN</t>
        </is>
      </c>
      <c r="E10135" t="inlineStr">
        <is>
          <t>SANDVIKEN</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10896-2024</t>
        </is>
      </c>
      <c r="B10136" s="1" t="n">
        <v>45370</v>
      </c>
      <c r="C10136" s="1" t="n">
        <v>45677</v>
      </c>
      <c r="D10136" t="inlineStr">
        <is>
          <t>GÄVLEBORGS LÄN</t>
        </is>
      </c>
      <c r="E10136" t="inlineStr">
        <is>
          <t>SANDVIKEN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10978-2024</t>
        </is>
      </c>
      <c r="B10137" s="1" t="n">
        <v>45370</v>
      </c>
      <c r="C10137" s="1" t="n">
        <v>45677</v>
      </c>
      <c r="D10137" t="inlineStr">
        <is>
          <t>GÄVLEBORGS LÄN</t>
        </is>
      </c>
      <c r="E10137" t="inlineStr">
        <is>
          <t>LJUSDAL</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11046-2024</t>
        </is>
      </c>
      <c r="B10138" s="1" t="n">
        <v>45370</v>
      </c>
      <c r="C10138" s="1" t="n">
        <v>45677</v>
      </c>
      <c r="D10138" t="inlineStr">
        <is>
          <t>GÄVLEBORGS LÄN</t>
        </is>
      </c>
      <c r="E10138" t="inlineStr">
        <is>
          <t>BOLLNÄS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11107-2024</t>
        </is>
      </c>
      <c r="B10139" s="1" t="n">
        <v>45371</v>
      </c>
      <c r="C10139" s="1" t="n">
        <v>45677</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11115-2024</t>
        </is>
      </c>
      <c r="B10140" s="1" t="n">
        <v>45371</v>
      </c>
      <c r="C10140" s="1" t="n">
        <v>45677</v>
      </c>
      <c r="D10140" t="inlineStr">
        <is>
          <t>GÄVLEBORGS LÄN</t>
        </is>
      </c>
      <c r="E10140" t="inlineStr">
        <is>
          <t>SANDVIKEN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11203-2024</t>
        </is>
      </c>
      <c r="B10141" s="1" t="n">
        <v>45371</v>
      </c>
      <c r="C10141" s="1" t="n">
        <v>45677</v>
      </c>
      <c r="D10141" t="inlineStr">
        <is>
          <t>GÄVLEBORGS LÄN</t>
        </is>
      </c>
      <c r="E10141" t="inlineStr">
        <is>
          <t>HUDIKSVALL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11101-2024</t>
        </is>
      </c>
      <c r="B10142" s="1" t="n">
        <v>45371</v>
      </c>
      <c r="C10142" s="1" t="n">
        <v>45677</v>
      </c>
      <c r="D10142" t="inlineStr">
        <is>
          <t>GÄVLEBORGS LÄN</t>
        </is>
      </c>
      <c r="E10142" t="inlineStr">
        <is>
          <t>HUDIKSVALL</t>
        </is>
      </c>
      <c r="F10142" t="inlineStr">
        <is>
          <t>Holmen skog AB</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11326-2024</t>
        </is>
      </c>
      <c r="B10143" s="1" t="n">
        <v>45372</v>
      </c>
      <c r="C10143" s="1" t="n">
        <v>45677</v>
      </c>
      <c r="D10143" t="inlineStr">
        <is>
          <t>GÄVLEBORGS LÄN</t>
        </is>
      </c>
      <c r="E10143" t="inlineStr">
        <is>
          <t>BOLLNÄS</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11108-2024</t>
        </is>
      </c>
      <c r="B10144" s="1" t="n">
        <v>45371</v>
      </c>
      <c r="C10144" s="1" t="n">
        <v>45677</v>
      </c>
      <c r="D10144" t="inlineStr">
        <is>
          <t>GÄVLEBORGS LÄN</t>
        </is>
      </c>
      <c r="E10144" t="inlineStr">
        <is>
          <t>OVANÅKER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11275-2024</t>
        </is>
      </c>
      <c r="B10145" s="1" t="n">
        <v>45371</v>
      </c>
      <c r="C10145" s="1" t="n">
        <v>45677</v>
      </c>
      <c r="D10145" t="inlineStr">
        <is>
          <t>GÄVLEBORGS LÄN</t>
        </is>
      </c>
      <c r="E10145" t="inlineStr">
        <is>
          <t>LJUSDAL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11164-2024</t>
        </is>
      </c>
      <c r="B10146" s="1" t="n">
        <v>45371</v>
      </c>
      <c r="C10146" s="1" t="n">
        <v>45677</v>
      </c>
      <c r="D10146" t="inlineStr">
        <is>
          <t>GÄVLEBORGS LÄN</t>
        </is>
      </c>
      <c r="E10146" t="inlineStr">
        <is>
          <t>HUDIKSVALL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11325-2024</t>
        </is>
      </c>
      <c r="B10147" s="1" t="n">
        <v>45372</v>
      </c>
      <c r="C10147" s="1" t="n">
        <v>45677</v>
      </c>
      <c r="D10147" t="inlineStr">
        <is>
          <t>GÄVLEBORGS LÄN</t>
        </is>
      </c>
      <c r="E10147" t="inlineStr">
        <is>
          <t>BOLLNÄS</t>
        </is>
      </c>
      <c r="G10147" t="n">
        <v>18.1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11228-2024</t>
        </is>
      </c>
      <c r="B10148" s="1" t="n">
        <v>45371</v>
      </c>
      <c r="C10148" s="1" t="n">
        <v>45677</v>
      </c>
      <c r="D10148" t="inlineStr">
        <is>
          <t>GÄVLEBORGS LÄN</t>
        </is>
      </c>
      <c r="E10148" t="inlineStr">
        <is>
          <t>HUDIKSVALL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11316-2024</t>
        </is>
      </c>
      <c r="B10149" s="1" t="n">
        <v>45371</v>
      </c>
      <c r="C10149" s="1" t="n">
        <v>45677</v>
      </c>
      <c r="D10149" t="inlineStr">
        <is>
          <t>GÄVLEBORGS LÄN</t>
        </is>
      </c>
      <c r="E10149" t="inlineStr">
        <is>
          <t>LJUSDAL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11324-2024</t>
        </is>
      </c>
      <c r="B10150" s="1" t="n">
        <v>45372</v>
      </c>
      <c r="C10150" s="1" t="n">
        <v>45677</v>
      </c>
      <c r="D10150" t="inlineStr">
        <is>
          <t>GÄVLEBORGS LÄN</t>
        </is>
      </c>
      <c r="E10150" t="inlineStr">
        <is>
          <t>BOLLNÄS</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11327-2024</t>
        </is>
      </c>
      <c r="B10151" s="1" t="n">
        <v>45371</v>
      </c>
      <c r="C10151" s="1" t="n">
        <v>45677</v>
      </c>
      <c r="D10151" t="inlineStr">
        <is>
          <t>GÄVLEBORGS LÄN</t>
        </is>
      </c>
      <c r="E10151" t="inlineStr">
        <is>
          <t>LJUSDAL</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11383-2024</t>
        </is>
      </c>
      <c r="B10152" s="1" t="n">
        <v>45372</v>
      </c>
      <c r="C10152" s="1" t="n">
        <v>45677</v>
      </c>
      <c r="D10152" t="inlineStr">
        <is>
          <t>GÄVLEBORGS LÄN</t>
        </is>
      </c>
      <c r="E10152" t="inlineStr">
        <is>
          <t>LJUSDAL</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11387-2024</t>
        </is>
      </c>
      <c r="B10153" s="1" t="n">
        <v>45372</v>
      </c>
      <c r="C10153" s="1" t="n">
        <v>45677</v>
      </c>
      <c r="D10153" t="inlineStr">
        <is>
          <t>GÄVLEBORGS LÄN</t>
        </is>
      </c>
      <c r="E10153" t="inlineStr">
        <is>
          <t>LJUSDAL</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11360-2024</t>
        </is>
      </c>
      <c r="B10154" s="1" t="n">
        <v>45372</v>
      </c>
      <c r="C10154" s="1" t="n">
        <v>45677</v>
      </c>
      <c r="D10154" t="inlineStr">
        <is>
          <t>GÄVLEBORGS LÄN</t>
        </is>
      </c>
      <c r="E10154" t="inlineStr">
        <is>
          <t>NORDANSTIG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11373-2024</t>
        </is>
      </c>
      <c r="B10155" s="1" t="n">
        <v>45372</v>
      </c>
      <c r="C10155" s="1" t="n">
        <v>45677</v>
      </c>
      <c r="D10155" t="inlineStr">
        <is>
          <t>GÄVLEBORGS LÄN</t>
        </is>
      </c>
      <c r="E10155" t="inlineStr">
        <is>
          <t>HUDIKSVALL</t>
        </is>
      </c>
      <c r="F10155" t="inlineStr">
        <is>
          <t>Holmen skog AB</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11409-2024</t>
        </is>
      </c>
      <c r="B10156" s="1" t="n">
        <v>45372</v>
      </c>
      <c r="C10156" s="1" t="n">
        <v>45677</v>
      </c>
      <c r="D10156" t="inlineStr">
        <is>
          <t>GÄVLEBORGS LÄN</t>
        </is>
      </c>
      <c r="E10156" t="inlineStr">
        <is>
          <t>HUDIKSVALL</t>
        </is>
      </c>
      <c r="F10156" t="inlineStr">
        <is>
          <t>Holmen skog AB</t>
        </is>
      </c>
      <c r="G10156" t="n">
        <v>8.199999999999999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11413-2024</t>
        </is>
      </c>
      <c r="B10157" s="1" t="n">
        <v>45372</v>
      </c>
      <c r="C10157" s="1" t="n">
        <v>45677</v>
      </c>
      <c r="D10157" t="inlineStr">
        <is>
          <t>GÄVLEBORGS LÄN</t>
        </is>
      </c>
      <c r="E10157" t="inlineStr">
        <is>
          <t>GÄVLE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11434-2024</t>
        </is>
      </c>
      <c r="B10158" s="1" t="n">
        <v>45372</v>
      </c>
      <c r="C10158" s="1" t="n">
        <v>45677</v>
      </c>
      <c r="D10158" t="inlineStr">
        <is>
          <t>GÄVLEBORGS LÄN</t>
        </is>
      </c>
      <c r="E10158" t="inlineStr">
        <is>
          <t>NORDANSTIG</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11349-2024</t>
        </is>
      </c>
      <c r="B10159" s="1" t="n">
        <v>45372</v>
      </c>
      <c r="C10159" s="1" t="n">
        <v>45677</v>
      </c>
      <c r="D10159" t="inlineStr">
        <is>
          <t>GÄVLEBORGS LÄN</t>
        </is>
      </c>
      <c r="E10159" t="inlineStr">
        <is>
          <t>HUDIKSVALL</t>
        </is>
      </c>
      <c r="F10159" t="inlineStr">
        <is>
          <t>Holmen skog AB</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11407-2024</t>
        </is>
      </c>
      <c r="B10160" s="1" t="n">
        <v>45372</v>
      </c>
      <c r="C10160" s="1" t="n">
        <v>45677</v>
      </c>
      <c r="D10160" t="inlineStr">
        <is>
          <t>GÄVLEBORGS LÄN</t>
        </is>
      </c>
      <c r="E10160" t="inlineStr">
        <is>
          <t>GÄVLE</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11465-2024</t>
        </is>
      </c>
      <c r="B10161" s="1" t="n">
        <v>45372</v>
      </c>
      <c r="C10161" s="1" t="n">
        <v>45677</v>
      </c>
      <c r="D10161" t="inlineStr">
        <is>
          <t>GÄVLEBORGS LÄN</t>
        </is>
      </c>
      <c r="E10161" t="inlineStr">
        <is>
          <t>LJUSDAL</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11402-2024</t>
        </is>
      </c>
      <c r="B10162" s="1" t="n">
        <v>45372</v>
      </c>
      <c r="C10162" s="1" t="n">
        <v>45677</v>
      </c>
      <c r="D10162" t="inlineStr">
        <is>
          <t>GÄVLEBORGS LÄN</t>
        </is>
      </c>
      <c r="E10162" t="inlineStr">
        <is>
          <t>GÄVLE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11440-2024</t>
        </is>
      </c>
      <c r="B10163" s="1" t="n">
        <v>45372</v>
      </c>
      <c r="C10163" s="1" t="n">
        <v>45677</v>
      </c>
      <c r="D10163" t="inlineStr">
        <is>
          <t>GÄVLEBORGS LÄN</t>
        </is>
      </c>
      <c r="E10163" t="inlineStr">
        <is>
          <t>NORDANSTIG</t>
        </is>
      </c>
      <c r="F10163" t="inlineStr">
        <is>
          <t>Holmen skog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11464-2024</t>
        </is>
      </c>
      <c r="B10164" s="1" t="n">
        <v>45372</v>
      </c>
      <c r="C10164" s="1" t="n">
        <v>45677</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11502-2024</t>
        </is>
      </c>
      <c r="B10165" s="1" t="n">
        <v>45372</v>
      </c>
      <c r="C10165" s="1" t="n">
        <v>45677</v>
      </c>
      <c r="D10165" t="inlineStr">
        <is>
          <t>GÄVLEBORGS LÄN</t>
        </is>
      </c>
      <c r="E10165" t="inlineStr">
        <is>
          <t>HUDIKSVALL</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11532-2024</t>
        </is>
      </c>
      <c r="B10166" s="1" t="n">
        <v>45372</v>
      </c>
      <c r="C10166" s="1" t="n">
        <v>45677</v>
      </c>
      <c r="D10166" t="inlineStr">
        <is>
          <t>GÄVLEBORGS LÄN</t>
        </is>
      </c>
      <c r="E10166" t="inlineStr">
        <is>
          <t>HUDIKSVALL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11475-2024</t>
        </is>
      </c>
      <c r="B10167" s="1" t="n">
        <v>45372</v>
      </c>
      <c r="C10167" s="1" t="n">
        <v>45677</v>
      </c>
      <c r="D10167" t="inlineStr">
        <is>
          <t>GÄVLEBORGS LÄN</t>
        </is>
      </c>
      <c r="E10167" t="inlineStr">
        <is>
          <t>HUDIKSVALL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11496-2024</t>
        </is>
      </c>
      <c r="B10168" s="1" t="n">
        <v>45372</v>
      </c>
      <c r="C10168" s="1" t="n">
        <v>45677</v>
      </c>
      <c r="D10168" t="inlineStr">
        <is>
          <t>GÄVLEBORGS LÄN</t>
        </is>
      </c>
      <c r="E10168" t="inlineStr">
        <is>
          <t>LJUSDAL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11653-2024</t>
        </is>
      </c>
      <c r="B10169" s="1" t="n">
        <v>45373</v>
      </c>
      <c r="C10169" s="1" t="n">
        <v>45677</v>
      </c>
      <c r="D10169" t="inlineStr">
        <is>
          <t>GÄVLEBORGS LÄN</t>
        </is>
      </c>
      <c r="E10169" t="inlineStr">
        <is>
          <t>SÖDERHAMN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11662-2024</t>
        </is>
      </c>
      <c r="B10170" s="1" t="n">
        <v>45373</v>
      </c>
      <c r="C10170" s="1" t="n">
        <v>45677</v>
      </c>
      <c r="D10170" t="inlineStr">
        <is>
          <t>GÄVLEBORGS LÄN</t>
        </is>
      </c>
      <c r="E10170" t="inlineStr">
        <is>
          <t>LJUSDAL</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11692-2024</t>
        </is>
      </c>
      <c r="B10171" s="1" t="n">
        <v>45373</v>
      </c>
      <c r="C10171" s="1" t="n">
        <v>45677</v>
      </c>
      <c r="D10171" t="inlineStr">
        <is>
          <t>GÄVLEBORGS LÄN</t>
        </is>
      </c>
      <c r="E10171" t="inlineStr">
        <is>
          <t>OVANÅKER</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11667-2024</t>
        </is>
      </c>
      <c r="B10172" s="1" t="n">
        <v>45373</v>
      </c>
      <c r="C10172" s="1" t="n">
        <v>45677</v>
      </c>
      <c r="D10172" t="inlineStr">
        <is>
          <t>GÄVLEBORGS LÄN</t>
        </is>
      </c>
      <c r="E10172" t="inlineStr">
        <is>
          <t>BOLLNÄS</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11666-2024</t>
        </is>
      </c>
      <c r="B10173" s="1" t="n">
        <v>45373</v>
      </c>
      <c r="C10173" s="1" t="n">
        <v>45677</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11691-2024</t>
        </is>
      </c>
      <c r="B10174" s="1" t="n">
        <v>45373</v>
      </c>
      <c r="C10174" s="1" t="n">
        <v>45677</v>
      </c>
      <c r="D10174" t="inlineStr">
        <is>
          <t>GÄVLEBORGS LÄN</t>
        </is>
      </c>
      <c r="E10174" t="inlineStr">
        <is>
          <t>GÄVLE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11651-2024</t>
        </is>
      </c>
      <c r="B10175" s="1" t="n">
        <v>45373</v>
      </c>
      <c r="C10175" s="1" t="n">
        <v>45677</v>
      </c>
      <c r="D10175" t="inlineStr">
        <is>
          <t>GÄVLEBORGS LÄN</t>
        </is>
      </c>
      <c r="E10175" t="inlineStr">
        <is>
          <t>SÖDERHAMN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11599-2024</t>
        </is>
      </c>
      <c r="B10176" s="1" t="n">
        <v>45373</v>
      </c>
      <c r="C10176" s="1" t="n">
        <v>45677</v>
      </c>
      <c r="D10176" t="inlineStr">
        <is>
          <t>GÄVLEBORGS LÄN</t>
        </is>
      </c>
      <c r="E10176" t="inlineStr">
        <is>
          <t>NORDANSTIG</t>
        </is>
      </c>
      <c r="F10176" t="inlineStr">
        <is>
          <t>Holmen skog AB</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11748-2024</t>
        </is>
      </c>
      <c r="B10177" s="1" t="n">
        <v>45373</v>
      </c>
      <c r="C10177" s="1" t="n">
        <v>45677</v>
      </c>
      <c r="D10177" t="inlineStr">
        <is>
          <t>GÄVLEBORGS LÄN</t>
        </is>
      </c>
      <c r="E10177" t="inlineStr">
        <is>
          <t>NORDANSTIG</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11629-2024</t>
        </is>
      </c>
      <c r="B10178" s="1" t="n">
        <v>45373</v>
      </c>
      <c r="C10178" s="1" t="n">
        <v>45677</v>
      </c>
      <c r="D10178" t="inlineStr">
        <is>
          <t>GÄVLEBORGS LÄN</t>
        </is>
      </c>
      <c r="E10178" t="inlineStr">
        <is>
          <t>HUDIKSVALL</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11674-2024</t>
        </is>
      </c>
      <c r="B10179" s="1" t="n">
        <v>45373</v>
      </c>
      <c r="C10179" s="1" t="n">
        <v>45677</v>
      </c>
      <c r="D10179" t="inlineStr">
        <is>
          <t>GÄVLEBORGS LÄN</t>
        </is>
      </c>
      <c r="E10179" t="inlineStr">
        <is>
          <t>BOLLNÄS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11607-2024</t>
        </is>
      </c>
      <c r="B10180" s="1" t="n">
        <v>45373</v>
      </c>
      <c r="C10180" s="1" t="n">
        <v>45677</v>
      </c>
      <c r="D10180" t="inlineStr">
        <is>
          <t>GÄVLEBORGS LÄN</t>
        </is>
      </c>
      <c r="E10180" t="inlineStr">
        <is>
          <t>SANDVIKEN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11652-2024</t>
        </is>
      </c>
      <c r="B10181" s="1" t="n">
        <v>45373</v>
      </c>
      <c r="C10181" s="1" t="n">
        <v>45677</v>
      </c>
      <c r="D10181" t="inlineStr">
        <is>
          <t>GÄVLEBORGS LÄN</t>
        </is>
      </c>
      <c r="E10181" t="inlineStr">
        <is>
          <t>SÖDERHAMN</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11664-2024</t>
        </is>
      </c>
      <c r="B10182" s="1" t="n">
        <v>45373</v>
      </c>
      <c r="C10182" s="1" t="n">
        <v>45677</v>
      </c>
      <c r="D10182" t="inlineStr">
        <is>
          <t>GÄVLEBORGS LÄN</t>
        </is>
      </c>
      <c r="E10182" t="inlineStr">
        <is>
          <t>LJUSDAL</t>
        </is>
      </c>
      <c r="F10182" t="inlineStr">
        <is>
          <t>Bergvik skog väst AB</t>
        </is>
      </c>
      <c r="G10182" t="n">
        <v>14.9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11668-2024</t>
        </is>
      </c>
      <c r="B10183" s="1" t="n">
        <v>45373</v>
      </c>
      <c r="C10183" s="1" t="n">
        <v>45677</v>
      </c>
      <c r="D10183" t="inlineStr">
        <is>
          <t>GÄVLEBORGS LÄN</t>
        </is>
      </c>
      <c r="E10183" t="inlineStr">
        <is>
          <t>HUDIKSVALL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11684-2024</t>
        </is>
      </c>
      <c r="B10184" s="1" t="n">
        <v>45373</v>
      </c>
      <c r="C10184" s="1" t="n">
        <v>45677</v>
      </c>
      <c r="D10184" t="inlineStr">
        <is>
          <t>GÄVLEBORGS LÄN</t>
        </is>
      </c>
      <c r="E10184" t="inlineStr">
        <is>
          <t>OVANÅKER</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11778-2024</t>
        </is>
      </c>
      <c r="B10185" s="1" t="n">
        <v>45374</v>
      </c>
      <c r="C10185" s="1" t="n">
        <v>45677</v>
      </c>
      <c r="D10185" t="inlineStr">
        <is>
          <t>GÄVLEBORGS LÄN</t>
        </is>
      </c>
      <c r="E10185" t="inlineStr">
        <is>
          <t>SANDVIKEN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11803-2024</t>
        </is>
      </c>
      <c r="B10186" s="1" t="n">
        <v>45375</v>
      </c>
      <c r="C10186" s="1" t="n">
        <v>45677</v>
      </c>
      <c r="D10186" t="inlineStr">
        <is>
          <t>GÄVLEBORGS LÄN</t>
        </is>
      </c>
      <c r="E10186" t="inlineStr">
        <is>
          <t>BOLLNÄS</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11818-2024</t>
        </is>
      </c>
      <c r="B10187" s="1" t="n">
        <v>45376</v>
      </c>
      <c r="C10187" s="1" t="n">
        <v>45677</v>
      </c>
      <c r="D10187" t="inlineStr">
        <is>
          <t>GÄVLEBORGS LÄN</t>
        </is>
      </c>
      <c r="E10187" t="inlineStr">
        <is>
          <t>HOFORS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11838-2024</t>
        </is>
      </c>
      <c r="B10188" s="1" t="n">
        <v>45376</v>
      </c>
      <c r="C10188" s="1" t="n">
        <v>45677</v>
      </c>
      <c r="D10188" t="inlineStr">
        <is>
          <t>GÄVLEBORGS LÄN</t>
        </is>
      </c>
      <c r="E10188" t="inlineStr">
        <is>
          <t>LJUSDAL</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11842-2024</t>
        </is>
      </c>
      <c r="B10189" s="1" t="n">
        <v>45376</v>
      </c>
      <c r="C10189" s="1" t="n">
        <v>45677</v>
      </c>
      <c r="D10189" t="inlineStr">
        <is>
          <t>GÄVLEBORGS LÄN</t>
        </is>
      </c>
      <c r="E10189" t="inlineStr">
        <is>
          <t>HUDIKSVALL</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11904-2024</t>
        </is>
      </c>
      <c r="B10190" s="1" t="n">
        <v>45376</v>
      </c>
      <c r="C10190" s="1" t="n">
        <v>45677</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11813-2024</t>
        </is>
      </c>
      <c r="B10191" s="1" t="n">
        <v>45376</v>
      </c>
      <c r="C10191" s="1" t="n">
        <v>45677</v>
      </c>
      <c r="D10191" t="inlineStr">
        <is>
          <t>GÄVLEBORGS LÄN</t>
        </is>
      </c>
      <c r="E10191" t="inlineStr">
        <is>
          <t>HOFORS</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11817-2024</t>
        </is>
      </c>
      <c r="B10192" s="1" t="n">
        <v>45376</v>
      </c>
      <c r="C10192" s="1" t="n">
        <v>45677</v>
      </c>
      <c r="D10192" t="inlineStr">
        <is>
          <t>GÄVLEBORGS LÄN</t>
        </is>
      </c>
      <c r="E10192" t="inlineStr">
        <is>
          <t>HUDIKSVALL</t>
        </is>
      </c>
      <c r="F10192" t="inlineStr">
        <is>
          <t>Holmen skog AB</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11897-2024</t>
        </is>
      </c>
      <c r="B10193" s="1" t="n">
        <v>45376</v>
      </c>
      <c r="C10193" s="1" t="n">
        <v>45677</v>
      </c>
      <c r="D10193" t="inlineStr">
        <is>
          <t>GÄVLEBORGS LÄN</t>
        </is>
      </c>
      <c r="E10193" t="inlineStr">
        <is>
          <t>SANDVIKEN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11845-2024</t>
        </is>
      </c>
      <c r="B10194" s="1" t="n">
        <v>45376</v>
      </c>
      <c r="C10194" s="1" t="n">
        <v>45677</v>
      </c>
      <c r="D10194" t="inlineStr">
        <is>
          <t>GÄVLEBORGS LÄN</t>
        </is>
      </c>
      <c r="E10194" t="inlineStr">
        <is>
          <t>SANDVIKEN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12166-2024</t>
        </is>
      </c>
      <c r="B10195" s="1" t="n">
        <v>45377</v>
      </c>
      <c r="C10195" s="1" t="n">
        <v>45677</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12023-2024</t>
        </is>
      </c>
      <c r="B10196" s="1" t="n">
        <v>45377</v>
      </c>
      <c r="C10196" s="1" t="n">
        <v>45677</v>
      </c>
      <c r="D10196" t="inlineStr">
        <is>
          <t>GÄVLEBORGS LÄN</t>
        </is>
      </c>
      <c r="E10196" t="inlineStr">
        <is>
          <t>BOLLNÄS</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12068-2024</t>
        </is>
      </c>
      <c r="B10197" s="1" t="n">
        <v>45377</v>
      </c>
      <c r="C10197" s="1" t="n">
        <v>45677</v>
      </c>
      <c r="D10197" t="inlineStr">
        <is>
          <t>GÄVLEBORGS LÄN</t>
        </is>
      </c>
      <c r="E10197" t="inlineStr">
        <is>
          <t>GÄVLE</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12168-2024</t>
        </is>
      </c>
      <c r="B10198" s="1" t="n">
        <v>45377</v>
      </c>
      <c r="C10198" s="1" t="n">
        <v>45677</v>
      </c>
      <c r="D10198" t="inlineStr">
        <is>
          <t>GÄVLEBORGS LÄN</t>
        </is>
      </c>
      <c r="E10198" t="inlineStr">
        <is>
          <t>BOLLNÄS</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12196-2024</t>
        </is>
      </c>
      <c r="B10199" s="1" t="n">
        <v>45377</v>
      </c>
      <c r="C10199" s="1" t="n">
        <v>45677</v>
      </c>
      <c r="D10199" t="inlineStr">
        <is>
          <t>GÄVLEBORGS LÄN</t>
        </is>
      </c>
      <c r="E10199" t="inlineStr">
        <is>
          <t>OVANÅKER</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12197-2024</t>
        </is>
      </c>
      <c r="B10200" s="1" t="n">
        <v>45377</v>
      </c>
      <c r="C10200" s="1" t="n">
        <v>45677</v>
      </c>
      <c r="D10200" t="inlineStr">
        <is>
          <t>GÄVLEBORGS LÄN</t>
        </is>
      </c>
      <c r="E10200" t="inlineStr">
        <is>
          <t>OVANÅKER</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12165-2024</t>
        </is>
      </c>
      <c r="B10201" s="1" t="n">
        <v>45377</v>
      </c>
      <c r="C10201" s="1" t="n">
        <v>45677</v>
      </c>
      <c r="D10201" t="inlineStr">
        <is>
          <t>GÄVLEBORGS LÄN</t>
        </is>
      </c>
      <c r="E10201" t="inlineStr">
        <is>
          <t>BOLLNÄS</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12012-2024</t>
        </is>
      </c>
      <c r="B10202" s="1" t="n">
        <v>45377</v>
      </c>
      <c r="C10202" s="1" t="n">
        <v>45677</v>
      </c>
      <c r="D10202" t="inlineStr">
        <is>
          <t>GÄVLEBORGS LÄN</t>
        </is>
      </c>
      <c r="E10202" t="inlineStr">
        <is>
          <t>OVANÅKER</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12008-2024</t>
        </is>
      </c>
      <c r="B10203" s="1" t="n">
        <v>45377</v>
      </c>
      <c r="C10203" s="1" t="n">
        <v>45677</v>
      </c>
      <c r="D10203" t="inlineStr">
        <is>
          <t>GÄVLEBORGS LÄN</t>
        </is>
      </c>
      <c r="E10203" t="inlineStr">
        <is>
          <t>BOLLNÄS</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12167-2024</t>
        </is>
      </c>
      <c r="B10204" s="1" t="n">
        <v>45377</v>
      </c>
      <c r="C10204" s="1" t="n">
        <v>45677</v>
      </c>
      <c r="D10204" t="inlineStr">
        <is>
          <t>GÄVLEBORGS LÄN</t>
        </is>
      </c>
      <c r="E10204" t="inlineStr">
        <is>
          <t>BOLLNÄS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12018-2024</t>
        </is>
      </c>
      <c r="B10205" s="1" t="n">
        <v>45377</v>
      </c>
      <c r="C10205" s="1" t="n">
        <v>45677</v>
      </c>
      <c r="D10205" t="inlineStr">
        <is>
          <t>GÄVLEBORGS LÄN</t>
        </is>
      </c>
      <c r="E10205" t="inlineStr">
        <is>
          <t>BOLLNÄS</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12250-2024</t>
        </is>
      </c>
      <c r="B10206" s="1" t="n">
        <v>45378</v>
      </c>
      <c r="C10206" s="1" t="n">
        <v>45677</v>
      </c>
      <c r="D10206" t="inlineStr">
        <is>
          <t>GÄVLEBORGS LÄN</t>
        </is>
      </c>
      <c r="E10206" t="inlineStr">
        <is>
          <t>HUDIKSVALL</t>
        </is>
      </c>
      <c r="G10206" t="n">
        <v>17.8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12319-2024</t>
        </is>
      </c>
      <c r="B10207" s="1" t="n">
        <v>45378</v>
      </c>
      <c r="C10207" s="1" t="n">
        <v>45677</v>
      </c>
      <c r="D10207" t="inlineStr">
        <is>
          <t>GÄVLEBORGS LÄN</t>
        </is>
      </c>
      <c r="E10207" t="inlineStr">
        <is>
          <t>NORDANSTIG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12353-2024</t>
        </is>
      </c>
      <c r="B10208" s="1" t="n">
        <v>45378</v>
      </c>
      <c r="C10208" s="1" t="n">
        <v>45677</v>
      </c>
      <c r="D10208" t="inlineStr">
        <is>
          <t>GÄVLEBORGS LÄN</t>
        </is>
      </c>
      <c r="E10208" t="inlineStr">
        <is>
          <t>NORDANSTIG</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12393-2024</t>
        </is>
      </c>
      <c r="B10209" s="1" t="n">
        <v>45379</v>
      </c>
      <c r="C10209" s="1" t="n">
        <v>45677</v>
      </c>
      <c r="D10209" t="inlineStr">
        <is>
          <t>GÄVLEBORGS LÄN</t>
        </is>
      </c>
      <c r="E10209" t="inlineStr">
        <is>
          <t>OVANÅKER</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12413-2024</t>
        </is>
      </c>
      <c r="B10210" s="1" t="n">
        <v>45379</v>
      </c>
      <c r="C10210" s="1" t="n">
        <v>45677</v>
      </c>
      <c r="D10210" t="inlineStr">
        <is>
          <t>GÄVLEBORGS LÄN</t>
        </is>
      </c>
      <c r="E10210" t="inlineStr">
        <is>
          <t>GÄVLE</t>
        </is>
      </c>
      <c r="F10210" t="inlineStr">
        <is>
          <t>Bergvik skog öst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12550-2024</t>
        </is>
      </c>
      <c r="B10211" s="1" t="n">
        <v>45379</v>
      </c>
      <c r="C10211" s="1" t="n">
        <v>45677</v>
      </c>
      <c r="D10211" t="inlineStr">
        <is>
          <t>GÄVLEBORGS LÄN</t>
        </is>
      </c>
      <c r="E10211" t="inlineStr">
        <is>
          <t>HUDIKSVALL</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12545-2024</t>
        </is>
      </c>
      <c r="B10212" s="1" t="n">
        <v>45379</v>
      </c>
      <c r="C10212" s="1" t="n">
        <v>45677</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12513-2024</t>
        </is>
      </c>
      <c r="B10213" s="1" t="n">
        <v>45379</v>
      </c>
      <c r="C10213" s="1" t="n">
        <v>45677</v>
      </c>
      <c r="D10213" t="inlineStr">
        <is>
          <t>GÄVLEBORGS LÄN</t>
        </is>
      </c>
      <c r="E10213" t="inlineStr">
        <is>
          <t>HUDIKSVALL</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12526-2024</t>
        </is>
      </c>
      <c r="B10214" s="1" t="n">
        <v>45379</v>
      </c>
      <c r="C10214" s="1" t="n">
        <v>45677</v>
      </c>
      <c r="D10214" t="inlineStr">
        <is>
          <t>GÄVLEBORGS LÄN</t>
        </is>
      </c>
      <c r="E10214" t="inlineStr">
        <is>
          <t>HUDIKSVALL</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12437-2024</t>
        </is>
      </c>
      <c r="B10215" s="1" t="n">
        <v>45379</v>
      </c>
      <c r="C10215" s="1" t="n">
        <v>45677</v>
      </c>
      <c r="D10215" t="inlineStr">
        <is>
          <t>GÄVLEBORGS LÄN</t>
        </is>
      </c>
      <c r="E10215" t="inlineStr">
        <is>
          <t>GÄVLE</t>
        </is>
      </c>
      <c r="F10215" t="inlineStr">
        <is>
          <t>Bergvik skog öst AB</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12535-2024</t>
        </is>
      </c>
      <c r="B10216" s="1" t="n">
        <v>45379</v>
      </c>
      <c r="C10216" s="1" t="n">
        <v>45677</v>
      </c>
      <c r="D10216" t="inlineStr">
        <is>
          <t>GÄVLEBORGS LÄN</t>
        </is>
      </c>
      <c r="E10216" t="inlineStr">
        <is>
          <t>HUDIKSVALL</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12415-2024</t>
        </is>
      </c>
      <c r="B10217" s="1" t="n">
        <v>45379</v>
      </c>
      <c r="C10217" s="1" t="n">
        <v>45677</v>
      </c>
      <c r="D10217" t="inlineStr">
        <is>
          <t>GÄVLEBORGS LÄN</t>
        </is>
      </c>
      <c r="E10217" t="inlineStr">
        <is>
          <t>GÄVLE</t>
        </is>
      </c>
      <c r="F10217" t="inlineStr">
        <is>
          <t>Bergvik skog öst AB</t>
        </is>
      </c>
      <c r="G10217" t="n">
        <v>23.8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12411-2024</t>
        </is>
      </c>
      <c r="B10218" s="1" t="n">
        <v>45379</v>
      </c>
      <c r="C10218" s="1" t="n">
        <v>45677</v>
      </c>
      <c r="D10218" t="inlineStr">
        <is>
          <t>GÄVLEBORGS LÄN</t>
        </is>
      </c>
      <c r="E10218" t="inlineStr">
        <is>
          <t>OVANÅKER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12430-2024</t>
        </is>
      </c>
      <c r="B10219" s="1" t="n">
        <v>45379</v>
      </c>
      <c r="C10219" s="1" t="n">
        <v>45677</v>
      </c>
      <c r="D10219" t="inlineStr">
        <is>
          <t>GÄVLEBORGS LÄN</t>
        </is>
      </c>
      <c r="E10219" t="inlineStr">
        <is>
          <t>GÄVLE</t>
        </is>
      </c>
      <c r="F10219" t="inlineStr">
        <is>
          <t>Bergvik skog öst AB</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12504-2024</t>
        </is>
      </c>
      <c r="B10220" s="1" t="n">
        <v>45379</v>
      </c>
      <c r="C10220" s="1" t="n">
        <v>45677</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12536-2024</t>
        </is>
      </c>
      <c r="B10221" s="1" t="n">
        <v>45379</v>
      </c>
      <c r="C10221" s="1" t="n">
        <v>45677</v>
      </c>
      <c r="D10221" t="inlineStr">
        <is>
          <t>GÄVLEBORGS LÄN</t>
        </is>
      </c>
      <c r="E10221" t="inlineStr">
        <is>
          <t>HUDIKSVALL</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12607-2024</t>
        </is>
      </c>
      <c r="B10222" s="1" t="n">
        <v>45382</v>
      </c>
      <c r="C10222" s="1" t="n">
        <v>45677</v>
      </c>
      <c r="D10222" t="inlineStr">
        <is>
          <t>GÄVLEBORGS LÄN</t>
        </is>
      </c>
      <c r="E10222" t="inlineStr">
        <is>
          <t>NORDANSTIG</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12694-2024</t>
        </is>
      </c>
      <c r="B10223" s="1" t="n">
        <v>45384</v>
      </c>
      <c r="C10223" s="1" t="n">
        <v>45677</v>
      </c>
      <c r="D10223" t="inlineStr">
        <is>
          <t>GÄVLEBORGS LÄN</t>
        </is>
      </c>
      <c r="E10223" t="inlineStr">
        <is>
          <t>NORDANSTIG</t>
        </is>
      </c>
      <c r="F10223" t="inlineStr">
        <is>
          <t>Holmen skog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12679-2024</t>
        </is>
      </c>
      <c r="B10224" s="1" t="n">
        <v>45384</v>
      </c>
      <c r="C10224" s="1" t="n">
        <v>45677</v>
      </c>
      <c r="D10224" t="inlineStr">
        <is>
          <t>GÄVLEBORGS LÄN</t>
        </is>
      </c>
      <c r="E10224" t="inlineStr">
        <is>
          <t>HUDIKSVALL</t>
        </is>
      </c>
      <c r="F10224" t="inlineStr">
        <is>
          <t>Holmen skog AB</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12778-2024</t>
        </is>
      </c>
      <c r="B10225" s="1" t="n">
        <v>45384</v>
      </c>
      <c r="C10225" s="1" t="n">
        <v>45677</v>
      </c>
      <c r="D10225" t="inlineStr">
        <is>
          <t>GÄVLEBORGS LÄN</t>
        </is>
      </c>
      <c r="E10225" t="inlineStr">
        <is>
          <t>OCKELBO</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12782-2024</t>
        </is>
      </c>
      <c r="B10226" s="1" t="n">
        <v>45384</v>
      </c>
      <c r="C10226" s="1" t="n">
        <v>45677</v>
      </c>
      <c r="D10226" t="inlineStr">
        <is>
          <t>GÄVLEBORGS LÄN</t>
        </is>
      </c>
      <c r="E10226" t="inlineStr">
        <is>
          <t>SANDVIKEN</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12799-2024</t>
        </is>
      </c>
      <c r="B10227" s="1" t="n">
        <v>45384</v>
      </c>
      <c r="C10227" s="1" t="n">
        <v>45677</v>
      </c>
      <c r="D10227" t="inlineStr">
        <is>
          <t>GÄVLEBORGS LÄN</t>
        </is>
      </c>
      <c r="E10227" t="inlineStr">
        <is>
          <t>LJUSDAL</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12855-2024</t>
        </is>
      </c>
      <c r="B10228" s="1" t="n">
        <v>45385</v>
      </c>
      <c r="C10228" s="1" t="n">
        <v>45677</v>
      </c>
      <c r="D10228" t="inlineStr">
        <is>
          <t>GÄVLEBORGS LÄN</t>
        </is>
      </c>
      <c r="E10228" t="inlineStr">
        <is>
          <t>LJUSDAL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12846-2024</t>
        </is>
      </c>
      <c r="B10229" s="1" t="n">
        <v>45384</v>
      </c>
      <c r="C10229" s="1" t="n">
        <v>45677</v>
      </c>
      <c r="D10229" t="inlineStr">
        <is>
          <t>GÄVLEBORGS LÄN</t>
        </is>
      </c>
      <c r="E10229" t="inlineStr">
        <is>
          <t>HUDIKSVALL</t>
        </is>
      </c>
      <c r="F10229" t="inlineStr">
        <is>
          <t>Holmen skog AB</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12893-2024</t>
        </is>
      </c>
      <c r="B10230" s="1" t="n">
        <v>45385</v>
      </c>
      <c r="C10230" s="1" t="n">
        <v>45677</v>
      </c>
      <c r="D10230" t="inlineStr">
        <is>
          <t>GÄVLEBORGS LÄN</t>
        </is>
      </c>
      <c r="E10230" t="inlineStr">
        <is>
          <t>HUDIKSVALL</t>
        </is>
      </c>
      <c r="F10230" t="inlineStr">
        <is>
          <t>Holmen skog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12915-2024</t>
        </is>
      </c>
      <c r="B10231" s="1" t="n">
        <v>45385</v>
      </c>
      <c r="C10231" s="1" t="n">
        <v>45677</v>
      </c>
      <c r="D10231" t="inlineStr">
        <is>
          <t>GÄVLEBORGS LÄN</t>
        </is>
      </c>
      <c r="E10231" t="inlineStr">
        <is>
          <t>HUDIKSVALL</t>
        </is>
      </c>
      <c r="F10231" t="inlineStr">
        <is>
          <t>Holmen skog AB</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13078-2024</t>
        </is>
      </c>
      <c r="B10232" s="1" t="n">
        <v>45385</v>
      </c>
      <c r="C10232" s="1" t="n">
        <v>45677</v>
      </c>
      <c r="D10232" t="inlineStr">
        <is>
          <t>GÄVLEBORGS LÄN</t>
        </is>
      </c>
      <c r="E10232" t="inlineStr">
        <is>
          <t>OVANÅKER</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13036-2024</t>
        </is>
      </c>
      <c r="B10233" s="1" t="n">
        <v>45385</v>
      </c>
      <c r="C10233" s="1" t="n">
        <v>45677</v>
      </c>
      <c r="D10233" t="inlineStr">
        <is>
          <t>GÄVLEBORGS LÄN</t>
        </is>
      </c>
      <c r="E10233" t="inlineStr">
        <is>
          <t>SÖDERHAMN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13141-2024</t>
        </is>
      </c>
      <c r="B10234" s="1" t="n">
        <v>45386</v>
      </c>
      <c r="C10234" s="1" t="n">
        <v>45677</v>
      </c>
      <c r="D10234" t="inlineStr">
        <is>
          <t>GÄVLEBORGS LÄN</t>
        </is>
      </c>
      <c r="E10234" t="inlineStr">
        <is>
          <t>OVANÅKER</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13153-2024</t>
        </is>
      </c>
      <c r="B10235" s="1" t="n">
        <v>45386</v>
      </c>
      <c r="C10235" s="1" t="n">
        <v>45677</v>
      </c>
      <c r="D10235" t="inlineStr">
        <is>
          <t>GÄVLEBORGS LÄN</t>
        </is>
      </c>
      <c r="E10235" t="inlineStr">
        <is>
          <t>HUDIKSVALL</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13143-2024</t>
        </is>
      </c>
      <c r="B10236" s="1" t="n">
        <v>45386</v>
      </c>
      <c r="C10236" s="1" t="n">
        <v>45677</v>
      </c>
      <c r="D10236" t="inlineStr">
        <is>
          <t>GÄVLEBORGS LÄN</t>
        </is>
      </c>
      <c r="E10236" t="inlineStr">
        <is>
          <t>BOLLNÄS</t>
        </is>
      </c>
      <c r="G10236" t="n">
        <v>10.7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13179-2024</t>
        </is>
      </c>
      <c r="B10237" s="1" t="n">
        <v>45386</v>
      </c>
      <c r="C10237" s="1" t="n">
        <v>45677</v>
      </c>
      <c r="D10237" t="inlineStr">
        <is>
          <t>GÄVLEBORGS LÄN</t>
        </is>
      </c>
      <c r="E10237" t="inlineStr">
        <is>
          <t>NORDANSTIG</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13201-2024</t>
        </is>
      </c>
      <c r="B10238" s="1" t="n">
        <v>45386</v>
      </c>
      <c r="C10238" s="1" t="n">
        <v>45677</v>
      </c>
      <c r="D10238" t="inlineStr">
        <is>
          <t>GÄVLEBORGS LÄN</t>
        </is>
      </c>
      <c r="E10238" t="inlineStr">
        <is>
          <t>HUDIKSVALL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13199-2024</t>
        </is>
      </c>
      <c r="B10239" s="1" t="n">
        <v>45386</v>
      </c>
      <c r="C10239" s="1" t="n">
        <v>45677</v>
      </c>
      <c r="D10239" t="inlineStr">
        <is>
          <t>GÄVLEBORGS LÄN</t>
        </is>
      </c>
      <c r="E10239" t="inlineStr">
        <is>
          <t>HUDIKSVALL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13217-2024</t>
        </is>
      </c>
      <c r="B10240" s="1" t="n">
        <v>45386</v>
      </c>
      <c r="C10240" s="1" t="n">
        <v>45677</v>
      </c>
      <c r="D10240" t="inlineStr">
        <is>
          <t>GÄVLEBORGS LÄN</t>
        </is>
      </c>
      <c r="E10240" t="inlineStr">
        <is>
          <t>NORDANSTIG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13229-2024</t>
        </is>
      </c>
      <c r="B10241" s="1" t="n">
        <v>45386</v>
      </c>
      <c r="C10241" s="1" t="n">
        <v>45677</v>
      </c>
      <c r="D10241" t="inlineStr">
        <is>
          <t>GÄVLEBORGS LÄN</t>
        </is>
      </c>
      <c r="E10241" t="inlineStr">
        <is>
          <t>GÄVLE</t>
        </is>
      </c>
      <c r="F10241" t="inlineStr">
        <is>
          <t>Övriga statliga verk och myndigheter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13238-2024</t>
        </is>
      </c>
      <c r="B10242" s="1" t="n">
        <v>45386</v>
      </c>
      <c r="C10242" s="1" t="n">
        <v>45677</v>
      </c>
      <c r="D10242" t="inlineStr">
        <is>
          <t>GÄVLEBORGS LÄN</t>
        </is>
      </c>
      <c r="E10242" t="inlineStr">
        <is>
          <t>LJUSDAL</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13227-2024</t>
        </is>
      </c>
      <c r="B10243" s="1" t="n">
        <v>45386</v>
      </c>
      <c r="C10243" s="1" t="n">
        <v>45677</v>
      </c>
      <c r="D10243" t="inlineStr">
        <is>
          <t>GÄVLEBORGS LÄN</t>
        </is>
      </c>
      <c r="E10243" t="inlineStr">
        <is>
          <t>GÄVLE</t>
        </is>
      </c>
      <c r="F10243" t="inlineStr">
        <is>
          <t>Övriga statliga verk och myndigheter</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13337-2024</t>
        </is>
      </c>
      <c r="B10244" s="1" t="n">
        <v>45386</v>
      </c>
      <c r="C10244" s="1" t="n">
        <v>45677</v>
      </c>
      <c r="D10244" t="inlineStr">
        <is>
          <t>GÄVLEBORGS LÄN</t>
        </is>
      </c>
      <c r="E10244" t="inlineStr">
        <is>
          <t>LJUSDAL</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13174-2024</t>
        </is>
      </c>
      <c r="B10245" s="1" t="n">
        <v>45386</v>
      </c>
      <c r="C10245" s="1" t="n">
        <v>45677</v>
      </c>
      <c r="D10245" t="inlineStr">
        <is>
          <t>GÄVLEBORGS LÄN</t>
        </is>
      </c>
      <c r="E10245" t="inlineStr">
        <is>
          <t>NORDANSTIG</t>
        </is>
      </c>
      <c r="F10245" t="inlineStr">
        <is>
          <t>Holmen skog AB</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13214-2024</t>
        </is>
      </c>
      <c r="B10246" s="1" t="n">
        <v>45386</v>
      </c>
      <c r="C10246" s="1" t="n">
        <v>45677</v>
      </c>
      <c r="D10246" t="inlineStr">
        <is>
          <t>GÄVLEBORGS LÄN</t>
        </is>
      </c>
      <c r="E10246" t="inlineStr">
        <is>
          <t>HUDIKSVALL</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13212-2024</t>
        </is>
      </c>
      <c r="B10247" s="1" t="n">
        <v>45386</v>
      </c>
      <c r="C10247" s="1" t="n">
        <v>45677</v>
      </c>
      <c r="D10247" t="inlineStr">
        <is>
          <t>GÄVLEBORGS LÄN</t>
        </is>
      </c>
      <c r="E10247" t="inlineStr">
        <is>
          <t>HUDIKSVALL</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13461-2024</t>
        </is>
      </c>
      <c r="B10248" s="1" t="n">
        <v>45387</v>
      </c>
      <c r="C10248" s="1" t="n">
        <v>45677</v>
      </c>
      <c r="D10248" t="inlineStr">
        <is>
          <t>GÄVLEBORGS LÄN</t>
        </is>
      </c>
      <c r="E10248" t="inlineStr">
        <is>
          <t>BOLLNÄS</t>
        </is>
      </c>
      <c r="F10248" t="inlineStr">
        <is>
          <t>Holmen skog AB</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13473-2024</t>
        </is>
      </c>
      <c r="B10249" s="1" t="n">
        <v>45387</v>
      </c>
      <c r="C10249" s="1" t="n">
        <v>45677</v>
      </c>
      <c r="D10249" t="inlineStr">
        <is>
          <t>GÄVLEBORGS LÄN</t>
        </is>
      </c>
      <c r="E10249" t="inlineStr">
        <is>
          <t>HOFORS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13538-2024</t>
        </is>
      </c>
      <c r="B10250" s="1" t="n">
        <v>45388</v>
      </c>
      <c r="C10250" s="1" t="n">
        <v>45677</v>
      </c>
      <c r="D10250" t="inlineStr">
        <is>
          <t>GÄVLEBORGS LÄN</t>
        </is>
      </c>
      <c r="E10250" t="inlineStr">
        <is>
          <t>BOLLNÄS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13537-2024</t>
        </is>
      </c>
      <c r="B10251" s="1" t="n">
        <v>45388</v>
      </c>
      <c r="C10251" s="1" t="n">
        <v>45677</v>
      </c>
      <c r="D10251" t="inlineStr">
        <is>
          <t>GÄVLEBORGS LÄN</t>
        </is>
      </c>
      <c r="E10251" t="inlineStr">
        <is>
          <t>BOLLNÄS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13496-2024</t>
        </is>
      </c>
      <c r="B10252" s="1" t="n">
        <v>45387</v>
      </c>
      <c r="C10252" s="1" t="n">
        <v>45677</v>
      </c>
      <c r="D10252" t="inlineStr">
        <is>
          <t>GÄVLEBORGS LÄN</t>
        </is>
      </c>
      <c r="E10252" t="inlineStr">
        <is>
          <t>LJUSDAL</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13471-2024</t>
        </is>
      </c>
      <c r="B10253" s="1" t="n">
        <v>45387</v>
      </c>
      <c r="C10253" s="1" t="n">
        <v>45677</v>
      </c>
      <c r="D10253" t="inlineStr">
        <is>
          <t>GÄVLEBORGS LÄN</t>
        </is>
      </c>
      <c r="E10253" t="inlineStr">
        <is>
          <t>HOFORS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13406-2024</t>
        </is>
      </c>
      <c r="B10254" s="1" t="n">
        <v>45387</v>
      </c>
      <c r="C10254" s="1" t="n">
        <v>45677</v>
      </c>
      <c r="D10254" t="inlineStr">
        <is>
          <t>GÄVLEBORGS LÄN</t>
        </is>
      </c>
      <c r="E10254" t="inlineStr">
        <is>
          <t>LJUSDAL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13362-2024</t>
        </is>
      </c>
      <c r="B10255" s="1" t="n">
        <v>45387</v>
      </c>
      <c r="C10255" s="1" t="n">
        <v>45677</v>
      </c>
      <c r="D10255" t="inlineStr">
        <is>
          <t>GÄVLEBORGS LÄN</t>
        </is>
      </c>
      <c r="E10255" t="inlineStr">
        <is>
          <t>GÄVLE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13443-2024</t>
        </is>
      </c>
      <c r="B10256" s="1" t="n">
        <v>45387</v>
      </c>
      <c r="C10256" s="1" t="n">
        <v>45677</v>
      </c>
      <c r="D10256" t="inlineStr">
        <is>
          <t>GÄVLEBORGS LÄN</t>
        </is>
      </c>
      <c r="E10256" t="inlineStr">
        <is>
          <t>OVANÅKER</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13427-2024</t>
        </is>
      </c>
      <c r="B10257" s="1" t="n">
        <v>45387</v>
      </c>
      <c r="C10257" s="1" t="n">
        <v>45677</v>
      </c>
      <c r="D10257" t="inlineStr">
        <is>
          <t>GÄVLEBORGS LÄN</t>
        </is>
      </c>
      <c r="E10257" t="inlineStr">
        <is>
          <t>LJUSDAL</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13411-2024</t>
        </is>
      </c>
      <c r="B10258" s="1" t="n">
        <v>45387</v>
      </c>
      <c r="C10258" s="1" t="n">
        <v>45677</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13498-2024</t>
        </is>
      </c>
      <c r="B10259" s="1" t="n">
        <v>45387</v>
      </c>
      <c r="C10259" s="1" t="n">
        <v>45677</v>
      </c>
      <c r="D10259" t="inlineStr">
        <is>
          <t>GÄVLEBORGS LÄN</t>
        </is>
      </c>
      <c r="E10259" t="inlineStr">
        <is>
          <t>LJUSDAL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13490-2024</t>
        </is>
      </c>
      <c r="B10260" s="1" t="n">
        <v>45387</v>
      </c>
      <c r="C10260" s="1" t="n">
        <v>45677</v>
      </c>
      <c r="D10260" t="inlineStr">
        <is>
          <t>GÄVLEBORGS LÄN</t>
        </is>
      </c>
      <c r="E10260" t="inlineStr">
        <is>
          <t>HUDIKSVALL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13486-2024</t>
        </is>
      </c>
      <c r="B10261" s="1" t="n">
        <v>45387</v>
      </c>
      <c r="C10261" s="1" t="n">
        <v>45677</v>
      </c>
      <c r="D10261" t="inlineStr">
        <is>
          <t>GÄVLEBORGS LÄN</t>
        </is>
      </c>
      <c r="E10261" t="inlineStr">
        <is>
          <t>OVANÅKER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13417-2024</t>
        </is>
      </c>
      <c r="B10262" s="1" t="n">
        <v>45387</v>
      </c>
      <c r="C10262" s="1" t="n">
        <v>45677</v>
      </c>
      <c r="D10262" t="inlineStr">
        <is>
          <t>GÄVLEBORGS LÄN</t>
        </is>
      </c>
      <c r="E10262" t="inlineStr">
        <is>
          <t>LJUSDAL</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13369-2024</t>
        </is>
      </c>
      <c r="B10263" s="1" t="n">
        <v>45387</v>
      </c>
      <c r="C10263" s="1" t="n">
        <v>45677</v>
      </c>
      <c r="D10263" t="inlineStr">
        <is>
          <t>GÄVLEBORGS LÄN</t>
        </is>
      </c>
      <c r="E10263" t="inlineStr">
        <is>
          <t>GÄVLE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13630-2024</t>
        </is>
      </c>
      <c r="B10264" s="1" t="n">
        <v>45390</v>
      </c>
      <c r="C10264" s="1" t="n">
        <v>45677</v>
      </c>
      <c r="D10264" t="inlineStr">
        <is>
          <t>GÄVLEBORGS LÄN</t>
        </is>
      </c>
      <c r="E10264" t="inlineStr">
        <is>
          <t>BOLLNÄS</t>
        </is>
      </c>
      <c r="F10264" t="inlineStr">
        <is>
          <t>Holmen skog AB</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13612-2024</t>
        </is>
      </c>
      <c r="B10265" s="1" t="n">
        <v>45390</v>
      </c>
      <c r="C10265" s="1" t="n">
        <v>45677</v>
      </c>
      <c r="D10265" t="inlineStr">
        <is>
          <t>GÄVLEBORGS LÄN</t>
        </is>
      </c>
      <c r="E10265" t="inlineStr">
        <is>
          <t>HUDIKSVALL</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13603-2024</t>
        </is>
      </c>
      <c r="B10266" s="1" t="n">
        <v>45390</v>
      </c>
      <c r="C10266" s="1" t="n">
        <v>45677</v>
      </c>
      <c r="D10266" t="inlineStr">
        <is>
          <t>GÄVLEBORGS LÄN</t>
        </is>
      </c>
      <c r="E10266" t="inlineStr">
        <is>
          <t>GÄVLE</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13629-2024</t>
        </is>
      </c>
      <c r="B10267" s="1" t="n">
        <v>45390</v>
      </c>
      <c r="C10267" s="1" t="n">
        <v>45677</v>
      </c>
      <c r="D10267" t="inlineStr">
        <is>
          <t>GÄVLEBORGS LÄN</t>
        </is>
      </c>
      <c r="E10267" t="inlineStr">
        <is>
          <t>OVANÅKER</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13632-2024</t>
        </is>
      </c>
      <c r="B10268" s="1" t="n">
        <v>45390</v>
      </c>
      <c r="C10268" s="1" t="n">
        <v>45677</v>
      </c>
      <c r="D10268" t="inlineStr">
        <is>
          <t>GÄVLEBORGS LÄN</t>
        </is>
      </c>
      <c r="E10268" t="inlineStr">
        <is>
          <t>SANDVIKEN</t>
        </is>
      </c>
      <c r="F10268" t="inlineStr">
        <is>
          <t>Kyrkan</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13689-2024</t>
        </is>
      </c>
      <c r="B10269" s="1" t="n">
        <v>45390</v>
      </c>
      <c r="C10269" s="1" t="n">
        <v>45677</v>
      </c>
      <c r="D10269" t="inlineStr">
        <is>
          <t>GÄVLEBORGS LÄN</t>
        </is>
      </c>
      <c r="E10269" t="inlineStr">
        <is>
          <t>SANDVIKEN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13680-2024</t>
        </is>
      </c>
      <c r="B10270" s="1" t="n">
        <v>45390</v>
      </c>
      <c r="C10270" s="1" t="n">
        <v>45677</v>
      </c>
      <c r="D10270" t="inlineStr">
        <is>
          <t>GÄVLEBORGS LÄN</t>
        </is>
      </c>
      <c r="E10270" t="inlineStr">
        <is>
          <t>GÄVLE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13711-2024</t>
        </is>
      </c>
      <c r="B10271" s="1" t="n">
        <v>45390</v>
      </c>
      <c r="C10271" s="1" t="n">
        <v>45677</v>
      </c>
      <c r="D10271" t="inlineStr">
        <is>
          <t>GÄVLEBORGS LÄN</t>
        </is>
      </c>
      <c r="E10271" t="inlineStr">
        <is>
          <t>SANDVIKEN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13705-2024</t>
        </is>
      </c>
      <c r="B10272" s="1" t="n">
        <v>45390</v>
      </c>
      <c r="C10272" s="1" t="n">
        <v>45677</v>
      </c>
      <c r="D10272" t="inlineStr">
        <is>
          <t>GÄVLEBORGS LÄN</t>
        </is>
      </c>
      <c r="E10272" t="inlineStr">
        <is>
          <t>HUDIKSVALL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13670-2024</t>
        </is>
      </c>
      <c r="B10273" s="1" t="n">
        <v>45390</v>
      </c>
      <c r="C10273" s="1" t="n">
        <v>45677</v>
      </c>
      <c r="D10273" t="inlineStr">
        <is>
          <t>GÄVLEBORGS LÄN</t>
        </is>
      </c>
      <c r="E10273" t="inlineStr">
        <is>
          <t>HUDIKSVALL</t>
        </is>
      </c>
      <c r="F10273" t="inlineStr">
        <is>
          <t>Holmen skog AB</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13683-2024</t>
        </is>
      </c>
      <c r="B10274" s="1" t="n">
        <v>45390</v>
      </c>
      <c r="C10274" s="1" t="n">
        <v>45677</v>
      </c>
      <c r="D10274" t="inlineStr">
        <is>
          <t>GÄVLEBORGS LÄN</t>
        </is>
      </c>
      <c r="E10274" t="inlineStr">
        <is>
          <t>OVANÅKER</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13829-2024</t>
        </is>
      </c>
      <c r="B10275" s="1" t="n">
        <v>45391</v>
      </c>
      <c r="C10275" s="1" t="n">
        <v>45677</v>
      </c>
      <c r="D10275" t="inlineStr">
        <is>
          <t>GÄVLEBORGS LÄN</t>
        </is>
      </c>
      <c r="E10275" t="inlineStr">
        <is>
          <t>LJUSDAL</t>
        </is>
      </c>
      <c r="F10275" t="inlineStr">
        <is>
          <t>Kommuner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13812-2024</t>
        </is>
      </c>
      <c r="B10276" s="1" t="n">
        <v>45391</v>
      </c>
      <c r="C10276" s="1" t="n">
        <v>45677</v>
      </c>
      <c r="D10276" t="inlineStr">
        <is>
          <t>GÄVLEBORGS LÄN</t>
        </is>
      </c>
      <c r="E10276" t="inlineStr">
        <is>
          <t>SANDVIKEN</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13866-2024</t>
        </is>
      </c>
      <c r="B10277" s="1" t="n">
        <v>45391</v>
      </c>
      <c r="C10277" s="1" t="n">
        <v>45677</v>
      </c>
      <c r="D10277" t="inlineStr">
        <is>
          <t>GÄVLEBORGS LÄN</t>
        </is>
      </c>
      <c r="E10277" t="inlineStr">
        <is>
          <t>SÖDERHAMN</t>
        </is>
      </c>
      <c r="F10277" t="inlineStr">
        <is>
          <t>Bergvik skog väst AB</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13911-2024</t>
        </is>
      </c>
      <c r="B10278" s="1" t="n">
        <v>45391</v>
      </c>
      <c r="C10278" s="1" t="n">
        <v>45677</v>
      </c>
      <c r="D10278" t="inlineStr">
        <is>
          <t>GÄVLEBORGS LÄN</t>
        </is>
      </c>
      <c r="E10278" t="inlineStr">
        <is>
          <t>LJUSDAL</t>
        </is>
      </c>
      <c r="G10278" t="n">
        <v>18.2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13806-2024</t>
        </is>
      </c>
      <c r="B10279" s="1" t="n">
        <v>45391</v>
      </c>
      <c r="C10279" s="1" t="n">
        <v>45677</v>
      </c>
      <c r="D10279" t="inlineStr">
        <is>
          <t>GÄVLEBORGS LÄN</t>
        </is>
      </c>
      <c r="E10279" t="inlineStr">
        <is>
          <t>HUDIKSVALL</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13929-2024</t>
        </is>
      </c>
      <c r="B10280" s="1" t="n">
        <v>45392</v>
      </c>
      <c r="C10280" s="1" t="n">
        <v>45677</v>
      </c>
      <c r="D10280" t="inlineStr">
        <is>
          <t>GÄVLEBORGS LÄN</t>
        </is>
      </c>
      <c r="E10280" t="inlineStr">
        <is>
          <t>SÖDERHAMN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13822-2024</t>
        </is>
      </c>
      <c r="B10281" s="1" t="n">
        <v>45391</v>
      </c>
      <c r="C10281" s="1" t="n">
        <v>45677</v>
      </c>
      <c r="D10281" t="inlineStr">
        <is>
          <t>GÄVLEBORGS LÄN</t>
        </is>
      </c>
      <c r="E10281" t="inlineStr">
        <is>
          <t>LJUSDAL</t>
        </is>
      </c>
      <c r="F10281" t="inlineStr">
        <is>
          <t>Kommuner</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13793-2024</t>
        </is>
      </c>
      <c r="B10282" s="1" t="n">
        <v>45391</v>
      </c>
      <c r="C10282" s="1" t="n">
        <v>45677</v>
      </c>
      <c r="D10282" t="inlineStr">
        <is>
          <t>GÄVLEBORGS LÄN</t>
        </is>
      </c>
      <c r="E10282" t="inlineStr">
        <is>
          <t>BOLLNÄS</t>
        </is>
      </c>
      <c r="G10282" t="n">
        <v>11.5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13798-2024</t>
        </is>
      </c>
      <c r="B10283" s="1" t="n">
        <v>45391</v>
      </c>
      <c r="C10283" s="1" t="n">
        <v>45677</v>
      </c>
      <c r="D10283" t="inlineStr">
        <is>
          <t>GÄVLEBORGS LÄN</t>
        </is>
      </c>
      <c r="E10283" t="inlineStr">
        <is>
          <t>SANDVIKEN</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13872-2024</t>
        </is>
      </c>
      <c r="B10284" s="1" t="n">
        <v>45391</v>
      </c>
      <c r="C10284" s="1" t="n">
        <v>45677</v>
      </c>
      <c r="D10284" t="inlineStr">
        <is>
          <t>GÄVLEBORGS LÄN</t>
        </is>
      </c>
      <c r="E10284" t="inlineStr">
        <is>
          <t>LJUSDAL</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13961-2024</t>
        </is>
      </c>
      <c r="B10285" s="1" t="n">
        <v>45392</v>
      </c>
      <c r="C10285" s="1" t="n">
        <v>45677</v>
      </c>
      <c r="D10285" t="inlineStr">
        <is>
          <t>GÄVLEBORGS LÄN</t>
        </is>
      </c>
      <c r="E10285" t="inlineStr">
        <is>
          <t>GÄVLE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13993-2024</t>
        </is>
      </c>
      <c r="B10286" s="1" t="n">
        <v>45392</v>
      </c>
      <c r="C10286" s="1" t="n">
        <v>45677</v>
      </c>
      <c r="D10286" t="inlineStr">
        <is>
          <t>GÄVLEBORGS LÄN</t>
        </is>
      </c>
      <c r="E10286" t="inlineStr">
        <is>
          <t>BOLLNÄS</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13997-2024</t>
        </is>
      </c>
      <c r="B10287" s="1" t="n">
        <v>45392</v>
      </c>
      <c r="C10287" s="1" t="n">
        <v>45677</v>
      </c>
      <c r="D10287" t="inlineStr">
        <is>
          <t>GÄVLEBORGS LÄN</t>
        </is>
      </c>
      <c r="E10287" t="inlineStr">
        <is>
          <t>HUDIKSVALL</t>
        </is>
      </c>
      <c r="F10287" t="inlineStr">
        <is>
          <t>Holmen skog AB</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14045-2024</t>
        </is>
      </c>
      <c r="B10288" s="1" t="n">
        <v>45392</v>
      </c>
      <c r="C10288" s="1" t="n">
        <v>45677</v>
      </c>
      <c r="D10288" t="inlineStr">
        <is>
          <t>GÄVLEBORGS LÄN</t>
        </is>
      </c>
      <c r="E10288" t="inlineStr">
        <is>
          <t>OVANÅKER</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14111-2024</t>
        </is>
      </c>
      <c r="B10289" s="1" t="n">
        <v>45392</v>
      </c>
      <c r="C10289" s="1" t="n">
        <v>45677</v>
      </c>
      <c r="D10289" t="inlineStr">
        <is>
          <t>GÄVLEBORGS LÄN</t>
        </is>
      </c>
      <c r="E10289" t="inlineStr">
        <is>
          <t>SÖDERHAMN</t>
        </is>
      </c>
      <c r="F10289" t="inlineStr">
        <is>
          <t>Bergvik skog väst AB</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14121-2024</t>
        </is>
      </c>
      <c r="B10290" s="1" t="n">
        <v>45392</v>
      </c>
      <c r="C10290" s="1" t="n">
        <v>45677</v>
      </c>
      <c r="D10290" t="inlineStr">
        <is>
          <t>GÄVLEBORGS LÄN</t>
        </is>
      </c>
      <c r="E10290" t="inlineStr">
        <is>
          <t>SANDVIKEN</t>
        </is>
      </c>
      <c r="F10290" t="inlineStr">
        <is>
          <t>Bergvik skog öst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14000-2024</t>
        </is>
      </c>
      <c r="B10291" s="1" t="n">
        <v>45392</v>
      </c>
      <c r="C10291" s="1" t="n">
        <v>45677</v>
      </c>
      <c r="D10291" t="inlineStr">
        <is>
          <t>GÄVLEBORGS LÄN</t>
        </is>
      </c>
      <c r="E10291" t="inlineStr">
        <is>
          <t>BOLLNÄS</t>
        </is>
      </c>
      <c r="F10291" t="inlineStr">
        <is>
          <t>Bergvik skog väst AB</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14065-2024</t>
        </is>
      </c>
      <c r="B10292" s="1" t="n">
        <v>45392</v>
      </c>
      <c r="C10292" s="1" t="n">
        <v>45677</v>
      </c>
      <c r="D10292" t="inlineStr">
        <is>
          <t>GÄVLEBORGS LÄN</t>
        </is>
      </c>
      <c r="E10292" t="inlineStr">
        <is>
          <t>OVANÅKER</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14138-2024</t>
        </is>
      </c>
      <c r="B10293" s="1" t="n">
        <v>45392</v>
      </c>
      <c r="C10293" s="1" t="n">
        <v>45677</v>
      </c>
      <c r="D10293" t="inlineStr">
        <is>
          <t>GÄVLEBORGS LÄN</t>
        </is>
      </c>
      <c r="E10293" t="inlineStr">
        <is>
          <t>SANDVIKEN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14046-2024</t>
        </is>
      </c>
      <c r="B10294" s="1" t="n">
        <v>45392</v>
      </c>
      <c r="C10294" s="1" t="n">
        <v>45677</v>
      </c>
      <c r="D10294" t="inlineStr">
        <is>
          <t>GÄVLEBORGS LÄN</t>
        </is>
      </c>
      <c r="E10294" t="inlineStr">
        <is>
          <t>LJUSDAL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14172-2024</t>
        </is>
      </c>
      <c r="B10295" s="1" t="n">
        <v>45392</v>
      </c>
      <c r="C10295" s="1" t="n">
        <v>45677</v>
      </c>
      <c r="D10295" t="inlineStr">
        <is>
          <t>GÄVLEBORGS LÄN</t>
        </is>
      </c>
      <c r="E10295" t="inlineStr">
        <is>
          <t>NORDANSTIG</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14100-2024</t>
        </is>
      </c>
      <c r="B10296" s="1" t="n">
        <v>45392</v>
      </c>
      <c r="C10296" s="1" t="n">
        <v>45677</v>
      </c>
      <c r="D10296" t="inlineStr">
        <is>
          <t>GÄVLEBORGS LÄN</t>
        </is>
      </c>
      <c r="E10296" t="inlineStr">
        <is>
          <t>NORDANSTIG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14198-2024</t>
        </is>
      </c>
      <c r="B10297" s="1" t="n">
        <v>45393</v>
      </c>
      <c r="C10297" s="1" t="n">
        <v>45677</v>
      </c>
      <c r="D10297" t="inlineStr">
        <is>
          <t>GÄVLEBORGS LÄN</t>
        </is>
      </c>
      <c r="E10297" t="inlineStr">
        <is>
          <t>NORDANSTIG</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14260-2024</t>
        </is>
      </c>
      <c r="B10298" s="1" t="n">
        <v>45393</v>
      </c>
      <c r="C10298" s="1" t="n">
        <v>45677</v>
      </c>
      <c r="D10298" t="inlineStr">
        <is>
          <t>GÄVLEBORGS LÄN</t>
        </is>
      </c>
      <c r="E10298" t="inlineStr">
        <is>
          <t>SÖDERHAMN</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14305-2024</t>
        </is>
      </c>
      <c r="B10299" s="1" t="n">
        <v>45393</v>
      </c>
      <c r="C10299" s="1" t="n">
        <v>45677</v>
      </c>
      <c r="D10299" t="inlineStr">
        <is>
          <t>GÄVLEBORGS LÄN</t>
        </is>
      </c>
      <c r="E10299" t="inlineStr">
        <is>
          <t>OCKELBO</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14321-2024</t>
        </is>
      </c>
      <c r="B10300" s="1" t="n">
        <v>45393</v>
      </c>
      <c r="C10300" s="1" t="n">
        <v>45677</v>
      </c>
      <c r="D10300" t="inlineStr">
        <is>
          <t>GÄVLEBORGS LÄN</t>
        </is>
      </c>
      <c r="E10300" t="inlineStr">
        <is>
          <t>SÖDERHAMN</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14263-2024</t>
        </is>
      </c>
      <c r="B10301" s="1" t="n">
        <v>45393</v>
      </c>
      <c r="C10301" s="1" t="n">
        <v>45677</v>
      </c>
      <c r="D10301" t="inlineStr">
        <is>
          <t>GÄVLEBORGS LÄN</t>
        </is>
      </c>
      <c r="E10301" t="inlineStr">
        <is>
          <t>LJUSDAL</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14296-2024</t>
        </is>
      </c>
      <c r="B10302" s="1" t="n">
        <v>45393</v>
      </c>
      <c r="C10302" s="1" t="n">
        <v>45677</v>
      </c>
      <c r="D10302" t="inlineStr">
        <is>
          <t>GÄVLEBORGS LÄN</t>
        </is>
      </c>
      <c r="E10302" t="inlineStr">
        <is>
          <t>LJUSDAL</t>
        </is>
      </c>
      <c r="F10302" t="inlineStr">
        <is>
          <t>Bergvik skog väst AB</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14318-2024</t>
        </is>
      </c>
      <c r="B10303" s="1" t="n">
        <v>45393</v>
      </c>
      <c r="C10303" s="1" t="n">
        <v>45677</v>
      </c>
      <c r="D10303" t="inlineStr">
        <is>
          <t>GÄVLEBORGS LÄN</t>
        </is>
      </c>
      <c r="E10303" t="inlineStr">
        <is>
          <t>SÖDERHAMN</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14326-2024</t>
        </is>
      </c>
      <c r="B10304" s="1" t="n">
        <v>45393</v>
      </c>
      <c r="C10304" s="1" t="n">
        <v>45677</v>
      </c>
      <c r="D10304" t="inlineStr">
        <is>
          <t>GÄVLEBORGS LÄN</t>
        </is>
      </c>
      <c r="E10304" t="inlineStr">
        <is>
          <t>SÖDERHAMN</t>
        </is>
      </c>
      <c r="G10304" t="n">
        <v>37.3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14315-2024</t>
        </is>
      </c>
      <c r="B10305" s="1" t="n">
        <v>45393</v>
      </c>
      <c r="C10305" s="1" t="n">
        <v>45677</v>
      </c>
      <c r="D10305" t="inlineStr">
        <is>
          <t>GÄVLEBORGS LÄN</t>
        </is>
      </c>
      <c r="E10305" t="inlineStr">
        <is>
          <t>SÖDERHAMN</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14398-2024</t>
        </is>
      </c>
      <c r="B10306" s="1" t="n">
        <v>45394</v>
      </c>
      <c r="C10306" s="1" t="n">
        <v>45677</v>
      </c>
      <c r="D10306" t="inlineStr">
        <is>
          <t>GÄVLEBORGS LÄN</t>
        </is>
      </c>
      <c r="E10306" t="inlineStr">
        <is>
          <t>BOLLNÄS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14460-2024</t>
        </is>
      </c>
      <c r="B10307" s="1" t="n">
        <v>45394</v>
      </c>
      <c r="C10307" s="1" t="n">
        <v>45677</v>
      </c>
      <c r="D10307" t="inlineStr">
        <is>
          <t>GÄVLEBORGS LÄN</t>
        </is>
      </c>
      <c r="E10307" t="inlineStr">
        <is>
          <t>BOLLNÄS</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14574-2024</t>
        </is>
      </c>
      <c r="B10308" s="1" t="n">
        <v>45394</v>
      </c>
      <c r="C10308" s="1" t="n">
        <v>45677</v>
      </c>
      <c r="D10308" t="inlineStr">
        <is>
          <t>GÄVLEBORGS LÄN</t>
        </is>
      </c>
      <c r="E10308" t="inlineStr">
        <is>
          <t>SÖDERHAMN</t>
        </is>
      </c>
      <c r="G10308" t="n">
        <v>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14472-2024</t>
        </is>
      </c>
      <c r="B10309" s="1" t="n">
        <v>45394</v>
      </c>
      <c r="C10309" s="1" t="n">
        <v>45677</v>
      </c>
      <c r="D10309" t="inlineStr">
        <is>
          <t>GÄVLEBORGS LÄN</t>
        </is>
      </c>
      <c r="E10309" t="inlineStr">
        <is>
          <t>SÖDERHAMN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14447-2024</t>
        </is>
      </c>
      <c r="B10310" s="1" t="n">
        <v>45394</v>
      </c>
      <c r="C10310" s="1" t="n">
        <v>45677</v>
      </c>
      <c r="D10310" t="inlineStr">
        <is>
          <t>GÄVLEBORGS LÄN</t>
        </is>
      </c>
      <c r="E10310" t="inlineStr">
        <is>
          <t>SÖDERHAMN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14563-2024</t>
        </is>
      </c>
      <c r="B10311" s="1" t="n">
        <v>45395</v>
      </c>
      <c r="C10311" s="1" t="n">
        <v>45677</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14575-2024</t>
        </is>
      </c>
      <c r="B10312" s="1" t="n">
        <v>45394</v>
      </c>
      <c r="C10312" s="1" t="n">
        <v>45677</v>
      </c>
      <c r="D10312" t="inlineStr">
        <is>
          <t>GÄVLEBORGS LÄN</t>
        </is>
      </c>
      <c r="E10312" t="inlineStr">
        <is>
          <t>OVANÅKER</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14680-2024</t>
        </is>
      </c>
      <c r="B10313" s="1" t="n">
        <v>45397</v>
      </c>
      <c r="C10313" s="1" t="n">
        <v>45677</v>
      </c>
      <c r="D10313" t="inlineStr">
        <is>
          <t>GÄVLEBORGS LÄN</t>
        </is>
      </c>
      <c r="E10313" t="inlineStr">
        <is>
          <t>SÖDERHAMN</t>
        </is>
      </c>
      <c r="F10313" t="inlineStr">
        <is>
          <t>Bergvik skog väst AB</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14686-2024</t>
        </is>
      </c>
      <c r="B10314" s="1" t="n">
        <v>45397</v>
      </c>
      <c r="C10314" s="1" t="n">
        <v>45677</v>
      </c>
      <c r="D10314" t="inlineStr">
        <is>
          <t>GÄVLEBORGS LÄN</t>
        </is>
      </c>
      <c r="E10314" t="inlineStr">
        <is>
          <t>GÄVLE</t>
        </is>
      </c>
      <c r="F10314" t="inlineStr">
        <is>
          <t>Bergvik skog öst AB</t>
        </is>
      </c>
      <c r="G10314" t="n">
        <v>17.4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14714-2024</t>
        </is>
      </c>
      <c r="B10315" s="1" t="n">
        <v>45397</v>
      </c>
      <c r="C10315" s="1" t="n">
        <v>45677</v>
      </c>
      <c r="D10315" t="inlineStr">
        <is>
          <t>GÄVLEBORGS LÄN</t>
        </is>
      </c>
      <c r="E10315" t="inlineStr">
        <is>
          <t>SÖDERHAMN</t>
        </is>
      </c>
      <c r="G10315" t="n">
        <v>15.3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14718-2024</t>
        </is>
      </c>
      <c r="B10316" s="1" t="n">
        <v>45397</v>
      </c>
      <c r="C10316" s="1" t="n">
        <v>45677</v>
      </c>
      <c r="D10316" t="inlineStr">
        <is>
          <t>GÄVLEBORGS LÄN</t>
        </is>
      </c>
      <c r="E10316" t="inlineStr">
        <is>
          <t>SÖDERHAMN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14748-2024</t>
        </is>
      </c>
      <c r="B10317" s="1" t="n">
        <v>45397</v>
      </c>
      <c r="C10317" s="1" t="n">
        <v>45677</v>
      </c>
      <c r="D10317" t="inlineStr">
        <is>
          <t>GÄVLEBORGS LÄN</t>
        </is>
      </c>
      <c r="E10317" t="inlineStr">
        <is>
          <t>OVANÅKER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14648-2024</t>
        </is>
      </c>
      <c r="B10318" s="1" t="n">
        <v>45397</v>
      </c>
      <c r="C10318" s="1" t="n">
        <v>45677</v>
      </c>
      <c r="D10318" t="inlineStr">
        <is>
          <t>GÄVLEBORGS LÄN</t>
        </is>
      </c>
      <c r="E10318" t="inlineStr">
        <is>
          <t>HUDIKSVALL</t>
        </is>
      </c>
      <c r="G10318" t="n">
        <v>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14652-2024</t>
        </is>
      </c>
      <c r="B10319" s="1" t="n">
        <v>45397</v>
      </c>
      <c r="C10319" s="1" t="n">
        <v>45677</v>
      </c>
      <c r="D10319" t="inlineStr">
        <is>
          <t>GÄVLEBORGS LÄN</t>
        </is>
      </c>
      <c r="E10319" t="inlineStr">
        <is>
          <t>NORDANSTIG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14721-2024</t>
        </is>
      </c>
      <c r="B10320" s="1" t="n">
        <v>45397</v>
      </c>
      <c r="C10320" s="1" t="n">
        <v>45677</v>
      </c>
      <c r="D10320" t="inlineStr">
        <is>
          <t>GÄVLEBORGS LÄN</t>
        </is>
      </c>
      <c r="E10320" t="inlineStr">
        <is>
          <t>GÄVLE</t>
        </is>
      </c>
      <c r="F10320" t="inlineStr">
        <is>
          <t>Bergvik skog öst AB</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14735-2024</t>
        </is>
      </c>
      <c r="B10321" s="1" t="n">
        <v>45397</v>
      </c>
      <c r="C10321" s="1" t="n">
        <v>45677</v>
      </c>
      <c r="D10321" t="inlineStr">
        <is>
          <t>GÄVLEBORGS LÄN</t>
        </is>
      </c>
      <c r="E10321" t="inlineStr">
        <is>
          <t>GÄVLE</t>
        </is>
      </c>
      <c r="F10321" t="inlineStr">
        <is>
          <t>Bergvik skog öst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14755-2024</t>
        </is>
      </c>
      <c r="B10322" s="1" t="n">
        <v>45397</v>
      </c>
      <c r="C10322" s="1" t="n">
        <v>45677</v>
      </c>
      <c r="D10322" t="inlineStr">
        <is>
          <t>GÄVLEBORGS LÄN</t>
        </is>
      </c>
      <c r="E10322" t="inlineStr">
        <is>
          <t>OVANÅKER</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14759-2024</t>
        </is>
      </c>
      <c r="B10323" s="1" t="n">
        <v>45397</v>
      </c>
      <c r="C10323" s="1" t="n">
        <v>45677</v>
      </c>
      <c r="D10323" t="inlineStr">
        <is>
          <t>GÄVLEBORGS LÄN</t>
        </is>
      </c>
      <c r="E10323" t="inlineStr">
        <is>
          <t>SÖDERHAMN</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14866-2024</t>
        </is>
      </c>
      <c r="B10324" s="1" t="n">
        <v>45397</v>
      </c>
      <c r="C10324" s="1" t="n">
        <v>45677</v>
      </c>
      <c r="D10324" t="inlineStr">
        <is>
          <t>GÄVLEBORGS LÄN</t>
        </is>
      </c>
      <c r="E10324" t="inlineStr">
        <is>
          <t>NORDANSTIG</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14712-2024</t>
        </is>
      </c>
      <c r="B10325" s="1" t="n">
        <v>45397</v>
      </c>
      <c r="C10325" s="1" t="n">
        <v>45677</v>
      </c>
      <c r="D10325" t="inlineStr">
        <is>
          <t>GÄVLEBORGS LÄN</t>
        </is>
      </c>
      <c r="E10325" t="inlineStr">
        <is>
          <t>GÄVLE</t>
        </is>
      </c>
      <c r="F10325" t="inlineStr">
        <is>
          <t>Bergvik skog öst AB</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14750-2024</t>
        </is>
      </c>
      <c r="B10326" s="1" t="n">
        <v>45397</v>
      </c>
      <c r="C10326" s="1" t="n">
        <v>45677</v>
      </c>
      <c r="D10326" t="inlineStr">
        <is>
          <t>GÄVLEBORGS LÄN</t>
        </is>
      </c>
      <c r="E10326" t="inlineStr">
        <is>
          <t>GÄVLE</t>
        </is>
      </c>
      <c r="F10326" t="inlineStr">
        <is>
          <t>Bergvik skog öst AB</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14758-2024</t>
        </is>
      </c>
      <c r="B10327" s="1" t="n">
        <v>45397</v>
      </c>
      <c r="C10327" s="1" t="n">
        <v>45677</v>
      </c>
      <c r="D10327" t="inlineStr">
        <is>
          <t>GÄVLEBORGS LÄN</t>
        </is>
      </c>
      <c r="E10327" t="inlineStr">
        <is>
          <t>OVANÅKER</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14868-2024</t>
        </is>
      </c>
      <c r="B10328" s="1" t="n">
        <v>45397</v>
      </c>
      <c r="C10328" s="1" t="n">
        <v>45677</v>
      </c>
      <c r="D10328" t="inlineStr">
        <is>
          <t>GÄVLEBORGS LÄN</t>
        </is>
      </c>
      <c r="E10328" t="inlineStr">
        <is>
          <t>NORDANSTIG</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14646-2024</t>
        </is>
      </c>
      <c r="B10329" s="1" t="n">
        <v>45397</v>
      </c>
      <c r="C10329" s="1" t="n">
        <v>45677</v>
      </c>
      <c r="D10329" t="inlineStr">
        <is>
          <t>GÄVLEBORGS LÄN</t>
        </is>
      </c>
      <c r="E10329" t="inlineStr">
        <is>
          <t>SÖDERHAMN</t>
        </is>
      </c>
      <c r="F10329" t="inlineStr">
        <is>
          <t>Bergvik skog väst AB</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14691-2024</t>
        </is>
      </c>
      <c r="B10330" s="1" t="n">
        <v>45397</v>
      </c>
      <c r="C10330" s="1" t="n">
        <v>45677</v>
      </c>
      <c r="D10330" t="inlineStr">
        <is>
          <t>GÄVLEBORGS LÄN</t>
        </is>
      </c>
      <c r="E10330" t="inlineStr">
        <is>
          <t>GÄVLE</t>
        </is>
      </c>
      <c r="F10330" t="inlineStr">
        <is>
          <t>Bergvik skog öst AB</t>
        </is>
      </c>
      <c r="G10330" t="n">
        <v>20.7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14700-2024</t>
        </is>
      </c>
      <c r="B10331" s="1" t="n">
        <v>45397</v>
      </c>
      <c r="C10331" s="1" t="n">
        <v>45677</v>
      </c>
      <c r="D10331" t="inlineStr">
        <is>
          <t>GÄVLEBORGS LÄN</t>
        </is>
      </c>
      <c r="E10331" t="inlineStr">
        <is>
          <t>HUDIKSVALL</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14719-2024</t>
        </is>
      </c>
      <c r="B10332" s="1" t="n">
        <v>45397</v>
      </c>
      <c r="C10332" s="1" t="n">
        <v>45677</v>
      </c>
      <c r="D10332" t="inlineStr">
        <is>
          <t>GÄVLEBORGS LÄN</t>
        </is>
      </c>
      <c r="E10332" t="inlineStr">
        <is>
          <t>GÄVLE</t>
        </is>
      </c>
      <c r="F10332" t="inlineStr">
        <is>
          <t>Bergvik skog öst AB</t>
        </is>
      </c>
      <c r="G10332" t="n">
        <v>12.4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14753-2024</t>
        </is>
      </c>
      <c r="B10333" s="1" t="n">
        <v>45397</v>
      </c>
      <c r="C10333" s="1" t="n">
        <v>45677</v>
      </c>
      <c r="D10333" t="inlineStr">
        <is>
          <t>GÄVLEBORGS LÄN</t>
        </is>
      </c>
      <c r="E10333" t="inlineStr">
        <is>
          <t>BOLLNÄS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14757-2024</t>
        </is>
      </c>
      <c r="B10334" s="1" t="n">
        <v>45397</v>
      </c>
      <c r="C10334" s="1" t="n">
        <v>45677</v>
      </c>
      <c r="D10334" t="inlineStr">
        <is>
          <t>GÄVLEBORGS LÄN</t>
        </is>
      </c>
      <c r="E10334" t="inlineStr">
        <is>
          <t>SÖDERHAMN</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14761-2024</t>
        </is>
      </c>
      <c r="B10335" s="1" t="n">
        <v>45397</v>
      </c>
      <c r="C10335" s="1" t="n">
        <v>45677</v>
      </c>
      <c r="D10335" t="inlineStr">
        <is>
          <t>GÄVLEBORGS LÄN</t>
        </is>
      </c>
      <c r="E10335" t="inlineStr">
        <is>
          <t>OVANÅKER</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14832-2024</t>
        </is>
      </c>
      <c r="B10336" s="1" t="n">
        <v>45398</v>
      </c>
      <c r="C10336" s="1" t="n">
        <v>45677</v>
      </c>
      <c r="D10336" t="inlineStr">
        <is>
          <t>GÄVLEBORGS LÄN</t>
        </is>
      </c>
      <c r="E10336" t="inlineStr">
        <is>
          <t>GÄVLE</t>
        </is>
      </c>
      <c r="F10336" t="inlineStr">
        <is>
          <t>Bergvik skog öst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14850-2024</t>
        </is>
      </c>
      <c r="B10337" s="1" t="n">
        <v>45398</v>
      </c>
      <c r="C10337" s="1" t="n">
        <v>45677</v>
      </c>
      <c r="D10337" t="inlineStr">
        <is>
          <t>GÄVLEBORGS LÄN</t>
        </is>
      </c>
      <c r="E10337" t="inlineStr">
        <is>
          <t>SÖDERHAMN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14862-2024</t>
        </is>
      </c>
      <c r="B10338" s="1" t="n">
        <v>45398</v>
      </c>
      <c r="C10338" s="1" t="n">
        <v>45677</v>
      </c>
      <c r="D10338" t="inlineStr">
        <is>
          <t>GÄVLEBORGS LÄN</t>
        </is>
      </c>
      <c r="E10338" t="inlineStr">
        <is>
          <t>GÄVLE</t>
        </is>
      </c>
      <c r="F10338" t="inlineStr">
        <is>
          <t>Bergvik skog öst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14877-2024</t>
        </is>
      </c>
      <c r="B10339" s="1" t="n">
        <v>45398</v>
      </c>
      <c r="C10339" s="1" t="n">
        <v>45677</v>
      </c>
      <c r="D10339" t="inlineStr">
        <is>
          <t>GÄVLEBORGS LÄN</t>
        </is>
      </c>
      <c r="E10339" t="inlineStr">
        <is>
          <t>LJUSDAL</t>
        </is>
      </c>
      <c r="F10339" t="inlineStr">
        <is>
          <t>Allmännings- och besparingsskogar</t>
        </is>
      </c>
      <c r="G10339" t="n">
        <v>27.1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14881-2024</t>
        </is>
      </c>
      <c r="B10340" s="1" t="n">
        <v>45398</v>
      </c>
      <c r="C10340" s="1" t="n">
        <v>45677</v>
      </c>
      <c r="D10340" t="inlineStr">
        <is>
          <t>GÄVLEBORGS LÄN</t>
        </is>
      </c>
      <c r="E10340" t="inlineStr">
        <is>
          <t>GÄVLE</t>
        </is>
      </c>
      <c r="F10340" t="inlineStr">
        <is>
          <t>Bergvik skog öst AB</t>
        </is>
      </c>
      <c r="G10340" t="n">
        <v>17.8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14880-2024</t>
        </is>
      </c>
      <c r="B10341" s="1" t="n">
        <v>45398</v>
      </c>
      <c r="C10341" s="1" t="n">
        <v>45677</v>
      </c>
      <c r="D10341" t="inlineStr">
        <is>
          <t>GÄVLEBORGS LÄN</t>
        </is>
      </c>
      <c r="E10341" t="inlineStr">
        <is>
          <t>LJUSDAL</t>
        </is>
      </c>
      <c r="F10341" t="inlineStr">
        <is>
          <t>Allmännings- och besparingsskogar</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14916-2024</t>
        </is>
      </c>
      <c r="B10342" s="1" t="n">
        <v>45398</v>
      </c>
      <c r="C10342" s="1" t="n">
        <v>45677</v>
      </c>
      <c r="D10342" t="inlineStr">
        <is>
          <t>GÄVLEBORGS LÄN</t>
        </is>
      </c>
      <c r="E10342" t="inlineStr">
        <is>
          <t>GÄVLE</t>
        </is>
      </c>
      <c r="F10342" t="inlineStr">
        <is>
          <t>Bergvik skog öst AB</t>
        </is>
      </c>
      <c r="G10342" t="n">
        <v>10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14924-2024</t>
        </is>
      </c>
      <c r="B10343" s="1" t="n">
        <v>45398</v>
      </c>
      <c r="C10343" s="1" t="n">
        <v>45677</v>
      </c>
      <c r="D10343" t="inlineStr">
        <is>
          <t>GÄVLEBORGS LÄN</t>
        </is>
      </c>
      <c r="E10343" t="inlineStr">
        <is>
          <t>GÄVLE</t>
        </is>
      </c>
      <c r="F10343" t="inlineStr">
        <is>
          <t>Bergvik skog öst AB</t>
        </is>
      </c>
      <c r="G10343" t="n">
        <v>24.5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14937-2024</t>
        </is>
      </c>
      <c r="B10344" s="1" t="n">
        <v>45398</v>
      </c>
      <c r="C10344" s="1" t="n">
        <v>45677</v>
      </c>
      <c r="D10344" t="inlineStr">
        <is>
          <t>GÄVLEBORGS LÄN</t>
        </is>
      </c>
      <c r="E10344" t="inlineStr">
        <is>
          <t>OCKELBO</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14961-2024</t>
        </is>
      </c>
      <c r="B10345" s="1" t="n">
        <v>45398</v>
      </c>
      <c r="C10345" s="1" t="n">
        <v>45677</v>
      </c>
      <c r="D10345" t="inlineStr">
        <is>
          <t>GÄVLEBORGS LÄN</t>
        </is>
      </c>
      <c r="E10345" t="inlineStr">
        <is>
          <t>SÖDERHAMN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14863-2024</t>
        </is>
      </c>
      <c r="B10346" s="1" t="n">
        <v>45398</v>
      </c>
      <c r="C10346" s="1" t="n">
        <v>45677</v>
      </c>
      <c r="D10346" t="inlineStr">
        <is>
          <t>GÄVLEBORGS LÄN</t>
        </is>
      </c>
      <c r="E10346" t="inlineStr">
        <is>
          <t>HUDIKSVALL</t>
        </is>
      </c>
      <c r="F10346" t="inlineStr">
        <is>
          <t>Holmen skog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14886-2024</t>
        </is>
      </c>
      <c r="B10347" s="1" t="n">
        <v>45398</v>
      </c>
      <c r="C10347" s="1" t="n">
        <v>45677</v>
      </c>
      <c r="D10347" t="inlineStr">
        <is>
          <t>GÄVLEBORGS LÄN</t>
        </is>
      </c>
      <c r="E10347" t="inlineStr">
        <is>
          <t>GÄVLE</t>
        </is>
      </c>
      <c r="F10347" t="inlineStr">
        <is>
          <t>Bergvik skog öst AB</t>
        </is>
      </c>
      <c r="G10347" t="n">
        <v>13.7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14906-2024</t>
        </is>
      </c>
      <c r="B10348" s="1" t="n">
        <v>45398</v>
      </c>
      <c r="C10348" s="1" t="n">
        <v>45677</v>
      </c>
      <c r="D10348" t="inlineStr">
        <is>
          <t>GÄVLEBORGS LÄN</t>
        </is>
      </c>
      <c r="E10348" t="inlineStr">
        <is>
          <t>HUDIKSVALL</t>
        </is>
      </c>
      <c r="F10348" t="inlineStr">
        <is>
          <t>Holmen skog AB</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14918-2024</t>
        </is>
      </c>
      <c r="B10349" s="1" t="n">
        <v>45398</v>
      </c>
      <c r="C10349" s="1" t="n">
        <v>45677</v>
      </c>
      <c r="D10349" t="inlineStr">
        <is>
          <t>GÄVLEBORGS LÄN</t>
        </is>
      </c>
      <c r="E10349" t="inlineStr">
        <is>
          <t>BOLLNÄS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14959-2024</t>
        </is>
      </c>
      <c r="B10350" s="1" t="n">
        <v>45399</v>
      </c>
      <c r="C10350" s="1" t="n">
        <v>45677</v>
      </c>
      <c r="D10350" t="inlineStr">
        <is>
          <t>GÄVLEBORGS LÄN</t>
        </is>
      </c>
      <c r="E10350" t="inlineStr">
        <is>
          <t>SÖDERHAMN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14852-2024</t>
        </is>
      </c>
      <c r="B10351" s="1" t="n">
        <v>45398</v>
      </c>
      <c r="C10351" s="1" t="n">
        <v>45677</v>
      </c>
      <c r="D10351" t="inlineStr">
        <is>
          <t>GÄVLEBORGS LÄN</t>
        </is>
      </c>
      <c r="E10351" t="inlineStr">
        <is>
          <t>SÖDERHAMN</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14864-2024</t>
        </is>
      </c>
      <c r="B10352" s="1" t="n">
        <v>45398</v>
      </c>
      <c r="C10352" s="1" t="n">
        <v>45677</v>
      </c>
      <c r="D10352" t="inlineStr">
        <is>
          <t>GÄVLEBORGS LÄN</t>
        </is>
      </c>
      <c r="E10352" t="inlineStr">
        <is>
          <t>GÄVLE</t>
        </is>
      </c>
      <c r="F10352" t="inlineStr">
        <is>
          <t>Bergvik skog öst AB</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14891-2024</t>
        </is>
      </c>
      <c r="B10353" s="1" t="n">
        <v>45398</v>
      </c>
      <c r="C10353" s="1" t="n">
        <v>45677</v>
      </c>
      <c r="D10353" t="inlineStr">
        <is>
          <t>GÄVLEBORGS LÄN</t>
        </is>
      </c>
      <c r="E10353" t="inlineStr">
        <is>
          <t>GÄVLE</t>
        </is>
      </c>
      <c r="F10353" t="inlineStr">
        <is>
          <t>Bergvik skog öst AB</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14899-2024</t>
        </is>
      </c>
      <c r="B10354" s="1" t="n">
        <v>45398</v>
      </c>
      <c r="C10354" s="1" t="n">
        <v>45677</v>
      </c>
      <c r="D10354" t="inlineStr">
        <is>
          <t>GÄVLEBORGS LÄN</t>
        </is>
      </c>
      <c r="E10354" t="inlineStr">
        <is>
          <t>GÄVLE</t>
        </is>
      </c>
      <c r="F10354" t="inlineStr">
        <is>
          <t>Bergvik skog öst AB</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14944-2024</t>
        </is>
      </c>
      <c r="B10355" s="1" t="n">
        <v>45398</v>
      </c>
      <c r="C10355" s="1" t="n">
        <v>45677</v>
      </c>
      <c r="D10355" t="inlineStr">
        <is>
          <t>GÄVLEBORGS LÄN</t>
        </is>
      </c>
      <c r="E10355" t="inlineStr">
        <is>
          <t>LJUSDAL</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14960-2024</t>
        </is>
      </c>
      <c r="B10356" s="1" t="n">
        <v>45398</v>
      </c>
      <c r="C10356" s="1" t="n">
        <v>45677</v>
      </c>
      <c r="D10356" t="inlineStr">
        <is>
          <t>GÄVLEBORGS LÄN</t>
        </is>
      </c>
      <c r="E10356" t="inlineStr">
        <is>
          <t>SÖDERHAMN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15026-2024</t>
        </is>
      </c>
      <c r="B10357" s="1" t="n">
        <v>45399</v>
      </c>
      <c r="C10357" s="1" t="n">
        <v>45677</v>
      </c>
      <c r="D10357" t="inlineStr">
        <is>
          <t>GÄVLEBORGS LÄN</t>
        </is>
      </c>
      <c r="E10357" t="inlineStr">
        <is>
          <t>GÄVLE</t>
        </is>
      </c>
      <c r="F10357" t="inlineStr">
        <is>
          <t>Bergvik skog öst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15068-2024</t>
        </is>
      </c>
      <c r="B10358" s="1" t="n">
        <v>45399</v>
      </c>
      <c r="C10358" s="1" t="n">
        <v>45677</v>
      </c>
      <c r="D10358" t="inlineStr">
        <is>
          <t>GÄVLEBORGS LÄN</t>
        </is>
      </c>
      <c r="E10358" t="inlineStr">
        <is>
          <t>GÄVLE</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15088-2024</t>
        </is>
      </c>
      <c r="B10359" s="1" t="n">
        <v>45399</v>
      </c>
      <c r="C10359" s="1" t="n">
        <v>45677</v>
      </c>
      <c r="D10359" t="inlineStr">
        <is>
          <t>GÄVLEBORGS LÄN</t>
        </is>
      </c>
      <c r="E10359" t="inlineStr">
        <is>
          <t>NORDANSTIG</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15023-2024</t>
        </is>
      </c>
      <c r="B10360" s="1" t="n">
        <v>45399</v>
      </c>
      <c r="C10360" s="1" t="n">
        <v>45677</v>
      </c>
      <c r="D10360" t="inlineStr">
        <is>
          <t>GÄVLEBORGS LÄN</t>
        </is>
      </c>
      <c r="E10360" t="inlineStr">
        <is>
          <t>LJUSDAL</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15027-2024</t>
        </is>
      </c>
      <c r="B10361" s="1" t="n">
        <v>45399</v>
      </c>
      <c r="C10361" s="1" t="n">
        <v>45677</v>
      </c>
      <c r="D10361" t="inlineStr">
        <is>
          <t>GÄVLEBORGS LÄN</t>
        </is>
      </c>
      <c r="E10361" t="inlineStr">
        <is>
          <t>GÄVLE</t>
        </is>
      </c>
      <c r="F10361" t="inlineStr">
        <is>
          <t>Bergvik skog öst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15053-2024</t>
        </is>
      </c>
      <c r="B10362" s="1" t="n">
        <v>45399</v>
      </c>
      <c r="C10362" s="1" t="n">
        <v>45677</v>
      </c>
      <c r="D10362" t="inlineStr">
        <is>
          <t>GÄVLEBORGS LÄN</t>
        </is>
      </c>
      <c r="E10362" t="inlineStr">
        <is>
          <t>LJUSDAL</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15069-2024</t>
        </is>
      </c>
      <c r="B10363" s="1" t="n">
        <v>45399</v>
      </c>
      <c r="C10363" s="1" t="n">
        <v>45677</v>
      </c>
      <c r="D10363" t="inlineStr">
        <is>
          <t>GÄVLEBORGS LÄN</t>
        </is>
      </c>
      <c r="E10363" t="inlineStr">
        <is>
          <t>OVANÅKER</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15077-2024</t>
        </is>
      </c>
      <c r="B10364" s="1" t="n">
        <v>45399</v>
      </c>
      <c r="C10364" s="1" t="n">
        <v>45677</v>
      </c>
      <c r="D10364" t="inlineStr">
        <is>
          <t>GÄVLEBORGS LÄN</t>
        </is>
      </c>
      <c r="E10364" t="inlineStr">
        <is>
          <t>OCKELBO</t>
        </is>
      </c>
      <c r="F10364" t="inlineStr">
        <is>
          <t>Bergvik skog väst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15032-2024</t>
        </is>
      </c>
      <c r="B10365" s="1" t="n">
        <v>45399</v>
      </c>
      <c r="C10365" s="1" t="n">
        <v>45677</v>
      </c>
      <c r="D10365" t="inlineStr">
        <is>
          <t>GÄVLEBORGS LÄN</t>
        </is>
      </c>
      <c r="E10365" t="inlineStr">
        <is>
          <t>GÄVLE</t>
        </is>
      </c>
      <c r="F10365" t="inlineStr">
        <is>
          <t>Bergvik skog öst AB</t>
        </is>
      </c>
      <c r="G10365" t="n">
        <v>30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15074-2024</t>
        </is>
      </c>
      <c r="B10366" s="1" t="n">
        <v>45399</v>
      </c>
      <c r="C10366" s="1" t="n">
        <v>45677</v>
      </c>
      <c r="D10366" t="inlineStr">
        <is>
          <t>GÄVLEBORGS LÄN</t>
        </is>
      </c>
      <c r="E10366" t="inlineStr">
        <is>
          <t>OCKELBO</t>
        </is>
      </c>
      <c r="F10366" t="inlineStr">
        <is>
          <t>Bergvik skog väst AB</t>
        </is>
      </c>
      <c r="G10366" t="n">
        <v>13.2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15111-2024</t>
        </is>
      </c>
      <c r="B10367" s="1" t="n">
        <v>45399</v>
      </c>
      <c r="C10367" s="1" t="n">
        <v>45677</v>
      </c>
      <c r="D10367" t="inlineStr">
        <is>
          <t>GÄVLEBORGS LÄN</t>
        </is>
      </c>
      <c r="E10367" t="inlineStr">
        <is>
          <t>SÖDERHAMN</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15115-2024</t>
        </is>
      </c>
      <c r="B10368" s="1" t="n">
        <v>45399</v>
      </c>
      <c r="C10368" s="1" t="n">
        <v>45677</v>
      </c>
      <c r="D10368" t="inlineStr">
        <is>
          <t>GÄVLEBORGS LÄN</t>
        </is>
      </c>
      <c r="E10368" t="inlineStr">
        <is>
          <t>SÖDERHAMN</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15168-2024</t>
        </is>
      </c>
      <c r="B10369" s="1" t="n">
        <v>45400</v>
      </c>
      <c r="C10369" s="1" t="n">
        <v>45677</v>
      </c>
      <c r="D10369" t="inlineStr">
        <is>
          <t>GÄVLEBORGS LÄN</t>
        </is>
      </c>
      <c r="E10369" t="inlineStr">
        <is>
          <t>LJUSDAL</t>
        </is>
      </c>
      <c r="F10369" t="inlineStr">
        <is>
          <t>Holmen skog AB</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15185-2024</t>
        </is>
      </c>
      <c r="B10370" s="1" t="n">
        <v>45400</v>
      </c>
      <c r="C10370" s="1" t="n">
        <v>45677</v>
      </c>
      <c r="D10370" t="inlineStr">
        <is>
          <t>GÄVLEBORGS LÄN</t>
        </is>
      </c>
      <c r="E10370" t="inlineStr">
        <is>
          <t>SANDVIKEN</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15224-2024</t>
        </is>
      </c>
      <c r="B10371" s="1" t="n">
        <v>45400</v>
      </c>
      <c r="C10371" s="1" t="n">
        <v>45677</v>
      </c>
      <c r="D10371" t="inlineStr">
        <is>
          <t>GÄVLEBORGS LÄN</t>
        </is>
      </c>
      <c r="E10371" t="inlineStr">
        <is>
          <t>SÖDERHAMN</t>
        </is>
      </c>
      <c r="F10371" t="inlineStr">
        <is>
          <t>Bergvik skog väst AB</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15242-2024</t>
        </is>
      </c>
      <c r="B10372" s="1" t="n">
        <v>45400</v>
      </c>
      <c r="C10372" s="1" t="n">
        <v>45677</v>
      </c>
      <c r="D10372" t="inlineStr">
        <is>
          <t>GÄVLEBORGS LÄN</t>
        </is>
      </c>
      <c r="E10372" t="inlineStr">
        <is>
          <t>SANDVIKEN</t>
        </is>
      </c>
      <c r="F10372" t="inlineStr">
        <is>
          <t>Bergvik skog öst AB</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15305-2024</t>
        </is>
      </c>
      <c r="B10373" s="1" t="n">
        <v>45400</v>
      </c>
      <c r="C10373" s="1" t="n">
        <v>45677</v>
      </c>
      <c r="D10373" t="inlineStr">
        <is>
          <t>GÄVLEBORGS LÄN</t>
        </is>
      </c>
      <c r="E10373" t="inlineStr">
        <is>
          <t>GÄVLE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15267-2024</t>
        </is>
      </c>
      <c r="B10374" s="1" t="n">
        <v>45400</v>
      </c>
      <c r="C10374" s="1" t="n">
        <v>45677</v>
      </c>
      <c r="D10374" t="inlineStr">
        <is>
          <t>GÄVLEBORGS LÄN</t>
        </is>
      </c>
      <c r="E10374" t="inlineStr">
        <is>
          <t>LJUSDAL</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15187-2024</t>
        </is>
      </c>
      <c r="B10375" s="1" t="n">
        <v>45400</v>
      </c>
      <c r="C10375" s="1" t="n">
        <v>45677</v>
      </c>
      <c r="D10375" t="inlineStr">
        <is>
          <t>GÄVLEBORGS LÄN</t>
        </is>
      </c>
      <c r="E10375" t="inlineStr">
        <is>
          <t>SANDVIKEN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15199-2024</t>
        </is>
      </c>
      <c r="B10376" s="1" t="n">
        <v>45400</v>
      </c>
      <c r="C10376" s="1" t="n">
        <v>45677</v>
      </c>
      <c r="D10376" t="inlineStr">
        <is>
          <t>GÄVLEBORGS LÄN</t>
        </is>
      </c>
      <c r="E10376" t="inlineStr">
        <is>
          <t>SÖDERHAMN</t>
        </is>
      </c>
      <c r="F10376" t="inlineStr">
        <is>
          <t>Bergvik skog väst AB</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15207-2024</t>
        </is>
      </c>
      <c r="B10377" s="1" t="n">
        <v>45400</v>
      </c>
      <c r="C10377" s="1" t="n">
        <v>45677</v>
      </c>
      <c r="D10377" t="inlineStr">
        <is>
          <t>GÄVLEBORGS LÄN</t>
        </is>
      </c>
      <c r="E10377" t="inlineStr">
        <is>
          <t>GÄVLE</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15211-2024</t>
        </is>
      </c>
      <c r="B10378" s="1" t="n">
        <v>45400</v>
      </c>
      <c r="C10378" s="1" t="n">
        <v>45677</v>
      </c>
      <c r="D10378" t="inlineStr">
        <is>
          <t>GÄVLEBORGS LÄN</t>
        </is>
      </c>
      <c r="E10378" t="inlineStr">
        <is>
          <t>HUDIKSVALL</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15240-2024</t>
        </is>
      </c>
      <c r="B10379" s="1" t="n">
        <v>45400</v>
      </c>
      <c r="C10379" s="1" t="n">
        <v>45677</v>
      </c>
      <c r="D10379" t="inlineStr">
        <is>
          <t>GÄVLEBORGS LÄN</t>
        </is>
      </c>
      <c r="E10379" t="inlineStr">
        <is>
          <t>GÄVLE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15256-2024</t>
        </is>
      </c>
      <c r="B10380" s="1" t="n">
        <v>45400</v>
      </c>
      <c r="C10380" s="1" t="n">
        <v>45677</v>
      </c>
      <c r="D10380" t="inlineStr">
        <is>
          <t>GÄVLEBORGS LÄN</t>
        </is>
      </c>
      <c r="E10380" t="inlineStr">
        <is>
          <t>SANDVIKEN</t>
        </is>
      </c>
      <c r="F10380" t="inlineStr">
        <is>
          <t>Bergvik skog öst AB</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15319-2024</t>
        </is>
      </c>
      <c r="B10381" s="1" t="n">
        <v>45400</v>
      </c>
      <c r="C10381" s="1" t="n">
        <v>45677</v>
      </c>
      <c r="D10381" t="inlineStr">
        <is>
          <t>GÄVLEBORGS LÄN</t>
        </is>
      </c>
      <c r="E10381" t="inlineStr">
        <is>
          <t>BOLLNÄS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15372-2024</t>
        </is>
      </c>
      <c r="B10382" s="1" t="n">
        <v>45401</v>
      </c>
      <c r="C10382" s="1" t="n">
        <v>45677</v>
      </c>
      <c r="D10382" t="inlineStr">
        <is>
          <t>GÄVLEBORGS LÄN</t>
        </is>
      </c>
      <c r="E10382" t="inlineStr">
        <is>
          <t>LJUSDAL</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15371-2024</t>
        </is>
      </c>
      <c r="B10383" s="1" t="n">
        <v>45401</v>
      </c>
      <c r="C10383" s="1" t="n">
        <v>45677</v>
      </c>
      <c r="D10383" t="inlineStr">
        <is>
          <t>GÄVLEBORGS LÄN</t>
        </is>
      </c>
      <c r="E10383" t="inlineStr">
        <is>
          <t>LJUSDAL</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15509-2024</t>
        </is>
      </c>
      <c r="B10384" s="1" t="n">
        <v>45401</v>
      </c>
      <c r="C10384" s="1" t="n">
        <v>45677</v>
      </c>
      <c r="D10384" t="inlineStr">
        <is>
          <t>GÄVLEBORGS LÄN</t>
        </is>
      </c>
      <c r="E10384" t="inlineStr">
        <is>
          <t>OVANÅKER</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15564-2024</t>
        </is>
      </c>
      <c r="B10385" s="1" t="n">
        <v>45401</v>
      </c>
      <c r="C10385" s="1" t="n">
        <v>45677</v>
      </c>
      <c r="D10385" t="inlineStr">
        <is>
          <t>GÄVLEBORGS LÄN</t>
        </is>
      </c>
      <c r="E10385" t="inlineStr">
        <is>
          <t>OVANÅKER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15527-2024</t>
        </is>
      </c>
      <c r="B10386" s="1" t="n">
        <v>45401</v>
      </c>
      <c r="C10386" s="1" t="n">
        <v>45677</v>
      </c>
      <c r="D10386" t="inlineStr">
        <is>
          <t>GÄVLEBORGS LÄN</t>
        </is>
      </c>
      <c r="E10386" t="inlineStr">
        <is>
          <t>HUDIKSVALL</t>
        </is>
      </c>
      <c r="F10386" t="inlineStr">
        <is>
          <t>Holmen skog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15486-2024</t>
        </is>
      </c>
      <c r="B10387" s="1" t="n">
        <v>45401</v>
      </c>
      <c r="C10387" s="1" t="n">
        <v>45677</v>
      </c>
      <c r="D10387" t="inlineStr">
        <is>
          <t>GÄVLEBORGS LÄN</t>
        </is>
      </c>
      <c r="E10387" t="inlineStr">
        <is>
          <t>HUDIKSVALL</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15443-2024</t>
        </is>
      </c>
      <c r="B10388" s="1" t="n">
        <v>45401</v>
      </c>
      <c r="C10388" s="1" t="n">
        <v>45677</v>
      </c>
      <c r="D10388" t="inlineStr">
        <is>
          <t>GÄVLEBORGS LÄN</t>
        </is>
      </c>
      <c r="E10388" t="inlineStr">
        <is>
          <t>BOLLNÄS</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15484-2024</t>
        </is>
      </c>
      <c r="B10389" s="1" t="n">
        <v>45401</v>
      </c>
      <c r="C10389" s="1" t="n">
        <v>45677</v>
      </c>
      <c r="D10389" t="inlineStr">
        <is>
          <t>GÄVLEBORGS LÄN</t>
        </is>
      </c>
      <c r="E10389" t="inlineStr">
        <is>
          <t>HOFORS</t>
        </is>
      </c>
      <c r="F10389" t="inlineStr">
        <is>
          <t>Sveaskog</t>
        </is>
      </c>
      <c r="G10389" t="n">
        <v>11.6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15449-2024</t>
        </is>
      </c>
      <c r="B10390" s="1" t="n">
        <v>45401</v>
      </c>
      <c r="C10390" s="1" t="n">
        <v>45677</v>
      </c>
      <c r="D10390" t="inlineStr">
        <is>
          <t>GÄVLEBORGS LÄN</t>
        </is>
      </c>
      <c r="E10390" t="inlineStr">
        <is>
          <t>HUDIKSVALL</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15444-2024</t>
        </is>
      </c>
      <c r="B10391" s="1" t="n">
        <v>45401</v>
      </c>
      <c r="C10391" s="1" t="n">
        <v>45677</v>
      </c>
      <c r="D10391" t="inlineStr">
        <is>
          <t>GÄVLEBORGS LÄN</t>
        </is>
      </c>
      <c r="E10391" t="inlineStr">
        <is>
          <t>GÄVLE</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15651-2024</t>
        </is>
      </c>
      <c r="B10392" s="1" t="n">
        <v>45404</v>
      </c>
      <c r="C10392" s="1" t="n">
        <v>45677</v>
      </c>
      <c r="D10392" t="inlineStr">
        <is>
          <t>GÄVLEBORGS LÄN</t>
        </is>
      </c>
      <c r="E10392" t="inlineStr">
        <is>
          <t>OCKELBO</t>
        </is>
      </c>
      <c r="F10392" t="inlineStr">
        <is>
          <t>Bergvik skog väst AB</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15674-2024</t>
        </is>
      </c>
      <c r="B10393" s="1" t="n">
        <v>45404</v>
      </c>
      <c r="C10393" s="1" t="n">
        <v>45677</v>
      </c>
      <c r="D10393" t="inlineStr">
        <is>
          <t>GÄVLEBORGS LÄN</t>
        </is>
      </c>
      <c r="E10393" t="inlineStr">
        <is>
          <t>SANDVIKEN</t>
        </is>
      </c>
      <c r="F10393" t="inlineStr">
        <is>
          <t>Bergvik skog öst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15682-2024</t>
        </is>
      </c>
      <c r="B10394" s="1" t="n">
        <v>45404</v>
      </c>
      <c r="C10394" s="1" t="n">
        <v>45677</v>
      </c>
      <c r="D10394" t="inlineStr">
        <is>
          <t>GÄVLEBORGS LÄN</t>
        </is>
      </c>
      <c r="E10394" t="inlineStr">
        <is>
          <t>SANDVIKEN</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15742-2024</t>
        </is>
      </c>
      <c r="B10395" s="1" t="n">
        <v>45404</v>
      </c>
      <c r="C10395" s="1" t="n">
        <v>45677</v>
      </c>
      <c r="D10395" t="inlineStr">
        <is>
          <t>GÄVLEBORGS LÄN</t>
        </is>
      </c>
      <c r="E10395" t="inlineStr">
        <is>
          <t>GÄVLE</t>
        </is>
      </c>
      <c r="F10395" t="inlineStr">
        <is>
          <t>Bergvik skog väst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15662-2024</t>
        </is>
      </c>
      <c r="B10396" s="1" t="n">
        <v>45404</v>
      </c>
      <c r="C10396" s="1" t="n">
        <v>45677</v>
      </c>
      <c r="D10396" t="inlineStr">
        <is>
          <t>GÄVLEBORGS LÄN</t>
        </is>
      </c>
      <c r="E10396" t="inlineStr">
        <is>
          <t>OCKELBO</t>
        </is>
      </c>
      <c r="F10396" t="inlineStr">
        <is>
          <t>Bergvik skog väst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15676-2024</t>
        </is>
      </c>
      <c r="B10397" s="1" t="n">
        <v>45404</v>
      </c>
      <c r="C10397" s="1" t="n">
        <v>45677</v>
      </c>
      <c r="D10397" t="inlineStr">
        <is>
          <t>GÄVLEBORGS LÄN</t>
        </is>
      </c>
      <c r="E10397" t="inlineStr">
        <is>
          <t>SÖDERHAMN</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15671-2024</t>
        </is>
      </c>
      <c r="B10398" s="1" t="n">
        <v>45404</v>
      </c>
      <c r="C10398" s="1" t="n">
        <v>45677</v>
      </c>
      <c r="D10398" t="inlineStr">
        <is>
          <t>GÄVLEBORGS LÄN</t>
        </is>
      </c>
      <c r="E10398" t="inlineStr">
        <is>
          <t>SANDVIKEN</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15675-2024</t>
        </is>
      </c>
      <c r="B10399" s="1" t="n">
        <v>45404</v>
      </c>
      <c r="C10399" s="1" t="n">
        <v>45677</v>
      </c>
      <c r="D10399" t="inlineStr">
        <is>
          <t>GÄVLEBORGS LÄN</t>
        </is>
      </c>
      <c r="E10399" t="inlineStr">
        <is>
          <t>OCKELBO</t>
        </is>
      </c>
      <c r="F10399" t="inlineStr">
        <is>
          <t>Bergvik skog väst AB</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15707-2024</t>
        </is>
      </c>
      <c r="B10400" s="1" t="n">
        <v>45404</v>
      </c>
      <c r="C10400" s="1" t="n">
        <v>45677</v>
      </c>
      <c r="D10400" t="inlineStr">
        <is>
          <t>GÄVLEBORGS LÄN</t>
        </is>
      </c>
      <c r="E10400" t="inlineStr">
        <is>
          <t>GÄVLE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15771-2024</t>
        </is>
      </c>
      <c r="B10401" s="1" t="n">
        <v>45404</v>
      </c>
      <c r="C10401" s="1" t="n">
        <v>45677</v>
      </c>
      <c r="D10401" t="inlineStr">
        <is>
          <t>GÄVLEBORGS LÄN</t>
        </is>
      </c>
      <c r="E10401" t="inlineStr">
        <is>
          <t>OCKELBO</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15853-2024</t>
        </is>
      </c>
      <c r="B10402" s="1" t="n">
        <v>45404</v>
      </c>
      <c r="C10402" s="1" t="n">
        <v>45677</v>
      </c>
      <c r="D10402" t="inlineStr">
        <is>
          <t>GÄVLEBORGS LÄN</t>
        </is>
      </c>
      <c r="E10402" t="inlineStr">
        <is>
          <t>GÄVLE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16020-2024</t>
        </is>
      </c>
      <c r="B10403" s="1" t="n">
        <v>45405</v>
      </c>
      <c r="C10403" s="1" t="n">
        <v>45677</v>
      </c>
      <c r="D10403" t="inlineStr">
        <is>
          <t>GÄVLEBORGS LÄN</t>
        </is>
      </c>
      <c r="E10403" t="inlineStr">
        <is>
          <t>BOLLNÄS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15984-2024</t>
        </is>
      </c>
      <c r="B10404" s="1" t="n">
        <v>45405</v>
      </c>
      <c r="C10404" s="1" t="n">
        <v>45677</v>
      </c>
      <c r="D10404" t="inlineStr">
        <is>
          <t>GÄVLEBORGS LÄN</t>
        </is>
      </c>
      <c r="E10404" t="inlineStr">
        <is>
          <t>LJUSDAL</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15976-2024</t>
        </is>
      </c>
      <c r="B10405" s="1" t="n">
        <v>45405</v>
      </c>
      <c r="C10405" s="1" t="n">
        <v>45677</v>
      </c>
      <c r="D10405" t="inlineStr">
        <is>
          <t>GÄVLEBORGS LÄN</t>
        </is>
      </c>
      <c r="E10405" t="inlineStr">
        <is>
          <t>GÄVLE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15912-2024</t>
        </is>
      </c>
      <c r="B10406" s="1" t="n">
        <v>45405</v>
      </c>
      <c r="C10406" s="1" t="n">
        <v>45677</v>
      </c>
      <c r="D10406" t="inlineStr">
        <is>
          <t>GÄVLEBORGS LÄN</t>
        </is>
      </c>
      <c r="E10406" t="inlineStr">
        <is>
          <t>OVANÅKER</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15895-2024</t>
        </is>
      </c>
      <c r="B10407" s="1" t="n">
        <v>45405</v>
      </c>
      <c r="C10407" s="1" t="n">
        <v>45677</v>
      </c>
      <c r="D10407" t="inlineStr">
        <is>
          <t>GÄVLEBORGS LÄN</t>
        </is>
      </c>
      <c r="E10407" t="inlineStr">
        <is>
          <t>NORDANSTIG</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15950-2024</t>
        </is>
      </c>
      <c r="B10408" s="1" t="n">
        <v>45405</v>
      </c>
      <c r="C10408" s="1" t="n">
        <v>45677</v>
      </c>
      <c r="D10408" t="inlineStr">
        <is>
          <t>GÄVLEBORGS LÄN</t>
        </is>
      </c>
      <c r="E10408" t="inlineStr">
        <is>
          <t>BOLLNÄS</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16019-2024</t>
        </is>
      </c>
      <c r="B10409" s="1" t="n">
        <v>45405</v>
      </c>
      <c r="C10409" s="1" t="n">
        <v>45677</v>
      </c>
      <c r="D10409" t="inlineStr">
        <is>
          <t>GÄVLEBORGS LÄN</t>
        </is>
      </c>
      <c r="E10409" t="inlineStr">
        <is>
          <t>OVANÅKER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15946-2024</t>
        </is>
      </c>
      <c r="B10410" s="1" t="n">
        <v>45405</v>
      </c>
      <c r="C10410" s="1" t="n">
        <v>45677</v>
      </c>
      <c r="D10410" t="inlineStr">
        <is>
          <t>GÄVLEBORGS LÄN</t>
        </is>
      </c>
      <c r="E10410" t="inlineStr">
        <is>
          <t>HUDIKSVALL</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15910-2024</t>
        </is>
      </c>
      <c r="B10411" s="1" t="n">
        <v>45405</v>
      </c>
      <c r="C10411" s="1" t="n">
        <v>45677</v>
      </c>
      <c r="D10411" t="inlineStr">
        <is>
          <t>GÄVLEBORGS LÄN</t>
        </is>
      </c>
      <c r="E10411" t="inlineStr">
        <is>
          <t>OVANÅKER</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16134-2024</t>
        </is>
      </c>
      <c r="B10412" s="1" t="n">
        <v>45406</v>
      </c>
      <c r="C10412" s="1" t="n">
        <v>45677</v>
      </c>
      <c r="D10412" t="inlineStr">
        <is>
          <t>GÄVLEBORGS LÄN</t>
        </is>
      </c>
      <c r="E10412" t="inlineStr">
        <is>
          <t>BOLLNÄS</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16146-2024</t>
        </is>
      </c>
      <c r="B10413" s="1" t="n">
        <v>45406</v>
      </c>
      <c r="C10413" s="1" t="n">
        <v>45677</v>
      </c>
      <c r="D10413" t="inlineStr">
        <is>
          <t>GÄVLEBORGS LÄN</t>
        </is>
      </c>
      <c r="E10413" t="inlineStr">
        <is>
          <t>SÖDERHAMN</t>
        </is>
      </c>
      <c r="F10413" t="inlineStr">
        <is>
          <t>Kommuner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16095-2024</t>
        </is>
      </c>
      <c r="B10414" s="1" t="n">
        <v>45406</v>
      </c>
      <c r="C10414" s="1" t="n">
        <v>45677</v>
      </c>
      <c r="D10414" t="inlineStr">
        <is>
          <t>GÄVLEBORGS LÄN</t>
        </is>
      </c>
      <c r="E10414" t="inlineStr">
        <is>
          <t>HUDIKSVALL</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16133-2024</t>
        </is>
      </c>
      <c r="B10415" s="1" t="n">
        <v>45406</v>
      </c>
      <c r="C10415" s="1" t="n">
        <v>45677</v>
      </c>
      <c r="D10415" t="inlineStr">
        <is>
          <t>GÄVLEBORGS LÄN</t>
        </is>
      </c>
      <c r="E10415" t="inlineStr">
        <is>
          <t>BOLLNÄS</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16137-2024</t>
        </is>
      </c>
      <c r="B10416" s="1" t="n">
        <v>45406</v>
      </c>
      <c r="C10416" s="1" t="n">
        <v>45677</v>
      </c>
      <c r="D10416" t="inlineStr">
        <is>
          <t>GÄVLEBORGS LÄN</t>
        </is>
      </c>
      <c r="E10416" t="inlineStr">
        <is>
          <t>HOFORS</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16150-2024</t>
        </is>
      </c>
      <c r="B10417" s="1" t="n">
        <v>45406</v>
      </c>
      <c r="C10417" s="1" t="n">
        <v>45677</v>
      </c>
      <c r="D10417" t="inlineStr">
        <is>
          <t>GÄVLEBORGS LÄN</t>
        </is>
      </c>
      <c r="E10417" t="inlineStr">
        <is>
          <t>HUDIKSVALL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16093-2024</t>
        </is>
      </c>
      <c r="B10418" s="1" t="n">
        <v>45406</v>
      </c>
      <c r="C10418" s="1" t="n">
        <v>45677</v>
      </c>
      <c r="D10418" t="inlineStr">
        <is>
          <t>GÄVLEBORGS LÄN</t>
        </is>
      </c>
      <c r="E10418" t="inlineStr">
        <is>
          <t>HUDIKSVALL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16135-2024</t>
        </is>
      </c>
      <c r="B10419" s="1" t="n">
        <v>45406</v>
      </c>
      <c r="C10419" s="1" t="n">
        <v>45677</v>
      </c>
      <c r="D10419" t="inlineStr">
        <is>
          <t>GÄVLEBORGS LÄN</t>
        </is>
      </c>
      <c r="E10419" t="inlineStr">
        <is>
          <t>HOFORS</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16139-2024</t>
        </is>
      </c>
      <c r="B10420" s="1" t="n">
        <v>45406</v>
      </c>
      <c r="C10420" s="1" t="n">
        <v>45677</v>
      </c>
      <c r="D10420" t="inlineStr">
        <is>
          <t>GÄVLEBORGS LÄN</t>
        </is>
      </c>
      <c r="E10420" t="inlineStr">
        <is>
          <t>BOLLNÄS</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16147-2024</t>
        </is>
      </c>
      <c r="B10421" s="1" t="n">
        <v>45406</v>
      </c>
      <c r="C10421" s="1" t="n">
        <v>45677</v>
      </c>
      <c r="D10421" t="inlineStr">
        <is>
          <t>GÄVLEBORGS LÄN</t>
        </is>
      </c>
      <c r="E10421" t="inlineStr">
        <is>
          <t>HOFORS</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16375-2024</t>
        </is>
      </c>
      <c r="B10422" s="1" t="n">
        <v>45407</v>
      </c>
      <c r="C10422" s="1" t="n">
        <v>45677</v>
      </c>
      <c r="D10422" t="inlineStr">
        <is>
          <t>GÄVLEBORGS LÄN</t>
        </is>
      </c>
      <c r="E10422" t="inlineStr">
        <is>
          <t>BOLLNÄS</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16374-2024</t>
        </is>
      </c>
      <c r="B10423" s="1" t="n">
        <v>45407</v>
      </c>
      <c r="C10423" s="1" t="n">
        <v>45677</v>
      </c>
      <c r="D10423" t="inlineStr">
        <is>
          <t>GÄVLEBORGS LÄN</t>
        </is>
      </c>
      <c r="E10423" t="inlineStr">
        <is>
          <t>BOLLNÄS</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16469-2024</t>
        </is>
      </c>
      <c r="B10424" s="1" t="n">
        <v>45408</v>
      </c>
      <c r="C10424" s="1" t="n">
        <v>45677</v>
      </c>
      <c r="D10424" t="inlineStr">
        <is>
          <t>GÄVLEBORGS LÄN</t>
        </is>
      </c>
      <c r="E10424" t="inlineStr">
        <is>
          <t>OVANÅKER</t>
        </is>
      </c>
      <c r="G10424" t="n">
        <v>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16533-2024</t>
        </is>
      </c>
      <c r="B10425" s="1" t="n">
        <v>45408</v>
      </c>
      <c r="C10425" s="1" t="n">
        <v>45677</v>
      </c>
      <c r="D10425" t="inlineStr">
        <is>
          <t>GÄVLEBORGS LÄN</t>
        </is>
      </c>
      <c r="E10425" t="inlineStr">
        <is>
          <t>SÖDERHAMN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16605-2024</t>
        </is>
      </c>
      <c r="B10426" s="1" t="n">
        <v>45408</v>
      </c>
      <c r="C10426" s="1" t="n">
        <v>45677</v>
      </c>
      <c r="D10426" t="inlineStr">
        <is>
          <t>GÄVLEBORGS LÄN</t>
        </is>
      </c>
      <c r="E10426" t="inlineStr">
        <is>
          <t>OVANÅKER</t>
        </is>
      </c>
      <c r="G10426" t="n">
        <v>17.8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16609-2024</t>
        </is>
      </c>
      <c r="B10427" s="1" t="n">
        <v>45408</v>
      </c>
      <c r="C10427" s="1" t="n">
        <v>45677</v>
      </c>
      <c r="D10427" t="inlineStr">
        <is>
          <t>GÄVLEBORGS LÄN</t>
        </is>
      </c>
      <c r="E10427" t="inlineStr">
        <is>
          <t>SÖDERHAMN</t>
        </is>
      </c>
      <c r="G10427" t="n">
        <v>8.5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16633-2024</t>
        </is>
      </c>
      <c r="B10428" s="1" t="n">
        <v>45408</v>
      </c>
      <c r="C10428" s="1" t="n">
        <v>45677</v>
      </c>
      <c r="D10428" t="inlineStr">
        <is>
          <t>GÄVLEBORGS LÄN</t>
        </is>
      </c>
      <c r="E10428" t="inlineStr">
        <is>
          <t>HUDIKSVALL</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16641-2024</t>
        </is>
      </c>
      <c r="B10429" s="1" t="n">
        <v>45408</v>
      </c>
      <c r="C10429" s="1" t="n">
        <v>45677</v>
      </c>
      <c r="D10429" t="inlineStr">
        <is>
          <t>GÄVLEBORGS LÄN</t>
        </is>
      </c>
      <c r="E10429" t="inlineStr">
        <is>
          <t>BOLLNÄS</t>
        </is>
      </c>
      <c r="F10429" t="inlineStr">
        <is>
          <t>Bergvik skog öst AB</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16666-2024</t>
        </is>
      </c>
      <c r="B10430" s="1" t="n">
        <v>45408</v>
      </c>
      <c r="C10430" s="1" t="n">
        <v>45677</v>
      </c>
      <c r="D10430" t="inlineStr">
        <is>
          <t>GÄVLEBORGS LÄN</t>
        </is>
      </c>
      <c r="E10430" t="inlineStr">
        <is>
          <t>LJUSDAL</t>
        </is>
      </c>
      <c r="G10430" t="n">
        <v>22.8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16536-2024</t>
        </is>
      </c>
      <c r="B10431" s="1" t="n">
        <v>45408</v>
      </c>
      <c r="C10431" s="1" t="n">
        <v>45677</v>
      </c>
      <c r="D10431" t="inlineStr">
        <is>
          <t>GÄVLEBORGS LÄN</t>
        </is>
      </c>
      <c r="E10431" t="inlineStr">
        <is>
          <t>SÖDERHAMN</t>
        </is>
      </c>
      <c r="F10431" t="inlineStr">
        <is>
          <t>Bergvik skog väst AB</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16560-2024</t>
        </is>
      </c>
      <c r="B10432" s="1" t="n">
        <v>45408</v>
      </c>
      <c r="C10432" s="1" t="n">
        <v>45677</v>
      </c>
      <c r="D10432" t="inlineStr">
        <is>
          <t>GÄVLEBORGS LÄN</t>
        </is>
      </c>
      <c r="E10432" t="inlineStr">
        <is>
          <t>OVANÅKER</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16564-2024</t>
        </is>
      </c>
      <c r="B10433" s="1" t="n">
        <v>45408</v>
      </c>
      <c r="C10433" s="1" t="n">
        <v>45677</v>
      </c>
      <c r="D10433" t="inlineStr">
        <is>
          <t>GÄVLEBORGS LÄN</t>
        </is>
      </c>
      <c r="E10433" t="inlineStr">
        <is>
          <t>BOLLNÄS</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16632-2024</t>
        </is>
      </c>
      <c r="B10434" s="1" t="n">
        <v>45408</v>
      </c>
      <c r="C10434" s="1" t="n">
        <v>45677</v>
      </c>
      <c r="D10434" t="inlineStr">
        <is>
          <t>GÄVLEBORGS LÄN</t>
        </is>
      </c>
      <c r="E10434" t="inlineStr">
        <is>
          <t>OVANÅKER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16546-2024</t>
        </is>
      </c>
      <c r="B10435" s="1" t="n">
        <v>45408</v>
      </c>
      <c r="C10435" s="1" t="n">
        <v>45677</v>
      </c>
      <c r="D10435" t="inlineStr">
        <is>
          <t>GÄVLEBORGS LÄN</t>
        </is>
      </c>
      <c r="E10435" t="inlineStr">
        <is>
          <t>GÄVLE</t>
        </is>
      </c>
      <c r="F10435" t="inlineStr">
        <is>
          <t>Bergvik skog väst AB</t>
        </is>
      </c>
      <c r="G10435" t="n">
        <v>24.5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16594-2024</t>
        </is>
      </c>
      <c r="B10436" s="1" t="n">
        <v>45408</v>
      </c>
      <c r="C10436" s="1" t="n">
        <v>45677</v>
      </c>
      <c r="D10436" t="inlineStr">
        <is>
          <t>GÄVLEBORGS LÄN</t>
        </is>
      </c>
      <c r="E10436" t="inlineStr">
        <is>
          <t>HUDIKSVALL</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16614-2024</t>
        </is>
      </c>
      <c r="B10437" s="1" t="n">
        <v>45408</v>
      </c>
      <c r="C10437" s="1" t="n">
        <v>45677</v>
      </c>
      <c r="D10437" t="inlineStr">
        <is>
          <t>GÄVLEBORGS LÄN</t>
        </is>
      </c>
      <c r="E10437" t="inlineStr">
        <is>
          <t>OCKELBO</t>
        </is>
      </c>
      <c r="F10437" t="inlineStr">
        <is>
          <t>Bergvik skog väst AB</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16667-2024</t>
        </is>
      </c>
      <c r="B10438" s="1" t="n">
        <v>45408</v>
      </c>
      <c r="C10438" s="1" t="n">
        <v>45677</v>
      </c>
      <c r="D10438" t="inlineStr">
        <is>
          <t>GÄVLEBORGS LÄN</t>
        </is>
      </c>
      <c r="E10438" t="inlineStr">
        <is>
          <t>HUDIKSVALL</t>
        </is>
      </c>
      <c r="G10438" t="n">
        <v>10.5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16810-2024</t>
        </is>
      </c>
      <c r="B10439" s="1" t="n">
        <v>45411</v>
      </c>
      <c r="C10439" s="1" t="n">
        <v>45677</v>
      </c>
      <c r="D10439" t="inlineStr">
        <is>
          <t>GÄVLEBORGS LÄN</t>
        </is>
      </c>
      <c r="E10439" t="inlineStr">
        <is>
          <t>HUDIKSVALL</t>
        </is>
      </c>
      <c r="F10439" t="inlineStr">
        <is>
          <t>Holmen skog AB</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16787-2024</t>
        </is>
      </c>
      <c r="B10440" s="1" t="n">
        <v>45411</v>
      </c>
      <c r="C10440" s="1" t="n">
        <v>45677</v>
      </c>
      <c r="D10440" t="inlineStr">
        <is>
          <t>GÄVLEBORGS LÄN</t>
        </is>
      </c>
      <c r="E10440" t="inlineStr">
        <is>
          <t>OCKELBO</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16803-2024</t>
        </is>
      </c>
      <c r="B10441" s="1" t="n">
        <v>45411</v>
      </c>
      <c r="C10441" s="1" t="n">
        <v>45677</v>
      </c>
      <c r="D10441" t="inlineStr">
        <is>
          <t>GÄVLEBORGS LÄN</t>
        </is>
      </c>
      <c r="E10441" t="inlineStr">
        <is>
          <t>OCKELBO</t>
        </is>
      </c>
      <c r="F10441" t="inlineStr">
        <is>
          <t>Bergvik skog väst AB</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16858-2024</t>
        </is>
      </c>
      <c r="B10442" s="1" t="n">
        <v>45411</v>
      </c>
      <c r="C10442" s="1" t="n">
        <v>45677</v>
      </c>
      <c r="D10442" t="inlineStr">
        <is>
          <t>GÄVLEBORGS LÄN</t>
        </is>
      </c>
      <c r="E10442" t="inlineStr">
        <is>
          <t>HUDIKSVALL</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16870-2024</t>
        </is>
      </c>
      <c r="B10443" s="1" t="n">
        <v>45411</v>
      </c>
      <c r="C10443" s="1" t="n">
        <v>45677</v>
      </c>
      <c r="D10443" t="inlineStr">
        <is>
          <t>GÄVLEBORGS LÄN</t>
        </is>
      </c>
      <c r="E10443" t="inlineStr">
        <is>
          <t>SÖDERHAMN</t>
        </is>
      </c>
      <c r="F10443" t="inlineStr">
        <is>
          <t>Bergvik skog väst AB</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16831-2024</t>
        </is>
      </c>
      <c r="B10444" s="1" t="n">
        <v>45411</v>
      </c>
      <c r="C10444" s="1" t="n">
        <v>45677</v>
      </c>
      <c r="D10444" t="inlineStr">
        <is>
          <t>GÄVLEBORGS LÄN</t>
        </is>
      </c>
      <c r="E10444" t="inlineStr">
        <is>
          <t>SÖDERHAMN</t>
        </is>
      </c>
      <c r="F10444" t="inlineStr">
        <is>
          <t>Bergvik skog väst AB</t>
        </is>
      </c>
      <c r="G10444" t="n">
        <v>11.1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16869-2024</t>
        </is>
      </c>
      <c r="B10445" s="1" t="n">
        <v>45411</v>
      </c>
      <c r="C10445" s="1" t="n">
        <v>45677</v>
      </c>
      <c r="D10445" t="inlineStr">
        <is>
          <t>GÄVLEBORGS LÄN</t>
        </is>
      </c>
      <c r="E10445" t="inlineStr">
        <is>
          <t>HUDIKSVALL</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16827-2024</t>
        </is>
      </c>
      <c r="B10446" s="1" t="n">
        <v>45411</v>
      </c>
      <c r="C10446" s="1" t="n">
        <v>45677</v>
      </c>
      <c r="D10446" t="inlineStr">
        <is>
          <t>GÄVLEBORGS LÄN</t>
        </is>
      </c>
      <c r="E10446" t="inlineStr">
        <is>
          <t>HUDIKSVALL</t>
        </is>
      </c>
      <c r="F10446" t="inlineStr">
        <is>
          <t>Holmen skog AB</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16802-2024</t>
        </is>
      </c>
      <c r="B10447" s="1" t="n">
        <v>45411</v>
      </c>
      <c r="C10447" s="1" t="n">
        <v>45677</v>
      </c>
      <c r="D10447" t="inlineStr">
        <is>
          <t>GÄVLEBORGS LÄN</t>
        </is>
      </c>
      <c r="E10447" t="inlineStr">
        <is>
          <t>SÖDERHAMN</t>
        </is>
      </c>
      <c r="F10447" t="inlineStr">
        <is>
          <t>Bergvik skog väst AB</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16900-2024</t>
        </is>
      </c>
      <c r="B10448" s="1" t="n">
        <v>45411</v>
      </c>
      <c r="C10448" s="1" t="n">
        <v>45677</v>
      </c>
      <c r="D10448" t="inlineStr">
        <is>
          <t>GÄVLEBORGS LÄN</t>
        </is>
      </c>
      <c r="E10448" t="inlineStr">
        <is>
          <t>OVANÅKER</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16812-2024</t>
        </is>
      </c>
      <c r="B10449" s="1" t="n">
        <v>45411</v>
      </c>
      <c r="C10449" s="1" t="n">
        <v>45677</v>
      </c>
      <c r="D10449" t="inlineStr">
        <is>
          <t>GÄVLEBORGS LÄN</t>
        </is>
      </c>
      <c r="E10449" t="inlineStr">
        <is>
          <t>SÖDERHAMN</t>
        </is>
      </c>
      <c r="F10449" t="inlineStr">
        <is>
          <t>Bergvik skog väst AB</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16796-2024</t>
        </is>
      </c>
      <c r="B10450" s="1" t="n">
        <v>45411</v>
      </c>
      <c r="C10450" s="1" t="n">
        <v>45677</v>
      </c>
      <c r="D10450" t="inlineStr">
        <is>
          <t>GÄVLEBORGS LÄN</t>
        </is>
      </c>
      <c r="E10450" t="inlineStr">
        <is>
          <t>OCKELBO</t>
        </is>
      </c>
      <c r="F10450" t="inlineStr">
        <is>
          <t>Bergvik skog väst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16784-2024</t>
        </is>
      </c>
      <c r="B10451" s="1" t="n">
        <v>45411</v>
      </c>
      <c r="C10451" s="1" t="n">
        <v>45677</v>
      </c>
      <c r="D10451" t="inlineStr">
        <is>
          <t>GÄVLEBORGS LÄN</t>
        </is>
      </c>
      <c r="E10451" t="inlineStr">
        <is>
          <t>OCKELBO</t>
        </is>
      </c>
      <c r="F10451" t="inlineStr">
        <is>
          <t>Bergvik skog väst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16768-2024</t>
        </is>
      </c>
      <c r="B10452" s="1" t="n">
        <v>45411</v>
      </c>
      <c r="C10452" s="1" t="n">
        <v>45677</v>
      </c>
      <c r="D10452" t="inlineStr">
        <is>
          <t>GÄVLEBORGS LÄN</t>
        </is>
      </c>
      <c r="E10452" t="inlineStr">
        <is>
          <t>HUDIKSVALL</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16781-2024</t>
        </is>
      </c>
      <c r="B10453" s="1" t="n">
        <v>45411</v>
      </c>
      <c r="C10453" s="1" t="n">
        <v>45677</v>
      </c>
      <c r="D10453" t="inlineStr">
        <is>
          <t>GÄVLEBORGS LÄN</t>
        </is>
      </c>
      <c r="E10453" t="inlineStr">
        <is>
          <t>HUDIKSVALL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16753-2024</t>
        </is>
      </c>
      <c r="B10454" s="1" t="n">
        <v>45411</v>
      </c>
      <c r="C10454" s="1" t="n">
        <v>45677</v>
      </c>
      <c r="D10454" t="inlineStr">
        <is>
          <t>GÄVLEBORGS LÄN</t>
        </is>
      </c>
      <c r="E10454" t="inlineStr">
        <is>
          <t>OCKELBO</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17026-2024</t>
        </is>
      </c>
      <c r="B10455" s="1" t="n">
        <v>45412</v>
      </c>
      <c r="C10455" s="1" t="n">
        <v>45677</v>
      </c>
      <c r="D10455" t="inlineStr">
        <is>
          <t>GÄVLEBORGS LÄN</t>
        </is>
      </c>
      <c r="E10455" t="inlineStr">
        <is>
          <t>BOLLNÄS</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17107-2024</t>
        </is>
      </c>
      <c r="B10456" s="1" t="n">
        <v>45412</v>
      </c>
      <c r="C10456" s="1" t="n">
        <v>45677</v>
      </c>
      <c r="D10456" t="inlineStr">
        <is>
          <t>GÄVLEBORGS LÄN</t>
        </is>
      </c>
      <c r="E10456" t="inlineStr">
        <is>
          <t>SANDVIKEN</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17110-2024</t>
        </is>
      </c>
      <c r="B10457" s="1" t="n">
        <v>45412</v>
      </c>
      <c r="C10457" s="1" t="n">
        <v>45677</v>
      </c>
      <c r="D10457" t="inlineStr">
        <is>
          <t>GÄVLEBORGS LÄN</t>
        </is>
      </c>
      <c r="E10457" t="inlineStr">
        <is>
          <t>HUDIKSVALL</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17101-2024</t>
        </is>
      </c>
      <c r="B10458" s="1" t="n">
        <v>45412</v>
      </c>
      <c r="C10458" s="1" t="n">
        <v>45677</v>
      </c>
      <c r="D10458" t="inlineStr">
        <is>
          <t>GÄVLEBORGS LÄN</t>
        </is>
      </c>
      <c r="E10458" t="inlineStr">
        <is>
          <t>OCKELBO</t>
        </is>
      </c>
      <c r="F10458" t="inlineStr">
        <is>
          <t>Bergvik skog väst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17044-2024</t>
        </is>
      </c>
      <c r="B10459" s="1" t="n">
        <v>45412</v>
      </c>
      <c r="C10459" s="1" t="n">
        <v>45677</v>
      </c>
      <c r="D10459" t="inlineStr">
        <is>
          <t>GÄVLEBORGS LÄN</t>
        </is>
      </c>
      <c r="E10459" t="inlineStr">
        <is>
          <t>LJUSDAL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17036-2024</t>
        </is>
      </c>
      <c r="B10460" s="1" t="n">
        <v>45412</v>
      </c>
      <c r="C10460" s="1" t="n">
        <v>45677</v>
      </c>
      <c r="D10460" t="inlineStr">
        <is>
          <t>GÄVLEBORGS LÄN</t>
        </is>
      </c>
      <c r="E10460" t="inlineStr">
        <is>
          <t>OVANÅKER</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16995-2024</t>
        </is>
      </c>
      <c r="B10461" s="1" t="n">
        <v>45412</v>
      </c>
      <c r="C10461" s="1" t="n">
        <v>45677</v>
      </c>
      <c r="D10461" t="inlineStr">
        <is>
          <t>GÄVLEBORGS LÄN</t>
        </is>
      </c>
      <c r="E10461" t="inlineStr">
        <is>
          <t>HUDIKSVALL</t>
        </is>
      </c>
      <c r="F10461" t="inlineStr">
        <is>
          <t>Holmen skog AB</t>
        </is>
      </c>
      <c r="G10461" t="n">
        <v>28.6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17102-2024</t>
        </is>
      </c>
      <c r="B10462" s="1" t="n">
        <v>45412</v>
      </c>
      <c r="C10462" s="1" t="n">
        <v>45677</v>
      </c>
      <c r="D10462" t="inlineStr">
        <is>
          <t>GÄVLEBORGS LÄN</t>
        </is>
      </c>
      <c r="E10462" t="inlineStr">
        <is>
          <t>SANDVIKEN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17141-2024</t>
        </is>
      </c>
      <c r="B10463" s="1" t="n">
        <v>45412</v>
      </c>
      <c r="C10463" s="1" t="n">
        <v>45677</v>
      </c>
      <c r="D10463" t="inlineStr">
        <is>
          <t>GÄVLEBORGS LÄN</t>
        </is>
      </c>
      <c r="E10463" t="inlineStr">
        <is>
          <t>OVANÅKER</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17137-2024</t>
        </is>
      </c>
      <c r="B10464" s="1" t="n">
        <v>45412</v>
      </c>
      <c r="C10464" s="1" t="n">
        <v>45677</v>
      </c>
      <c r="D10464" t="inlineStr">
        <is>
          <t>GÄVLEBORGS LÄN</t>
        </is>
      </c>
      <c r="E10464" t="inlineStr">
        <is>
          <t>OVANÅKER</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17113-2024</t>
        </is>
      </c>
      <c r="B10465" s="1" t="n">
        <v>45412</v>
      </c>
      <c r="C10465" s="1" t="n">
        <v>45677</v>
      </c>
      <c r="D10465" t="inlineStr">
        <is>
          <t>GÄVLEBORGS LÄN</t>
        </is>
      </c>
      <c r="E10465" t="inlineStr">
        <is>
          <t>GÄVLE</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17023-2024</t>
        </is>
      </c>
      <c r="B10466" s="1" t="n">
        <v>45412</v>
      </c>
      <c r="C10466" s="1" t="n">
        <v>45677</v>
      </c>
      <c r="D10466" t="inlineStr">
        <is>
          <t>GÄVLEBORGS LÄN</t>
        </is>
      </c>
      <c r="E10466" t="inlineStr">
        <is>
          <t>BOLLNÄS</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17231-2024</t>
        </is>
      </c>
      <c r="B10467" s="1" t="n">
        <v>45414</v>
      </c>
      <c r="C10467" s="1" t="n">
        <v>45677</v>
      </c>
      <c r="D10467" t="inlineStr">
        <is>
          <t>GÄVLEBORGS LÄN</t>
        </is>
      </c>
      <c r="E10467" t="inlineStr">
        <is>
          <t>SANDVIKEN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17235-2024</t>
        </is>
      </c>
      <c r="B10468" s="1" t="n">
        <v>45414</v>
      </c>
      <c r="C10468" s="1" t="n">
        <v>45677</v>
      </c>
      <c r="D10468" t="inlineStr">
        <is>
          <t>GÄVLEBORGS LÄN</t>
        </is>
      </c>
      <c r="E10468" t="inlineStr">
        <is>
          <t>SANDVIKEN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17256-2024</t>
        </is>
      </c>
      <c r="B10469" s="1" t="n">
        <v>45414</v>
      </c>
      <c r="C10469" s="1" t="n">
        <v>45677</v>
      </c>
      <c r="D10469" t="inlineStr">
        <is>
          <t>GÄVLEBORGS LÄN</t>
        </is>
      </c>
      <c r="E10469" t="inlineStr">
        <is>
          <t>SANDVIKEN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17241-2024</t>
        </is>
      </c>
      <c r="B10470" s="1" t="n">
        <v>45414</v>
      </c>
      <c r="C10470" s="1" t="n">
        <v>45677</v>
      </c>
      <c r="D10470" t="inlineStr">
        <is>
          <t>GÄVLEBORGS LÄN</t>
        </is>
      </c>
      <c r="E10470" t="inlineStr">
        <is>
          <t>GÄVLE</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17245-2024</t>
        </is>
      </c>
      <c r="B10471" s="1" t="n">
        <v>45414</v>
      </c>
      <c r="C10471" s="1" t="n">
        <v>45677</v>
      </c>
      <c r="D10471" t="inlineStr">
        <is>
          <t>GÄVLEBORGS LÄN</t>
        </is>
      </c>
      <c r="E10471" t="inlineStr">
        <is>
          <t>GÄVLE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17218-2024</t>
        </is>
      </c>
      <c r="B10472" s="1" t="n">
        <v>45414</v>
      </c>
      <c r="C10472" s="1" t="n">
        <v>45677</v>
      </c>
      <c r="D10472" t="inlineStr">
        <is>
          <t>GÄVLEBORGS LÄN</t>
        </is>
      </c>
      <c r="E10472" t="inlineStr">
        <is>
          <t>SANDVIKEN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17247-2024</t>
        </is>
      </c>
      <c r="B10473" s="1" t="n">
        <v>45414</v>
      </c>
      <c r="C10473" s="1" t="n">
        <v>45677</v>
      </c>
      <c r="D10473" t="inlineStr">
        <is>
          <t>GÄVLEBORGS LÄN</t>
        </is>
      </c>
      <c r="E10473" t="inlineStr">
        <is>
          <t>GÄVLE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17345-2024</t>
        </is>
      </c>
      <c r="B10474" s="1" t="n">
        <v>45414</v>
      </c>
      <c r="C10474" s="1" t="n">
        <v>45677</v>
      </c>
      <c r="D10474" t="inlineStr">
        <is>
          <t>GÄVLEBORGS LÄN</t>
        </is>
      </c>
      <c r="E10474" t="inlineStr">
        <is>
          <t>HUDIKSVALL</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17361-2024</t>
        </is>
      </c>
      <c r="B10475" s="1" t="n">
        <v>45414</v>
      </c>
      <c r="C10475" s="1" t="n">
        <v>45677</v>
      </c>
      <c r="D10475" t="inlineStr">
        <is>
          <t>GÄVLEBORGS LÄN</t>
        </is>
      </c>
      <c r="E10475" t="inlineStr">
        <is>
          <t>HUDIKSVALL</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17237-2024</t>
        </is>
      </c>
      <c r="B10476" s="1" t="n">
        <v>45414</v>
      </c>
      <c r="C10476" s="1" t="n">
        <v>45677</v>
      </c>
      <c r="D10476" t="inlineStr">
        <is>
          <t>GÄVLEBORGS LÄN</t>
        </is>
      </c>
      <c r="E10476" t="inlineStr">
        <is>
          <t>GÄVLE</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17254-2024</t>
        </is>
      </c>
      <c r="B10477" s="1" t="n">
        <v>45414</v>
      </c>
      <c r="C10477" s="1" t="n">
        <v>45677</v>
      </c>
      <c r="D10477" t="inlineStr">
        <is>
          <t>GÄVLEBORGS LÄN</t>
        </is>
      </c>
      <c r="E10477" t="inlineStr">
        <is>
          <t>GÄVLE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17375-2024</t>
        </is>
      </c>
      <c r="B10478" s="1" t="n">
        <v>45414</v>
      </c>
      <c r="C10478" s="1" t="n">
        <v>45677</v>
      </c>
      <c r="D10478" t="inlineStr">
        <is>
          <t>GÄVLEBORGS LÄN</t>
        </is>
      </c>
      <c r="E10478" t="inlineStr">
        <is>
          <t>BOLLNÄS</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17376-2024</t>
        </is>
      </c>
      <c r="B10479" s="1" t="n">
        <v>45414</v>
      </c>
      <c r="C10479" s="1" t="n">
        <v>45677</v>
      </c>
      <c r="D10479" t="inlineStr">
        <is>
          <t>GÄVLEBORGS LÄN</t>
        </is>
      </c>
      <c r="E10479" t="inlineStr">
        <is>
          <t>BOLLNÄS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17445-2024</t>
        </is>
      </c>
      <c r="B10480" s="1" t="n">
        <v>45415</v>
      </c>
      <c r="C10480" s="1" t="n">
        <v>45677</v>
      </c>
      <c r="D10480" t="inlineStr">
        <is>
          <t>GÄVLEBORGS LÄN</t>
        </is>
      </c>
      <c r="E10480" t="inlineStr">
        <is>
          <t>SANDVIKEN</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17529-2024</t>
        </is>
      </c>
      <c r="B10481" s="1" t="n">
        <v>45415</v>
      </c>
      <c r="C10481" s="1" t="n">
        <v>45677</v>
      </c>
      <c r="D10481" t="inlineStr">
        <is>
          <t>GÄVLEBORGS LÄN</t>
        </is>
      </c>
      <c r="E10481" t="inlineStr">
        <is>
          <t>BOLLNÄS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17498-2024</t>
        </is>
      </c>
      <c r="B10482" s="1" t="n">
        <v>45415</v>
      </c>
      <c r="C10482" s="1" t="n">
        <v>45677</v>
      </c>
      <c r="D10482" t="inlineStr">
        <is>
          <t>GÄVLEBORGS LÄN</t>
        </is>
      </c>
      <c r="E10482" t="inlineStr">
        <is>
          <t>SANDVIKEN</t>
        </is>
      </c>
      <c r="F10482" t="inlineStr">
        <is>
          <t>Kommuner</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17504-2024</t>
        </is>
      </c>
      <c r="B10483" s="1" t="n">
        <v>45415</v>
      </c>
      <c r="C10483" s="1" t="n">
        <v>45677</v>
      </c>
      <c r="D10483" t="inlineStr">
        <is>
          <t>GÄVLEBORGS LÄN</t>
        </is>
      </c>
      <c r="E10483" t="inlineStr">
        <is>
          <t>SANDVIKEN</t>
        </is>
      </c>
      <c r="F10483" t="inlineStr">
        <is>
          <t>Kommuner</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17620-2024</t>
        </is>
      </c>
      <c r="B10484" s="1" t="n">
        <v>45417</v>
      </c>
      <c r="C10484" s="1" t="n">
        <v>45677</v>
      </c>
      <c r="D10484" t="inlineStr">
        <is>
          <t>GÄVLEBORGS LÄN</t>
        </is>
      </c>
      <c r="E10484" t="inlineStr">
        <is>
          <t>SÖDERHAMN</t>
        </is>
      </c>
      <c r="F10484" t="inlineStr">
        <is>
          <t>Bergvik skog väst AB</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17625-2024</t>
        </is>
      </c>
      <c r="B10485" s="1" t="n">
        <v>45417</v>
      </c>
      <c r="C10485" s="1" t="n">
        <v>45677</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17735-2024</t>
        </is>
      </c>
      <c r="B10486" s="1" t="n">
        <v>45418</v>
      </c>
      <c r="C10486" s="1" t="n">
        <v>45677</v>
      </c>
      <c r="D10486" t="inlineStr">
        <is>
          <t>GÄVLEBORGS LÄN</t>
        </is>
      </c>
      <c r="E10486" t="inlineStr">
        <is>
          <t>SANDVIKEN</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17756-2024</t>
        </is>
      </c>
      <c r="B10487" s="1" t="n">
        <v>45418</v>
      </c>
      <c r="C10487" s="1" t="n">
        <v>45677</v>
      </c>
      <c r="D10487" t="inlineStr">
        <is>
          <t>GÄVLEBORGS LÄN</t>
        </is>
      </c>
      <c r="E10487" t="inlineStr">
        <is>
          <t>OVANÅKER</t>
        </is>
      </c>
      <c r="F10487" t="inlineStr">
        <is>
          <t>Bergvik skog öst AB</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17758-2024</t>
        </is>
      </c>
      <c r="B10488" s="1" t="n">
        <v>45418</v>
      </c>
      <c r="C10488" s="1" t="n">
        <v>45677</v>
      </c>
      <c r="D10488" t="inlineStr">
        <is>
          <t>GÄVLEBORGS LÄN</t>
        </is>
      </c>
      <c r="E10488" t="inlineStr">
        <is>
          <t>SANDVIKEN</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17705-2024</t>
        </is>
      </c>
      <c r="B10489" s="1" t="n">
        <v>45418</v>
      </c>
      <c r="C10489" s="1" t="n">
        <v>45677</v>
      </c>
      <c r="D10489" t="inlineStr">
        <is>
          <t>GÄVLEBORGS LÄN</t>
        </is>
      </c>
      <c r="E10489" t="inlineStr">
        <is>
          <t>SÖDERHAMN</t>
        </is>
      </c>
      <c r="G10489" t="n">
        <v>27.5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17738-2024</t>
        </is>
      </c>
      <c r="B10490" s="1" t="n">
        <v>45418</v>
      </c>
      <c r="C10490" s="1" t="n">
        <v>45677</v>
      </c>
      <c r="D10490" t="inlineStr">
        <is>
          <t>GÄVLEBORGS LÄN</t>
        </is>
      </c>
      <c r="E10490" t="inlineStr">
        <is>
          <t>NORDANSTIG</t>
        </is>
      </c>
      <c r="F10490" t="inlineStr">
        <is>
          <t>Holmen skog AB</t>
        </is>
      </c>
      <c r="G10490" t="n">
        <v>10.7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17755-2024</t>
        </is>
      </c>
      <c r="B10491" s="1" t="n">
        <v>45418</v>
      </c>
      <c r="C10491" s="1" t="n">
        <v>45677</v>
      </c>
      <c r="D10491" t="inlineStr">
        <is>
          <t>GÄVLEBORGS LÄN</t>
        </is>
      </c>
      <c r="E10491" t="inlineStr">
        <is>
          <t>HUDIKSVALL</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17947-2024</t>
        </is>
      </c>
      <c r="B10492" s="1" t="n">
        <v>45419</v>
      </c>
      <c r="C10492" s="1" t="n">
        <v>45677</v>
      </c>
      <c r="D10492" t="inlineStr">
        <is>
          <t>GÄVLEBORGS LÄN</t>
        </is>
      </c>
      <c r="E10492" t="inlineStr">
        <is>
          <t>HUDIKSVALL</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17951-2024</t>
        </is>
      </c>
      <c r="B10493" s="1" t="n">
        <v>45419</v>
      </c>
      <c r="C10493" s="1" t="n">
        <v>45677</v>
      </c>
      <c r="D10493" t="inlineStr">
        <is>
          <t>GÄVLEBORGS LÄN</t>
        </is>
      </c>
      <c r="E10493" t="inlineStr">
        <is>
          <t>HUDIKSVALL</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17831-2024</t>
        </is>
      </c>
      <c r="B10494" s="1" t="n">
        <v>45419</v>
      </c>
      <c r="C10494" s="1" t="n">
        <v>45677</v>
      </c>
      <c r="D10494" t="inlineStr">
        <is>
          <t>GÄVLEBORGS LÄN</t>
        </is>
      </c>
      <c r="E10494" t="inlineStr">
        <is>
          <t>OVANÅKER</t>
        </is>
      </c>
      <c r="F10494" t="inlineStr">
        <is>
          <t>Bergvik skog öst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17833-2024</t>
        </is>
      </c>
      <c r="B10495" s="1" t="n">
        <v>45419</v>
      </c>
      <c r="C10495" s="1" t="n">
        <v>45677</v>
      </c>
      <c r="D10495" t="inlineStr">
        <is>
          <t>GÄVLEBORGS LÄN</t>
        </is>
      </c>
      <c r="E10495" t="inlineStr">
        <is>
          <t>OVANÅKER</t>
        </is>
      </c>
      <c r="F10495" t="inlineStr">
        <is>
          <t>Bergvik skog öst AB</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17941-2024</t>
        </is>
      </c>
      <c r="B10496" s="1" t="n">
        <v>45419</v>
      </c>
      <c r="C10496" s="1" t="n">
        <v>45677</v>
      </c>
      <c r="D10496" t="inlineStr">
        <is>
          <t>GÄVLEBORGS LÄN</t>
        </is>
      </c>
      <c r="E10496" t="inlineStr">
        <is>
          <t>HUDIKSVALL</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17999-2024</t>
        </is>
      </c>
      <c r="B10497" s="1" t="n">
        <v>45420</v>
      </c>
      <c r="C10497" s="1" t="n">
        <v>45677</v>
      </c>
      <c r="D10497" t="inlineStr">
        <is>
          <t>GÄVLEBORGS LÄN</t>
        </is>
      </c>
      <c r="E10497" t="inlineStr">
        <is>
          <t>OVANÅKER</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17887-2024</t>
        </is>
      </c>
      <c r="B10498" s="1" t="n">
        <v>45419</v>
      </c>
      <c r="C10498" s="1" t="n">
        <v>45677</v>
      </c>
      <c r="D10498" t="inlineStr">
        <is>
          <t>GÄVLEBORGS LÄN</t>
        </is>
      </c>
      <c r="E10498" t="inlineStr">
        <is>
          <t>NORDANSTIG</t>
        </is>
      </c>
      <c r="F10498" t="inlineStr">
        <is>
          <t>Holmen skog AB</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17939-2024</t>
        </is>
      </c>
      <c r="B10499" s="1" t="n">
        <v>45419</v>
      </c>
      <c r="C10499" s="1" t="n">
        <v>45677</v>
      </c>
      <c r="D10499" t="inlineStr">
        <is>
          <t>GÄVLEBORGS LÄN</t>
        </is>
      </c>
      <c r="E10499" t="inlineStr">
        <is>
          <t>HUDIKSVALL</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17997-2024</t>
        </is>
      </c>
      <c r="B10500" s="1" t="n">
        <v>45420</v>
      </c>
      <c r="C10500" s="1" t="n">
        <v>45677</v>
      </c>
      <c r="D10500" t="inlineStr">
        <is>
          <t>GÄVLEBORGS LÄN</t>
        </is>
      </c>
      <c r="E10500" t="inlineStr">
        <is>
          <t>OVANÅKER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17949-2024</t>
        </is>
      </c>
      <c r="B10501" s="1" t="n">
        <v>45419</v>
      </c>
      <c r="C10501" s="1" t="n">
        <v>45677</v>
      </c>
      <c r="D10501" t="inlineStr">
        <is>
          <t>GÄVLEBORGS LÄN</t>
        </is>
      </c>
      <c r="E10501" t="inlineStr">
        <is>
          <t>HUDIKSVALL</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17998-2024</t>
        </is>
      </c>
      <c r="B10502" s="1" t="n">
        <v>45420</v>
      </c>
      <c r="C10502" s="1" t="n">
        <v>45677</v>
      </c>
      <c r="D10502" t="inlineStr">
        <is>
          <t>GÄVLEBORGS LÄN</t>
        </is>
      </c>
      <c r="E10502" t="inlineStr">
        <is>
          <t>OVANÅKER</t>
        </is>
      </c>
      <c r="G10502" t="n">
        <v>8.699999999999999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18041-2024</t>
        </is>
      </c>
      <c r="B10503" s="1" t="n">
        <v>45420</v>
      </c>
      <c r="C10503" s="1" t="n">
        <v>45677</v>
      </c>
      <c r="D10503" t="inlineStr">
        <is>
          <t>GÄVLEBORGS LÄN</t>
        </is>
      </c>
      <c r="E10503" t="inlineStr">
        <is>
          <t>SÖDERHAMN</t>
        </is>
      </c>
      <c r="F10503" t="inlineStr">
        <is>
          <t>Bergvik skog väst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18078-2024</t>
        </is>
      </c>
      <c r="B10504" s="1" t="n">
        <v>45420</v>
      </c>
      <c r="C10504" s="1" t="n">
        <v>45677</v>
      </c>
      <c r="D10504" t="inlineStr">
        <is>
          <t>GÄVLEBORGS LÄN</t>
        </is>
      </c>
      <c r="E10504" t="inlineStr">
        <is>
          <t>LJUSDAL</t>
        </is>
      </c>
      <c r="F10504" t="inlineStr">
        <is>
          <t>Holmen skog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18016-2024</t>
        </is>
      </c>
      <c r="B10505" s="1" t="n">
        <v>45420</v>
      </c>
      <c r="C10505" s="1" t="n">
        <v>45677</v>
      </c>
      <c r="D10505" t="inlineStr">
        <is>
          <t>GÄVLEBORGS LÄN</t>
        </is>
      </c>
      <c r="E10505" t="inlineStr">
        <is>
          <t>OVANÅKER</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18061-2024</t>
        </is>
      </c>
      <c r="B10506" s="1" t="n">
        <v>45420</v>
      </c>
      <c r="C10506" s="1" t="n">
        <v>45677</v>
      </c>
      <c r="D10506" t="inlineStr">
        <is>
          <t>GÄVLEBORGS LÄN</t>
        </is>
      </c>
      <c r="E10506" t="inlineStr">
        <is>
          <t>LJUSDAL</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18097-2024</t>
        </is>
      </c>
      <c r="B10507" s="1" t="n">
        <v>45420</v>
      </c>
      <c r="C10507" s="1" t="n">
        <v>45677</v>
      </c>
      <c r="D10507" t="inlineStr">
        <is>
          <t>GÄVLEBORGS LÄN</t>
        </is>
      </c>
      <c r="E10507" t="inlineStr">
        <is>
          <t>SÖDERHAMN</t>
        </is>
      </c>
      <c r="F10507" t="inlineStr">
        <is>
          <t>Bergvik skog väst AB</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18130-2024</t>
        </is>
      </c>
      <c r="B10508" s="1" t="n">
        <v>45420</v>
      </c>
      <c r="C10508" s="1" t="n">
        <v>45677</v>
      </c>
      <c r="D10508" t="inlineStr">
        <is>
          <t>GÄVLEBORGS LÄN</t>
        </is>
      </c>
      <c r="E10508" t="inlineStr">
        <is>
          <t>LJUSDAL</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18158-2024</t>
        </is>
      </c>
      <c r="B10509" s="1" t="n">
        <v>45420</v>
      </c>
      <c r="C10509" s="1" t="n">
        <v>45677</v>
      </c>
      <c r="D10509" t="inlineStr">
        <is>
          <t>GÄVLEBORGS LÄN</t>
        </is>
      </c>
      <c r="E10509" t="inlineStr">
        <is>
          <t>LJUSDAL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18166-2024</t>
        </is>
      </c>
      <c r="B10510" s="1" t="n">
        <v>45420</v>
      </c>
      <c r="C10510" s="1" t="n">
        <v>45677</v>
      </c>
      <c r="D10510" t="inlineStr">
        <is>
          <t>GÄVLEBORGS LÄN</t>
        </is>
      </c>
      <c r="E10510" t="inlineStr">
        <is>
          <t>LJUSDAL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18194-2024</t>
        </is>
      </c>
      <c r="B10511" s="1" t="n">
        <v>45420</v>
      </c>
      <c r="C10511" s="1" t="n">
        <v>45677</v>
      </c>
      <c r="D10511" t="inlineStr">
        <is>
          <t>GÄVLEBORGS LÄN</t>
        </is>
      </c>
      <c r="E10511" t="inlineStr">
        <is>
          <t>OVANÅKER</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18218-2024</t>
        </is>
      </c>
      <c r="B10512" s="1" t="n">
        <v>45420</v>
      </c>
      <c r="C10512" s="1" t="n">
        <v>45677</v>
      </c>
      <c r="D10512" t="inlineStr">
        <is>
          <t>GÄVLEBORGS LÄN</t>
        </is>
      </c>
      <c r="E10512" t="inlineStr">
        <is>
          <t>GÄVLE</t>
        </is>
      </c>
      <c r="F10512" t="inlineStr">
        <is>
          <t>Bergvik skog väst AB</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18015-2024</t>
        </is>
      </c>
      <c r="B10513" s="1" t="n">
        <v>45420</v>
      </c>
      <c r="C10513" s="1" t="n">
        <v>45677</v>
      </c>
      <c r="D10513" t="inlineStr">
        <is>
          <t>GÄVLEBORGS LÄN</t>
        </is>
      </c>
      <c r="E10513" t="inlineStr">
        <is>
          <t>OVANÅKER</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18031-2024</t>
        </is>
      </c>
      <c r="B10514" s="1" t="n">
        <v>45420</v>
      </c>
      <c r="C10514" s="1" t="n">
        <v>45677</v>
      </c>
      <c r="D10514" t="inlineStr">
        <is>
          <t>GÄVLEBORGS LÄN</t>
        </is>
      </c>
      <c r="E10514" t="inlineStr">
        <is>
          <t>SÖDERHAMN</t>
        </is>
      </c>
      <c r="F10514" t="inlineStr">
        <is>
          <t>Bergvik skog väst AB</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18092-2024</t>
        </is>
      </c>
      <c r="B10515" s="1" t="n">
        <v>45420</v>
      </c>
      <c r="C10515" s="1" t="n">
        <v>45677</v>
      </c>
      <c r="D10515" t="inlineStr">
        <is>
          <t>GÄVLEBORGS LÄN</t>
        </is>
      </c>
      <c r="E10515" t="inlineStr">
        <is>
          <t>SÖDERHAMN</t>
        </is>
      </c>
      <c r="F10515" t="inlineStr">
        <is>
          <t>Bergvik skog väst AB</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18169-2024</t>
        </is>
      </c>
      <c r="B10516" s="1" t="n">
        <v>45420</v>
      </c>
      <c r="C10516" s="1" t="n">
        <v>45677</v>
      </c>
      <c r="D10516" t="inlineStr">
        <is>
          <t>GÄVLEBORGS LÄN</t>
        </is>
      </c>
      <c r="E10516" t="inlineStr">
        <is>
          <t>LJUSDAL</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18177-2024</t>
        </is>
      </c>
      <c r="B10517" s="1" t="n">
        <v>45420</v>
      </c>
      <c r="C10517" s="1" t="n">
        <v>45677</v>
      </c>
      <c r="D10517" t="inlineStr">
        <is>
          <t>GÄVLEBORGS LÄN</t>
        </is>
      </c>
      <c r="E10517" t="inlineStr">
        <is>
          <t>BOLLNÄS</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18156-2024</t>
        </is>
      </c>
      <c r="B10518" s="1" t="n">
        <v>45420</v>
      </c>
      <c r="C10518" s="1" t="n">
        <v>45677</v>
      </c>
      <c r="D10518" t="inlineStr">
        <is>
          <t>GÄVLEBORGS LÄN</t>
        </is>
      </c>
      <c r="E10518" t="inlineStr">
        <is>
          <t>OVANÅKER</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18189-2024</t>
        </is>
      </c>
      <c r="B10519" s="1" t="n">
        <v>45420</v>
      </c>
      <c r="C10519" s="1" t="n">
        <v>45677</v>
      </c>
      <c r="D10519" t="inlineStr">
        <is>
          <t>GÄVLEBORGS LÄN</t>
        </is>
      </c>
      <c r="E10519" t="inlineStr">
        <is>
          <t>SÖDERHAMN</t>
        </is>
      </c>
      <c r="F10519" t="inlineStr">
        <is>
          <t>Bergvik skog väst AB</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18197-2024</t>
        </is>
      </c>
      <c r="B10520" s="1" t="n">
        <v>45420</v>
      </c>
      <c r="C10520" s="1" t="n">
        <v>45677</v>
      </c>
      <c r="D10520" t="inlineStr">
        <is>
          <t>GÄVLEBORGS LÄN</t>
        </is>
      </c>
      <c r="E10520" t="inlineStr">
        <is>
          <t>OVANÅKER</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18217-2024</t>
        </is>
      </c>
      <c r="B10521" s="1" t="n">
        <v>45420</v>
      </c>
      <c r="C10521" s="1" t="n">
        <v>45677</v>
      </c>
      <c r="D10521" t="inlineStr">
        <is>
          <t>GÄVLEBORGS LÄN</t>
        </is>
      </c>
      <c r="E10521" t="inlineStr">
        <is>
          <t>GÄVLE</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18221-2024</t>
        </is>
      </c>
      <c r="B10522" s="1" t="n">
        <v>45421</v>
      </c>
      <c r="C10522" s="1" t="n">
        <v>45677</v>
      </c>
      <c r="D10522" t="inlineStr">
        <is>
          <t>GÄVLEBORGS LÄN</t>
        </is>
      </c>
      <c r="E10522" t="inlineStr">
        <is>
          <t>LJUSDAL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18216-2024</t>
        </is>
      </c>
      <c r="B10523" s="1" t="n">
        <v>45420</v>
      </c>
      <c r="C10523" s="1" t="n">
        <v>45677</v>
      </c>
      <c r="D10523" t="inlineStr">
        <is>
          <t>GÄVLEBORGS LÄN</t>
        </is>
      </c>
      <c r="E10523" t="inlineStr">
        <is>
          <t>GÄVLE</t>
        </is>
      </c>
      <c r="F10523" t="inlineStr">
        <is>
          <t>Bergvik skog väst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18071-2024</t>
        </is>
      </c>
      <c r="B10524" s="1" t="n">
        <v>45420</v>
      </c>
      <c r="C10524" s="1" t="n">
        <v>45677</v>
      </c>
      <c r="D10524" t="inlineStr">
        <is>
          <t>GÄVLEBORGS LÄN</t>
        </is>
      </c>
      <c r="E10524" t="inlineStr">
        <is>
          <t>SÖDERHAMN</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18099-2024</t>
        </is>
      </c>
      <c r="B10525" s="1" t="n">
        <v>45420</v>
      </c>
      <c r="C10525" s="1" t="n">
        <v>45677</v>
      </c>
      <c r="D10525" t="inlineStr">
        <is>
          <t>GÄVLEBORGS LÄN</t>
        </is>
      </c>
      <c r="E10525" t="inlineStr">
        <is>
          <t>SÖDERHAMN</t>
        </is>
      </c>
      <c r="F10525" t="inlineStr">
        <is>
          <t>Bergvik skog väst AB</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18111-2024</t>
        </is>
      </c>
      <c r="B10526" s="1" t="n">
        <v>45420</v>
      </c>
      <c r="C10526" s="1" t="n">
        <v>45677</v>
      </c>
      <c r="D10526" t="inlineStr">
        <is>
          <t>GÄVLEBORGS LÄN</t>
        </is>
      </c>
      <c r="E10526" t="inlineStr">
        <is>
          <t>LJUSDAL</t>
        </is>
      </c>
      <c r="F10526" t="inlineStr">
        <is>
          <t>Holmen skog AB</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18151-2024</t>
        </is>
      </c>
      <c r="B10527" s="1" t="n">
        <v>45420</v>
      </c>
      <c r="C10527" s="1" t="n">
        <v>45677</v>
      </c>
      <c r="D10527" t="inlineStr">
        <is>
          <t>GÄVLEBORGS LÄN</t>
        </is>
      </c>
      <c r="E10527" t="inlineStr">
        <is>
          <t>BOLLNÄS</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18250-2024</t>
        </is>
      </c>
      <c r="B10528" s="1" t="n">
        <v>45421</v>
      </c>
      <c r="C10528" s="1" t="n">
        <v>45677</v>
      </c>
      <c r="D10528" t="inlineStr">
        <is>
          <t>GÄVLEBORGS LÄN</t>
        </is>
      </c>
      <c r="E10528" t="inlineStr">
        <is>
          <t>LJUSDAL</t>
        </is>
      </c>
      <c r="F10528" t="inlineStr">
        <is>
          <t>Sveaskog</t>
        </is>
      </c>
      <c r="G10528" t="n">
        <v>7.2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18244-2024</t>
        </is>
      </c>
      <c r="B10529" s="1" t="n">
        <v>45421</v>
      </c>
      <c r="C10529" s="1" t="n">
        <v>45677</v>
      </c>
      <c r="D10529" t="inlineStr">
        <is>
          <t>GÄVLEBORGS LÄN</t>
        </is>
      </c>
      <c r="E10529" t="inlineStr">
        <is>
          <t>OVANÅKER</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18243-2024</t>
        </is>
      </c>
      <c r="B10530" s="1" t="n">
        <v>45421</v>
      </c>
      <c r="C10530" s="1" t="n">
        <v>45677</v>
      </c>
      <c r="D10530" t="inlineStr">
        <is>
          <t>GÄVLEBORGS LÄN</t>
        </is>
      </c>
      <c r="E10530" t="inlineStr">
        <is>
          <t>OVANÅKER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18247-2024</t>
        </is>
      </c>
      <c r="B10531" s="1" t="n">
        <v>45421</v>
      </c>
      <c r="C10531" s="1" t="n">
        <v>45677</v>
      </c>
      <c r="D10531" t="inlineStr">
        <is>
          <t>GÄVLEBORGS LÄN</t>
        </is>
      </c>
      <c r="E10531" t="inlineStr">
        <is>
          <t>HUDIKSVALL</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18255-2024</t>
        </is>
      </c>
      <c r="B10532" s="1" t="n">
        <v>45421</v>
      </c>
      <c r="C10532" s="1" t="n">
        <v>45677</v>
      </c>
      <c r="D10532" t="inlineStr">
        <is>
          <t>GÄVLEBORGS LÄN</t>
        </is>
      </c>
      <c r="E10532" t="inlineStr">
        <is>
          <t>OVANÅKER</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18334-2024</t>
        </is>
      </c>
      <c r="B10533" s="1" t="n">
        <v>45422</v>
      </c>
      <c r="C10533" s="1" t="n">
        <v>45677</v>
      </c>
      <c r="D10533" t="inlineStr">
        <is>
          <t>GÄVLEBORGS LÄN</t>
        </is>
      </c>
      <c r="E10533" t="inlineStr">
        <is>
          <t>BOLLNÄS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18322-2024</t>
        </is>
      </c>
      <c r="B10534" s="1" t="n">
        <v>45422</v>
      </c>
      <c r="C10534" s="1" t="n">
        <v>45677</v>
      </c>
      <c r="D10534" t="inlineStr">
        <is>
          <t>GÄVLEBORGS LÄN</t>
        </is>
      </c>
      <c r="E10534" t="inlineStr">
        <is>
          <t>NORDANSTIG</t>
        </is>
      </c>
      <c r="F10534" t="inlineStr">
        <is>
          <t>Holmen skog AB</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18361-2024</t>
        </is>
      </c>
      <c r="B10535" s="1" t="n">
        <v>45422</v>
      </c>
      <c r="C10535" s="1" t="n">
        <v>45677</v>
      </c>
      <c r="D10535" t="inlineStr">
        <is>
          <t>GÄVLEBORGS LÄN</t>
        </is>
      </c>
      <c r="E10535" t="inlineStr">
        <is>
          <t>SANDVIKEN</t>
        </is>
      </c>
      <c r="F10535" t="inlineStr">
        <is>
          <t>Bergvik skog väst AB</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18357-2024</t>
        </is>
      </c>
      <c r="B10536" s="1" t="n">
        <v>45422</v>
      </c>
      <c r="C10536" s="1" t="n">
        <v>45677</v>
      </c>
      <c r="D10536" t="inlineStr">
        <is>
          <t>GÄVLEBORGS LÄN</t>
        </is>
      </c>
      <c r="E10536" t="inlineStr">
        <is>
          <t>LJUSDAL</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18332-2024</t>
        </is>
      </c>
      <c r="B10537" s="1" t="n">
        <v>45422</v>
      </c>
      <c r="C10537" s="1" t="n">
        <v>45677</v>
      </c>
      <c r="D10537" t="inlineStr">
        <is>
          <t>GÄVLEBORGS LÄN</t>
        </is>
      </c>
      <c r="E10537" t="inlineStr">
        <is>
          <t>NORDANSTIG</t>
        </is>
      </c>
      <c r="F10537" t="inlineStr">
        <is>
          <t>Holmen skog AB</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18341-2024</t>
        </is>
      </c>
      <c r="B10538" s="1" t="n">
        <v>45422</v>
      </c>
      <c r="C10538" s="1" t="n">
        <v>45677</v>
      </c>
      <c r="D10538" t="inlineStr">
        <is>
          <t>GÄVLEBORGS LÄN</t>
        </is>
      </c>
      <c r="E10538" t="inlineStr">
        <is>
          <t>BOLLNÄS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18297-2024</t>
        </is>
      </c>
      <c r="B10539" s="1" t="n">
        <v>45422</v>
      </c>
      <c r="C10539" s="1" t="n">
        <v>45677</v>
      </c>
      <c r="D10539" t="inlineStr">
        <is>
          <t>GÄVLEBORGS LÄN</t>
        </is>
      </c>
      <c r="E10539" t="inlineStr">
        <is>
          <t>LJUSDAL</t>
        </is>
      </c>
      <c r="F10539" t="inlineStr">
        <is>
          <t>Holmen skog AB</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18374-2024</t>
        </is>
      </c>
      <c r="B10540" s="1" t="n">
        <v>45423</v>
      </c>
      <c r="C10540" s="1" t="n">
        <v>45677</v>
      </c>
      <c r="D10540" t="inlineStr">
        <is>
          <t>GÄVLEBORGS LÄN</t>
        </is>
      </c>
      <c r="E10540" t="inlineStr">
        <is>
          <t>LJUSDAL</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18377-2024</t>
        </is>
      </c>
      <c r="B10541" s="1" t="n">
        <v>45423</v>
      </c>
      <c r="C10541" s="1" t="n">
        <v>45677</v>
      </c>
      <c r="D10541" t="inlineStr">
        <is>
          <t>GÄVLEBORGS LÄN</t>
        </is>
      </c>
      <c r="E10541" t="inlineStr">
        <is>
          <t>GÄVLE</t>
        </is>
      </c>
      <c r="F10541" t="inlineStr">
        <is>
          <t>Bergvik skog väst AB</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18375-2024</t>
        </is>
      </c>
      <c r="B10542" s="1" t="n">
        <v>45423</v>
      </c>
      <c r="C10542" s="1" t="n">
        <v>45677</v>
      </c>
      <c r="D10542" t="inlineStr">
        <is>
          <t>GÄVLEBORGS LÄN</t>
        </is>
      </c>
      <c r="E10542" t="inlineStr">
        <is>
          <t>LJUSDAL</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18455-2024</t>
        </is>
      </c>
      <c r="B10543" s="1" t="n">
        <v>45425</v>
      </c>
      <c r="C10543" s="1" t="n">
        <v>45677</v>
      </c>
      <c r="D10543" t="inlineStr">
        <is>
          <t>GÄVLEBORGS LÄN</t>
        </is>
      </c>
      <c r="E10543" t="inlineStr">
        <is>
          <t>GÄVLE</t>
        </is>
      </c>
      <c r="F10543" t="inlineStr">
        <is>
          <t>Bergvik skog väst AB</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18471-2024</t>
        </is>
      </c>
      <c r="B10544" s="1" t="n">
        <v>45425</v>
      </c>
      <c r="C10544" s="1" t="n">
        <v>45677</v>
      </c>
      <c r="D10544" t="inlineStr">
        <is>
          <t>GÄVLEBORGS LÄN</t>
        </is>
      </c>
      <c r="E10544" t="inlineStr">
        <is>
          <t>SÖDERHAMN</t>
        </is>
      </c>
      <c r="F10544" t="inlineStr">
        <is>
          <t>Bergvik skog väst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18488-2024</t>
        </is>
      </c>
      <c r="B10545" s="1" t="n">
        <v>45425</v>
      </c>
      <c r="C10545" s="1" t="n">
        <v>45677</v>
      </c>
      <c r="D10545" t="inlineStr">
        <is>
          <t>GÄVLEBORGS LÄN</t>
        </is>
      </c>
      <c r="E10545" t="inlineStr">
        <is>
          <t>LJUSDAL</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18492-2024</t>
        </is>
      </c>
      <c r="B10546" s="1" t="n">
        <v>45425</v>
      </c>
      <c r="C10546" s="1" t="n">
        <v>45677</v>
      </c>
      <c r="D10546" t="inlineStr">
        <is>
          <t>GÄVLEBORGS LÄN</t>
        </is>
      </c>
      <c r="E10546" t="inlineStr">
        <is>
          <t>SÖDERHAMN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18505-2024</t>
        </is>
      </c>
      <c r="B10547" s="1" t="n">
        <v>45425</v>
      </c>
      <c r="C10547" s="1" t="n">
        <v>45677</v>
      </c>
      <c r="D10547" t="inlineStr">
        <is>
          <t>GÄVLEBORGS LÄN</t>
        </is>
      </c>
      <c r="E10547" t="inlineStr">
        <is>
          <t>SÖDERHAMN</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18611-2024</t>
        </is>
      </c>
      <c r="B10548" s="1" t="n">
        <v>45426</v>
      </c>
      <c r="C10548" s="1" t="n">
        <v>45677</v>
      </c>
      <c r="D10548" t="inlineStr">
        <is>
          <t>GÄVLEBORGS LÄN</t>
        </is>
      </c>
      <c r="E10548" t="inlineStr">
        <is>
          <t>LJUSDAL</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18433-2024</t>
        </is>
      </c>
      <c r="B10549" s="1" t="n">
        <v>45425</v>
      </c>
      <c r="C10549" s="1" t="n">
        <v>45677</v>
      </c>
      <c r="D10549" t="inlineStr">
        <is>
          <t>GÄVLEBORGS LÄN</t>
        </is>
      </c>
      <c r="E10549" t="inlineStr">
        <is>
          <t>SÖDERHAMN</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18441-2024</t>
        </is>
      </c>
      <c r="B10550" s="1" t="n">
        <v>45425</v>
      </c>
      <c r="C10550" s="1" t="n">
        <v>45677</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18457-2024</t>
        </is>
      </c>
      <c r="B10551" s="1" t="n">
        <v>45425</v>
      </c>
      <c r="C10551" s="1" t="n">
        <v>45677</v>
      </c>
      <c r="D10551" t="inlineStr">
        <is>
          <t>GÄVLEBORGS LÄN</t>
        </is>
      </c>
      <c r="E10551" t="inlineStr">
        <is>
          <t>GÄVLE</t>
        </is>
      </c>
      <c r="F10551" t="inlineStr">
        <is>
          <t>Bergvik skog väst AB</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18473-2024</t>
        </is>
      </c>
      <c r="B10552" s="1" t="n">
        <v>45425</v>
      </c>
      <c r="C10552" s="1" t="n">
        <v>45677</v>
      </c>
      <c r="D10552" t="inlineStr">
        <is>
          <t>GÄVLEBORGS LÄN</t>
        </is>
      </c>
      <c r="E10552" t="inlineStr">
        <is>
          <t>NORDANSTIG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18503-2024</t>
        </is>
      </c>
      <c r="B10553" s="1" t="n">
        <v>45425</v>
      </c>
      <c r="C10553" s="1" t="n">
        <v>45677</v>
      </c>
      <c r="D10553" t="inlineStr">
        <is>
          <t>GÄVLEBORGS LÄN</t>
        </is>
      </c>
      <c r="E10553" t="inlineStr">
        <is>
          <t>SÖDERHAMN</t>
        </is>
      </c>
      <c r="F10553" t="inlineStr">
        <is>
          <t>Bergvik skog väst AB</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18576-2024</t>
        </is>
      </c>
      <c r="B10554" s="1" t="n">
        <v>45425</v>
      </c>
      <c r="C10554" s="1" t="n">
        <v>45677</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18428-2024</t>
        </is>
      </c>
      <c r="B10555" s="1" t="n">
        <v>45425</v>
      </c>
      <c r="C10555" s="1" t="n">
        <v>45677</v>
      </c>
      <c r="D10555" t="inlineStr">
        <is>
          <t>GÄVLEBORGS LÄN</t>
        </is>
      </c>
      <c r="E10555" t="inlineStr">
        <is>
          <t>LJUSDAL</t>
        </is>
      </c>
      <c r="F10555" t="inlineStr">
        <is>
          <t>Sveaskog</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18432-2024</t>
        </is>
      </c>
      <c r="B10556" s="1" t="n">
        <v>45425</v>
      </c>
      <c r="C10556" s="1" t="n">
        <v>45677</v>
      </c>
      <c r="D10556" t="inlineStr">
        <is>
          <t>GÄVLEBORGS LÄN</t>
        </is>
      </c>
      <c r="E10556" t="inlineStr">
        <is>
          <t>SÖDERHAMN</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18452-2024</t>
        </is>
      </c>
      <c r="B10557" s="1" t="n">
        <v>45425</v>
      </c>
      <c r="C10557" s="1" t="n">
        <v>45677</v>
      </c>
      <c r="D10557" t="inlineStr">
        <is>
          <t>GÄVLEBORGS LÄN</t>
        </is>
      </c>
      <c r="E10557" t="inlineStr">
        <is>
          <t>GÄVLE</t>
        </is>
      </c>
      <c r="F10557" t="inlineStr">
        <is>
          <t>Bergvik skog väst AB</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18464-2024</t>
        </is>
      </c>
      <c r="B10558" s="1" t="n">
        <v>45425</v>
      </c>
      <c r="C10558" s="1" t="n">
        <v>45677</v>
      </c>
      <c r="D10558" t="inlineStr">
        <is>
          <t>GÄVLEBORGS LÄN</t>
        </is>
      </c>
      <c r="E10558" t="inlineStr">
        <is>
          <t>SÖDERHAMN</t>
        </is>
      </c>
      <c r="F10558" t="inlineStr">
        <is>
          <t>Bergvik skog väst AB</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18493-2024</t>
        </is>
      </c>
      <c r="B10559" s="1" t="n">
        <v>45425</v>
      </c>
      <c r="C10559" s="1" t="n">
        <v>45677</v>
      </c>
      <c r="D10559" t="inlineStr">
        <is>
          <t>GÄVLEBORGS LÄN</t>
        </is>
      </c>
      <c r="E10559" t="inlineStr">
        <is>
          <t>HUDIKSVALL</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18538-2024</t>
        </is>
      </c>
      <c r="B10560" s="1" t="n">
        <v>45425</v>
      </c>
      <c r="C10560" s="1" t="n">
        <v>45677</v>
      </c>
      <c r="D10560" t="inlineStr">
        <is>
          <t>GÄVLEBORGS LÄN</t>
        </is>
      </c>
      <c r="E10560" t="inlineStr">
        <is>
          <t>HUDIKSVALL</t>
        </is>
      </c>
      <c r="F10560" t="inlineStr">
        <is>
          <t>Holmen skog AB</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18546-2024</t>
        </is>
      </c>
      <c r="B10561" s="1" t="n">
        <v>45425</v>
      </c>
      <c r="C10561" s="1" t="n">
        <v>45677</v>
      </c>
      <c r="D10561" t="inlineStr">
        <is>
          <t>GÄVLEBORGS LÄN</t>
        </is>
      </c>
      <c r="E10561" t="inlineStr">
        <is>
          <t>SÖDERHAMN</t>
        </is>
      </c>
      <c r="F10561" t="inlineStr">
        <is>
          <t>Bergvik skog väst AB</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18430-2024</t>
        </is>
      </c>
      <c r="B10562" s="1" t="n">
        <v>45425</v>
      </c>
      <c r="C10562" s="1" t="n">
        <v>45677</v>
      </c>
      <c r="D10562" t="inlineStr">
        <is>
          <t>GÄVLEBORGS LÄN</t>
        </is>
      </c>
      <c r="E10562" t="inlineStr">
        <is>
          <t>SÖDERHAMN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18438-2024</t>
        </is>
      </c>
      <c r="B10563" s="1" t="n">
        <v>45425</v>
      </c>
      <c r="C10563" s="1" t="n">
        <v>45677</v>
      </c>
      <c r="D10563" t="inlineStr">
        <is>
          <t>GÄVLEBORGS LÄN</t>
        </is>
      </c>
      <c r="E10563" t="inlineStr">
        <is>
          <t>BOLLNÄS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18608-2024</t>
        </is>
      </c>
      <c r="B10564" s="1" t="n">
        <v>45426</v>
      </c>
      <c r="C10564" s="1" t="n">
        <v>45677</v>
      </c>
      <c r="D10564" t="inlineStr">
        <is>
          <t>GÄVLEBORGS LÄN</t>
        </is>
      </c>
      <c r="E10564" t="inlineStr">
        <is>
          <t>LJUSDAL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18446-2024</t>
        </is>
      </c>
      <c r="B10565" s="1" t="n">
        <v>45425</v>
      </c>
      <c r="C10565" s="1" t="n">
        <v>45677</v>
      </c>
      <c r="D10565" t="inlineStr">
        <is>
          <t>GÄVLEBORGS LÄN</t>
        </is>
      </c>
      <c r="E10565" t="inlineStr">
        <is>
          <t>LJUSDAL</t>
        </is>
      </c>
      <c r="F10565" t="inlineStr">
        <is>
          <t>Sveaskog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18450-2024</t>
        </is>
      </c>
      <c r="B10566" s="1" t="n">
        <v>45425</v>
      </c>
      <c r="C10566" s="1" t="n">
        <v>45677</v>
      </c>
      <c r="D10566" t="inlineStr">
        <is>
          <t>GÄVLEBORGS LÄN</t>
        </is>
      </c>
      <c r="E10566" t="inlineStr">
        <is>
          <t>LJUSDAL</t>
        </is>
      </c>
      <c r="F10566" t="inlineStr">
        <is>
          <t>Sveaskog</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18454-2024</t>
        </is>
      </c>
      <c r="B10567" s="1" t="n">
        <v>45425</v>
      </c>
      <c r="C10567" s="1" t="n">
        <v>45677</v>
      </c>
      <c r="D10567" t="inlineStr">
        <is>
          <t>GÄVLEBORGS LÄN</t>
        </is>
      </c>
      <c r="E10567" t="inlineStr">
        <is>
          <t>GÄVLE</t>
        </is>
      </c>
      <c r="F10567" t="inlineStr">
        <is>
          <t>Bergvik skog väst AB</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18466-2024</t>
        </is>
      </c>
      <c r="B10568" s="1" t="n">
        <v>45425</v>
      </c>
      <c r="C10568" s="1" t="n">
        <v>45677</v>
      </c>
      <c r="D10568" t="inlineStr">
        <is>
          <t>GÄVLEBORGS LÄN</t>
        </is>
      </c>
      <c r="E10568" t="inlineStr">
        <is>
          <t>SÖDERHAMN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18474-2024</t>
        </is>
      </c>
      <c r="B10569" s="1" t="n">
        <v>45425</v>
      </c>
      <c r="C10569" s="1" t="n">
        <v>45677</v>
      </c>
      <c r="D10569" t="inlineStr">
        <is>
          <t>GÄVLEBORGS LÄN</t>
        </is>
      </c>
      <c r="E10569" t="inlineStr">
        <is>
          <t>NORDANSTIG</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18479-2024</t>
        </is>
      </c>
      <c r="B10570" s="1" t="n">
        <v>45425</v>
      </c>
      <c r="C10570" s="1" t="n">
        <v>45677</v>
      </c>
      <c r="D10570" t="inlineStr">
        <is>
          <t>GÄVLEBORGS LÄN</t>
        </is>
      </c>
      <c r="E10570" t="inlineStr">
        <is>
          <t>NORDANSTIG</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18499-2024</t>
        </is>
      </c>
      <c r="B10571" s="1" t="n">
        <v>45425</v>
      </c>
      <c r="C10571" s="1" t="n">
        <v>45677</v>
      </c>
      <c r="D10571" t="inlineStr">
        <is>
          <t>GÄVLEBORGS LÄN</t>
        </is>
      </c>
      <c r="E10571" t="inlineStr">
        <is>
          <t>SÖDERHAMN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18715-2024</t>
        </is>
      </c>
      <c r="B10572" s="1" t="n">
        <v>45426</v>
      </c>
      <c r="C10572" s="1" t="n">
        <v>45677</v>
      </c>
      <c r="D10572" t="inlineStr">
        <is>
          <t>GÄVLEBORGS LÄN</t>
        </is>
      </c>
      <c r="E10572" t="inlineStr">
        <is>
          <t>SANDVIKEN</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18709-2024</t>
        </is>
      </c>
      <c r="B10573" s="1" t="n">
        <v>45426</v>
      </c>
      <c r="C10573" s="1" t="n">
        <v>45677</v>
      </c>
      <c r="D10573" t="inlineStr">
        <is>
          <t>GÄVLEBORGS LÄN</t>
        </is>
      </c>
      <c r="E10573" t="inlineStr">
        <is>
          <t>HOFORS</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18707-2024</t>
        </is>
      </c>
      <c r="B10574" s="1" t="n">
        <v>45426</v>
      </c>
      <c r="C10574" s="1" t="n">
        <v>45677</v>
      </c>
      <c r="D10574" t="inlineStr">
        <is>
          <t>GÄVLEBORGS LÄN</t>
        </is>
      </c>
      <c r="E10574" t="inlineStr">
        <is>
          <t>SANDVIKEN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18772-2024</t>
        </is>
      </c>
      <c r="B10575" s="1" t="n">
        <v>45426</v>
      </c>
      <c r="C10575" s="1" t="n">
        <v>45677</v>
      </c>
      <c r="D10575" t="inlineStr">
        <is>
          <t>GÄVLEBORGS LÄN</t>
        </is>
      </c>
      <c r="E10575" t="inlineStr">
        <is>
          <t>BOLLNÄS</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18832-2024</t>
        </is>
      </c>
      <c r="B10576" s="1" t="n">
        <v>45426</v>
      </c>
      <c r="C10576" s="1" t="n">
        <v>45677</v>
      </c>
      <c r="D10576" t="inlineStr">
        <is>
          <t>GÄVLEBORGS LÄN</t>
        </is>
      </c>
      <c r="E10576" t="inlineStr">
        <is>
          <t>HUDIKSVALL</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18734-2024</t>
        </is>
      </c>
      <c r="B10577" s="1" t="n">
        <v>45426</v>
      </c>
      <c r="C10577" s="1" t="n">
        <v>45677</v>
      </c>
      <c r="D10577" t="inlineStr">
        <is>
          <t>GÄVLEBORGS LÄN</t>
        </is>
      </c>
      <c r="E10577" t="inlineStr">
        <is>
          <t>LJUSDAL</t>
        </is>
      </c>
      <c r="F10577" t="inlineStr">
        <is>
          <t>Sveaskog</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18733-2024</t>
        </is>
      </c>
      <c r="B10578" s="1" t="n">
        <v>45426</v>
      </c>
      <c r="C10578" s="1" t="n">
        <v>45677</v>
      </c>
      <c r="D10578" t="inlineStr">
        <is>
          <t>GÄVLEBORGS LÄN</t>
        </is>
      </c>
      <c r="E10578" t="inlineStr">
        <is>
          <t>LJUSDAL</t>
        </is>
      </c>
      <c r="F10578" t="inlineStr">
        <is>
          <t>Sveaskog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18761-2024</t>
        </is>
      </c>
      <c r="B10579" s="1" t="n">
        <v>45426</v>
      </c>
      <c r="C10579" s="1" t="n">
        <v>45677</v>
      </c>
      <c r="D10579" t="inlineStr">
        <is>
          <t>GÄVLEBORGS LÄN</t>
        </is>
      </c>
      <c r="E10579" t="inlineStr">
        <is>
          <t>NORDANSTIG</t>
        </is>
      </c>
      <c r="F10579" t="inlineStr">
        <is>
          <t>Holmen skog AB</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18797-2024</t>
        </is>
      </c>
      <c r="B10580" s="1" t="n">
        <v>45426</v>
      </c>
      <c r="C10580" s="1" t="n">
        <v>45677</v>
      </c>
      <c r="D10580" t="inlineStr">
        <is>
          <t>GÄVLEBORGS LÄN</t>
        </is>
      </c>
      <c r="E10580" t="inlineStr">
        <is>
          <t>BOLLNÄS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18825-2024</t>
        </is>
      </c>
      <c r="B10581" s="1" t="n">
        <v>45426</v>
      </c>
      <c r="C10581" s="1" t="n">
        <v>45677</v>
      </c>
      <c r="D10581" t="inlineStr">
        <is>
          <t>GÄVLEBORGS LÄN</t>
        </is>
      </c>
      <c r="E10581" t="inlineStr">
        <is>
          <t>HUDIKSVALL</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18865-2024</t>
        </is>
      </c>
      <c r="B10582" s="1" t="n">
        <v>45427</v>
      </c>
      <c r="C10582" s="1" t="n">
        <v>45677</v>
      </c>
      <c r="D10582" t="inlineStr">
        <is>
          <t>GÄVLEBORGS LÄN</t>
        </is>
      </c>
      <c r="E10582" t="inlineStr">
        <is>
          <t>SÖDERHAMN</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18800-2024</t>
        </is>
      </c>
      <c r="B10583" s="1" t="n">
        <v>45426</v>
      </c>
      <c r="C10583" s="1" t="n">
        <v>45677</v>
      </c>
      <c r="D10583" t="inlineStr">
        <is>
          <t>GÄVLEBORGS LÄN</t>
        </is>
      </c>
      <c r="E10583" t="inlineStr">
        <is>
          <t>SÖDERHAMN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18804-2024</t>
        </is>
      </c>
      <c r="B10584" s="1" t="n">
        <v>45426</v>
      </c>
      <c r="C10584" s="1" t="n">
        <v>45677</v>
      </c>
      <c r="D10584" t="inlineStr">
        <is>
          <t>GÄVLEBORGS LÄN</t>
        </is>
      </c>
      <c r="E10584" t="inlineStr">
        <is>
          <t>BOLLNÄS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18829-2024</t>
        </is>
      </c>
      <c r="B10585" s="1" t="n">
        <v>45426</v>
      </c>
      <c r="C10585" s="1" t="n">
        <v>45677</v>
      </c>
      <c r="D10585" t="inlineStr">
        <is>
          <t>GÄVLEBORGS LÄN</t>
        </is>
      </c>
      <c r="E10585" t="inlineStr">
        <is>
          <t>HUDIKSVALL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18864-2024</t>
        </is>
      </c>
      <c r="B10586" s="1" t="n">
        <v>45427</v>
      </c>
      <c r="C10586" s="1" t="n">
        <v>45677</v>
      </c>
      <c r="D10586" t="inlineStr">
        <is>
          <t>GÄVLEBORGS LÄN</t>
        </is>
      </c>
      <c r="E10586" t="inlineStr">
        <is>
          <t>SÖDERHAMN</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18706-2024</t>
        </is>
      </c>
      <c r="B10587" s="1" t="n">
        <v>45426</v>
      </c>
      <c r="C10587" s="1" t="n">
        <v>45677</v>
      </c>
      <c r="D10587" t="inlineStr">
        <is>
          <t>GÄVLEBORGS LÄN</t>
        </is>
      </c>
      <c r="E10587" t="inlineStr">
        <is>
          <t>HUDIKSVALL</t>
        </is>
      </c>
      <c r="F10587" t="inlineStr">
        <is>
          <t>Holmen skog AB</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18731-2024</t>
        </is>
      </c>
      <c r="B10588" s="1" t="n">
        <v>45426</v>
      </c>
      <c r="C10588" s="1" t="n">
        <v>45677</v>
      </c>
      <c r="D10588" t="inlineStr">
        <is>
          <t>GÄVLEBORGS LÄN</t>
        </is>
      </c>
      <c r="E10588" t="inlineStr">
        <is>
          <t>LJUSDAL</t>
        </is>
      </c>
      <c r="F10588" t="inlineStr">
        <is>
          <t>Sveaskog</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18747-2024</t>
        </is>
      </c>
      <c r="B10589" s="1" t="n">
        <v>45426</v>
      </c>
      <c r="C10589" s="1" t="n">
        <v>45677</v>
      </c>
      <c r="D10589" t="inlineStr">
        <is>
          <t>GÄVLEBORGS LÄN</t>
        </is>
      </c>
      <c r="E10589" t="inlineStr">
        <is>
          <t>NORDANSTIG</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18815-2024</t>
        </is>
      </c>
      <c r="B10590" s="1" t="n">
        <v>45426</v>
      </c>
      <c r="C10590" s="1" t="n">
        <v>45677</v>
      </c>
      <c r="D10590" t="inlineStr">
        <is>
          <t>GÄVLEBORGS LÄN</t>
        </is>
      </c>
      <c r="E10590" t="inlineStr">
        <is>
          <t>BOLLNÄS</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18819-2024</t>
        </is>
      </c>
      <c r="B10591" s="1" t="n">
        <v>45426</v>
      </c>
      <c r="C10591" s="1" t="n">
        <v>45677</v>
      </c>
      <c r="D10591" t="inlineStr">
        <is>
          <t>GÄVLEBORGS LÄN</t>
        </is>
      </c>
      <c r="E10591" t="inlineStr">
        <is>
          <t>BOLLNÄS</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18828-2024</t>
        </is>
      </c>
      <c r="B10592" s="1" t="n">
        <v>45426</v>
      </c>
      <c r="C10592" s="1" t="n">
        <v>45677</v>
      </c>
      <c r="D10592" t="inlineStr">
        <is>
          <t>GÄVLEBORGS LÄN</t>
        </is>
      </c>
      <c r="E10592" t="inlineStr">
        <is>
          <t>HUDIKSVALL</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18701-2024</t>
        </is>
      </c>
      <c r="B10593" s="1" t="n">
        <v>45426</v>
      </c>
      <c r="C10593" s="1" t="n">
        <v>45677</v>
      </c>
      <c r="D10593" t="inlineStr">
        <is>
          <t>GÄVLEBORGS LÄN</t>
        </is>
      </c>
      <c r="E10593" t="inlineStr">
        <is>
          <t>NORDANSTIG</t>
        </is>
      </c>
      <c r="F10593" t="inlineStr">
        <is>
          <t>Holmen skog AB</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19014-2024</t>
        </is>
      </c>
      <c r="B10594" s="1" t="n">
        <v>45427</v>
      </c>
      <c r="C10594" s="1" t="n">
        <v>45677</v>
      </c>
      <c r="D10594" t="inlineStr">
        <is>
          <t>GÄVLEBORGS LÄN</t>
        </is>
      </c>
      <c r="E10594" t="inlineStr">
        <is>
          <t>HUDIKSVALL</t>
        </is>
      </c>
      <c r="F10594" t="inlineStr">
        <is>
          <t>Holmen skog AB</t>
        </is>
      </c>
      <c r="G10594" t="n">
        <v>17.7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19042-2024</t>
        </is>
      </c>
      <c r="B10595" s="1" t="n">
        <v>45427</v>
      </c>
      <c r="C10595" s="1" t="n">
        <v>45677</v>
      </c>
      <c r="D10595" t="inlineStr">
        <is>
          <t>GÄVLEBORGS LÄN</t>
        </is>
      </c>
      <c r="E10595" t="inlineStr">
        <is>
          <t>OVANÅKER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18994-2024</t>
        </is>
      </c>
      <c r="B10596" s="1" t="n">
        <v>45427</v>
      </c>
      <c r="C10596" s="1" t="n">
        <v>45677</v>
      </c>
      <c r="D10596" t="inlineStr">
        <is>
          <t>GÄVLEBORGS LÄN</t>
        </is>
      </c>
      <c r="E10596" t="inlineStr">
        <is>
          <t>HUDIKSVALL</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18917-2024</t>
        </is>
      </c>
      <c r="B10597" s="1" t="n">
        <v>45427</v>
      </c>
      <c r="C10597" s="1" t="n">
        <v>45677</v>
      </c>
      <c r="D10597" t="inlineStr">
        <is>
          <t>GÄVLEBORGS LÄN</t>
        </is>
      </c>
      <c r="E10597" t="inlineStr">
        <is>
          <t>HUDIKSVALL</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18958-2024</t>
        </is>
      </c>
      <c r="B10598" s="1" t="n">
        <v>45427</v>
      </c>
      <c r="C10598" s="1" t="n">
        <v>45677</v>
      </c>
      <c r="D10598" t="inlineStr">
        <is>
          <t>GÄVLEBORGS LÄN</t>
        </is>
      </c>
      <c r="E10598" t="inlineStr">
        <is>
          <t>LJUSDAL</t>
        </is>
      </c>
      <c r="F10598" t="inlineStr">
        <is>
          <t>Bergvik skog väst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18934-2024</t>
        </is>
      </c>
      <c r="B10599" s="1" t="n">
        <v>45427</v>
      </c>
      <c r="C10599" s="1" t="n">
        <v>45677</v>
      </c>
      <c r="D10599" t="inlineStr">
        <is>
          <t>GÄVLEBORGS LÄN</t>
        </is>
      </c>
      <c r="E10599" t="inlineStr">
        <is>
          <t>LJUSDAL</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19039-2024</t>
        </is>
      </c>
      <c r="B10600" s="1" t="n">
        <v>45427</v>
      </c>
      <c r="C10600" s="1" t="n">
        <v>45677</v>
      </c>
      <c r="D10600" t="inlineStr">
        <is>
          <t>GÄVLEBORGS LÄN</t>
        </is>
      </c>
      <c r="E10600" t="inlineStr">
        <is>
          <t>OVANÅKER</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18963-2024</t>
        </is>
      </c>
      <c r="B10601" s="1" t="n">
        <v>45427</v>
      </c>
      <c r="C10601" s="1" t="n">
        <v>45677</v>
      </c>
      <c r="D10601" t="inlineStr">
        <is>
          <t>GÄVLEBORGS LÄN</t>
        </is>
      </c>
      <c r="E10601" t="inlineStr">
        <is>
          <t>HOFORS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18914-2024</t>
        </is>
      </c>
      <c r="B10602" s="1" t="n">
        <v>45427</v>
      </c>
      <c r="C10602" s="1" t="n">
        <v>45677</v>
      </c>
      <c r="D10602" t="inlineStr">
        <is>
          <t>GÄVLEBORGS LÄN</t>
        </is>
      </c>
      <c r="E10602" t="inlineStr">
        <is>
          <t>LJUSDAL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18960-2024</t>
        </is>
      </c>
      <c r="B10603" s="1" t="n">
        <v>45427</v>
      </c>
      <c r="C10603" s="1" t="n">
        <v>45677</v>
      </c>
      <c r="D10603" t="inlineStr">
        <is>
          <t>GÄVLEBORGS LÄN</t>
        </is>
      </c>
      <c r="E10603" t="inlineStr">
        <is>
          <t>LJUSDAL</t>
        </is>
      </c>
      <c r="F10603" t="inlineStr">
        <is>
          <t>Bergvik skog väst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19041-2024</t>
        </is>
      </c>
      <c r="B10604" s="1" t="n">
        <v>45427</v>
      </c>
      <c r="C10604" s="1" t="n">
        <v>45677</v>
      </c>
      <c r="D10604" t="inlineStr">
        <is>
          <t>GÄVLEBORGS LÄN</t>
        </is>
      </c>
      <c r="E10604" t="inlineStr">
        <is>
          <t>OVANÅKER</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18996-2024</t>
        </is>
      </c>
      <c r="B10605" s="1" t="n">
        <v>45427</v>
      </c>
      <c r="C10605" s="1" t="n">
        <v>45677</v>
      </c>
      <c r="D10605" t="inlineStr">
        <is>
          <t>GÄVLEBORGS LÄN</t>
        </is>
      </c>
      <c r="E10605" t="inlineStr">
        <is>
          <t>LJUSDAL</t>
        </is>
      </c>
      <c r="G10605" t="n">
        <v>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19105-2024</t>
        </is>
      </c>
      <c r="B10606" s="1" t="n">
        <v>45428</v>
      </c>
      <c r="C10606" s="1" t="n">
        <v>45677</v>
      </c>
      <c r="D10606" t="inlineStr">
        <is>
          <t>GÄVLEBORGS LÄN</t>
        </is>
      </c>
      <c r="E10606" t="inlineStr">
        <is>
          <t>HUDIKSVALL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19110-2024</t>
        </is>
      </c>
      <c r="B10607" s="1" t="n">
        <v>45428</v>
      </c>
      <c r="C10607" s="1" t="n">
        <v>45677</v>
      </c>
      <c r="D10607" t="inlineStr">
        <is>
          <t>GÄVLEBORGS LÄN</t>
        </is>
      </c>
      <c r="E10607" t="inlineStr">
        <is>
          <t>SÖDERHAMN</t>
        </is>
      </c>
      <c r="F10607" t="inlineStr">
        <is>
          <t>Bergvik skog väst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19144-2024</t>
        </is>
      </c>
      <c r="B10608" s="1" t="n">
        <v>45428</v>
      </c>
      <c r="C10608" s="1" t="n">
        <v>45677</v>
      </c>
      <c r="D10608" t="inlineStr">
        <is>
          <t>GÄVLEBORGS LÄN</t>
        </is>
      </c>
      <c r="E10608" t="inlineStr">
        <is>
          <t>BOLLNÄS</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19172-2024</t>
        </is>
      </c>
      <c r="B10609" s="1" t="n">
        <v>45428</v>
      </c>
      <c r="C10609" s="1" t="n">
        <v>45677</v>
      </c>
      <c r="D10609" t="inlineStr">
        <is>
          <t>GÄVLEBORGS LÄN</t>
        </is>
      </c>
      <c r="E10609" t="inlineStr">
        <is>
          <t>OVANÅKER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19188-2024</t>
        </is>
      </c>
      <c r="B10610" s="1" t="n">
        <v>45428</v>
      </c>
      <c r="C10610" s="1" t="n">
        <v>45677</v>
      </c>
      <c r="D10610" t="inlineStr">
        <is>
          <t>GÄVLEBORGS LÄN</t>
        </is>
      </c>
      <c r="E10610" t="inlineStr">
        <is>
          <t>SÖDERHAMN</t>
        </is>
      </c>
      <c r="F10610" t="inlineStr">
        <is>
          <t>Bergvik skog väst AB</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19197-2024</t>
        </is>
      </c>
      <c r="B10611" s="1" t="n">
        <v>45428</v>
      </c>
      <c r="C10611" s="1" t="n">
        <v>45677</v>
      </c>
      <c r="D10611" t="inlineStr">
        <is>
          <t>GÄVLEBORGS LÄN</t>
        </is>
      </c>
      <c r="E10611" t="inlineStr">
        <is>
          <t>HUDIKSVALL</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19217-2024</t>
        </is>
      </c>
      <c r="B10612" s="1" t="n">
        <v>45428</v>
      </c>
      <c r="C10612" s="1" t="n">
        <v>45677</v>
      </c>
      <c r="D10612" t="inlineStr">
        <is>
          <t>GÄVLEBORGS LÄN</t>
        </is>
      </c>
      <c r="E10612" t="inlineStr">
        <is>
          <t>HUDIKSVALL</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19091-2024</t>
        </is>
      </c>
      <c r="B10613" s="1" t="n">
        <v>45428</v>
      </c>
      <c r="C10613" s="1" t="n">
        <v>45677</v>
      </c>
      <c r="D10613" t="inlineStr">
        <is>
          <t>GÄVLEBORGS LÄN</t>
        </is>
      </c>
      <c r="E10613" t="inlineStr">
        <is>
          <t>SÖDERHAMN</t>
        </is>
      </c>
      <c r="F10613" t="inlineStr">
        <is>
          <t>Bergvik skog väst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19113-2024</t>
        </is>
      </c>
      <c r="B10614" s="1" t="n">
        <v>45428</v>
      </c>
      <c r="C10614" s="1" t="n">
        <v>45677</v>
      </c>
      <c r="D10614" t="inlineStr">
        <is>
          <t>GÄVLEBORGS LÄN</t>
        </is>
      </c>
      <c r="E10614" t="inlineStr">
        <is>
          <t>SÖDERHAMN</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19135-2024</t>
        </is>
      </c>
      <c r="B10615" s="1" t="n">
        <v>45428</v>
      </c>
      <c r="C10615" s="1" t="n">
        <v>45677</v>
      </c>
      <c r="D10615" t="inlineStr">
        <is>
          <t>GÄVLEBORGS LÄN</t>
        </is>
      </c>
      <c r="E10615" t="inlineStr">
        <is>
          <t>BOLLNÄS</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19143-2024</t>
        </is>
      </c>
      <c r="B10616" s="1" t="n">
        <v>45428</v>
      </c>
      <c r="C10616" s="1" t="n">
        <v>45677</v>
      </c>
      <c r="D10616" t="inlineStr">
        <is>
          <t>GÄVLEBORGS LÄN</t>
        </is>
      </c>
      <c r="E10616" t="inlineStr">
        <is>
          <t>BOLLNÄS</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19142-2024</t>
        </is>
      </c>
      <c r="B10617" s="1" t="n">
        <v>45428</v>
      </c>
      <c r="C10617" s="1" t="n">
        <v>45677</v>
      </c>
      <c r="D10617" t="inlineStr">
        <is>
          <t>GÄVLEBORGS LÄN</t>
        </is>
      </c>
      <c r="E10617" t="inlineStr">
        <is>
          <t>BOLLNÄS</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19146-2024</t>
        </is>
      </c>
      <c r="B10618" s="1" t="n">
        <v>45428</v>
      </c>
      <c r="C10618" s="1" t="n">
        <v>45677</v>
      </c>
      <c r="D10618" t="inlineStr">
        <is>
          <t>GÄVLEBORGS LÄN</t>
        </is>
      </c>
      <c r="E10618" t="inlineStr">
        <is>
          <t>BOLLNÄS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19154-2024</t>
        </is>
      </c>
      <c r="B10619" s="1" t="n">
        <v>45428</v>
      </c>
      <c r="C10619" s="1" t="n">
        <v>45677</v>
      </c>
      <c r="D10619" t="inlineStr">
        <is>
          <t>GÄVLEBORGS LÄN</t>
        </is>
      </c>
      <c r="E10619" t="inlineStr">
        <is>
          <t>BOLLNÄS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19163-2024</t>
        </is>
      </c>
      <c r="B10620" s="1" t="n">
        <v>45428</v>
      </c>
      <c r="C10620" s="1" t="n">
        <v>45677</v>
      </c>
      <c r="D10620" t="inlineStr">
        <is>
          <t>GÄVLEBORGS LÄN</t>
        </is>
      </c>
      <c r="E10620" t="inlineStr">
        <is>
          <t>OVANÅKER</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19167-2024</t>
        </is>
      </c>
      <c r="B10621" s="1" t="n">
        <v>45428</v>
      </c>
      <c r="C10621" s="1" t="n">
        <v>45677</v>
      </c>
      <c r="D10621" t="inlineStr">
        <is>
          <t>GÄVLEBORGS LÄN</t>
        </is>
      </c>
      <c r="E10621" t="inlineStr">
        <is>
          <t>SÖDERHAMN</t>
        </is>
      </c>
      <c r="F10621" t="inlineStr">
        <is>
          <t>Bergvik skog väst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19273-2024</t>
        </is>
      </c>
      <c r="B10622" s="1" t="n">
        <v>45428</v>
      </c>
      <c r="C10622" s="1" t="n">
        <v>45677</v>
      </c>
      <c r="D10622" t="inlineStr">
        <is>
          <t>GÄVLEBORGS LÄN</t>
        </is>
      </c>
      <c r="E10622" t="inlineStr">
        <is>
          <t>SANDVIKEN</t>
        </is>
      </c>
      <c r="F10622" t="inlineStr">
        <is>
          <t>Bergvik skog öst AB</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19289-2024</t>
        </is>
      </c>
      <c r="B10623" s="1" t="n">
        <v>45428</v>
      </c>
      <c r="C10623" s="1" t="n">
        <v>45677</v>
      </c>
      <c r="D10623" t="inlineStr">
        <is>
          <t>GÄVLEBORGS LÄN</t>
        </is>
      </c>
      <c r="E10623" t="inlineStr">
        <is>
          <t>OVANÅKER</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19111-2024</t>
        </is>
      </c>
      <c r="B10624" s="1" t="n">
        <v>45428</v>
      </c>
      <c r="C10624" s="1" t="n">
        <v>45677</v>
      </c>
      <c r="D10624" t="inlineStr">
        <is>
          <t>GÄVLEBORGS LÄN</t>
        </is>
      </c>
      <c r="E10624" t="inlineStr">
        <is>
          <t>SÖDERHAMN</t>
        </is>
      </c>
      <c r="F10624" t="inlineStr">
        <is>
          <t>Bergvik skog väst AB</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19141-2024</t>
        </is>
      </c>
      <c r="B10625" s="1" t="n">
        <v>45428</v>
      </c>
      <c r="C10625" s="1" t="n">
        <v>45677</v>
      </c>
      <c r="D10625" t="inlineStr">
        <is>
          <t>GÄVLEBORGS LÄN</t>
        </is>
      </c>
      <c r="E10625" t="inlineStr">
        <is>
          <t>BOLLNÄS</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19169-2024</t>
        </is>
      </c>
      <c r="B10626" s="1" t="n">
        <v>45428</v>
      </c>
      <c r="C10626" s="1" t="n">
        <v>45677</v>
      </c>
      <c r="D10626" t="inlineStr">
        <is>
          <t>GÄVLEBORGS LÄN</t>
        </is>
      </c>
      <c r="E10626" t="inlineStr">
        <is>
          <t>SÖDERHAMN</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19177-2024</t>
        </is>
      </c>
      <c r="B10627" s="1" t="n">
        <v>45428</v>
      </c>
      <c r="C10627" s="1" t="n">
        <v>45677</v>
      </c>
      <c r="D10627" t="inlineStr">
        <is>
          <t>GÄVLEBORGS LÄN</t>
        </is>
      </c>
      <c r="E10627" t="inlineStr">
        <is>
          <t>OVANÅKER</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19186-2024</t>
        </is>
      </c>
      <c r="B10628" s="1" t="n">
        <v>45428</v>
      </c>
      <c r="C10628" s="1" t="n">
        <v>45677</v>
      </c>
      <c r="D10628" t="inlineStr">
        <is>
          <t>GÄVLEBORGS LÄN</t>
        </is>
      </c>
      <c r="E10628" t="inlineStr">
        <is>
          <t>GÄVLE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19190-2024</t>
        </is>
      </c>
      <c r="B10629" s="1" t="n">
        <v>45428</v>
      </c>
      <c r="C10629" s="1" t="n">
        <v>45677</v>
      </c>
      <c r="D10629" t="inlineStr">
        <is>
          <t>GÄVLEBORGS LÄN</t>
        </is>
      </c>
      <c r="E10629" t="inlineStr">
        <is>
          <t>LJUSDAL</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19231-2024</t>
        </is>
      </c>
      <c r="B10630" s="1" t="n">
        <v>45428</v>
      </c>
      <c r="C10630" s="1" t="n">
        <v>45677</v>
      </c>
      <c r="D10630" t="inlineStr">
        <is>
          <t>GÄVLEBORGS LÄN</t>
        </is>
      </c>
      <c r="E10630" t="inlineStr">
        <is>
          <t>NORDANSTIG</t>
        </is>
      </c>
      <c r="F10630" t="inlineStr">
        <is>
          <t>Holmen skog AB</t>
        </is>
      </c>
      <c r="G10630" t="n">
        <v>21.5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19316-2024</t>
        </is>
      </c>
      <c r="B10631" s="1" t="n">
        <v>45428</v>
      </c>
      <c r="C10631" s="1" t="n">
        <v>45677</v>
      </c>
      <c r="D10631" t="inlineStr">
        <is>
          <t>GÄVLEBORGS LÄN</t>
        </is>
      </c>
      <c r="E10631" t="inlineStr">
        <is>
          <t>HUDIKSVALL</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19451-2024</t>
        </is>
      </c>
      <c r="B10632" s="1" t="n">
        <v>45429</v>
      </c>
      <c r="C10632" s="1" t="n">
        <v>45677</v>
      </c>
      <c r="D10632" t="inlineStr">
        <is>
          <t>GÄVLEBORGS LÄN</t>
        </is>
      </c>
      <c r="E10632" t="inlineStr">
        <is>
          <t>OCKELBO</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19495-2024</t>
        </is>
      </c>
      <c r="B10633" s="1" t="n">
        <v>45429</v>
      </c>
      <c r="C10633" s="1" t="n">
        <v>45677</v>
      </c>
      <c r="D10633" t="inlineStr">
        <is>
          <t>GÄVLEBORGS LÄN</t>
        </is>
      </c>
      <c r="E10633" t="inlineStr">
        <is>
          <t>OCKELBO</t>
        </is>
      </c>
      <c r="F10633" t="inlineStr">
        <is>
          <t>Bergvik skog väst AB</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19407-2024</t>
        </is>
      </c>
      <c r="B10634" s="1" t="n">
        <v>45429</v>
      </c>
      <c r="C10634" s="1" t="n">
        <v>45677</v>
      </c>
      <c r="D10634" t="inlineStr">
        <is>
          <t>GÄVLEBORGS LÄN</t>
        </is>
      </c>
      <c r="E10634" t="inlineStr">
        <is>
          <t>LJUSDAL</t>
        </is>
      </c>
      <c r="F10634" t="inlineStr">
        <is>
          <t>Sveaskog</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19441-2024</t>
        </is>
      </c>
      <c r="B10635" s="1" t="n">
        <v>45429</v>
      </c>
      <c r="C10635" s="1" t="n">
        <v>45677</v>
      </c>
      <c r="D10635" t="inlineStr">
        <is>
          <t>GÄVLEBORGS LÄN</t>
        </is>
      </c>
      <c r="E10635" t="inlineStr">
        <is>
          <t>SÖDERHAMN</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19477-2024</t>
        </is>
      </c>
      <c r="B10636" s="1" t="n">
        <v>45429</v>
      </c>
      <c r="C10636" s="1" t="n">
        <v>45677</v>
      </c>
      <c r="D10636" t="inlineStr">
        <is>
          <t>GÄVLEBORGS LÄN</t>
        </is>
      </c>
      <c r="E10636" t="inlineStr">
        <is>
          <t>BOLLNÄS</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19489-2024</t>
        </is>
      </c>
      <c r="B10637" s="1" t="n">
        <v>45429</v>
      </c>
      <c r="C10637" s="1" t="n">
        <v>45677</v>
      </c>
      <c r="D10637" t="inlineStr">
        <is>
          <t>GÄVLEBORGS LÄN</t>
        </is>
      </c>
      <c r="E10637" t="inlineStr">
        <is>
          <t>OCKELBO</t>
        </is>
      </c>
      <c r="F10637" t="inlineStr">
        <is>
          <t>Bergvik skog väst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19497-2024</t>
        </is>
      </c>
      <c r="B10638" s="1" t="n">
        <v>45429</v>
      </c>
      <c r="C10638" s="1" t="n">
        <v>45677</v>
      </c>
      <c r="D10638" t="inlineStr">
        <is>
          <t>GÄVLEBORGS LÄN</t>
        </is>
      </c>
      <c r="E10638" t="inlineStr">
        <is>
          <t>GÄVLE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19444-2024</t>
        </is>
      </c>
      <c r="B10639" s="1" t="n">
        <v>45429</v>
      </c>
      <c r="C10639" s="1" t="n">
        <v>45677</v>
      </c>
      <c r="D10639" t="inlineStr">
        <is>
          <t>GÄVLEBORGS LÄN</t>
        </is>
      </c>
      <c r="E10639" t="inlineStr">
        <is>
          <t>OCKELBO</t>
        </is>
      </c>
      <c r="F10639" t="inlineStr">
        <is>
          <t>Bergvik skog väst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19517-2024</t>
        </is>
      </c>
      <c r="B10640" s="1" t="n">
        <v>45429</v>
      </c>
      <c r="C10640" s="1" t="n">
        <v>45677</v>
      </c>
      <c r="D10640" t="inlineStr">
        <is>
          <t>GÄVLEBORGS LÄN</t>
        </is>
      </c>
      <c r="E10640" t="inlineStr">
        <is>
          <t>GÄVLE</t>
        </is>
      </c>
      <c r="F10640" t="inlineStr">
        <is>
          <t>Bergvik skog väst AB</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19569-2024</t>
        </is>
      </c>
      <c r="B10641" s="1" t="n">
        <v>45430</v>
      </c>
      <c r="C10641" s="1" t="n">
        <v>45677</v>
      </c>
      <c r="D10641" t="inlineStr">
        <is>
          <t>GÄVLEBORGS LÄN</t>
        </is>
      </c>
      <c r="E10641" t="inlineStr">
        <is>
          <t>NORDANSTIG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19499-2024</t>
        </is>
      </c>
      <c r="B10642" s="1" t="n">
        <v>45429</v>
      </c>
      <c r="C10642" s="1" t="n">
        <v>45677</v>
      </c>
      <c r="D10642" t="inlineStr">
        <is>
          <t>GÄVLEBORGS LÄN</t>
        </is>
      </c>
      <c r="E10642" t="inlineStr">
        <is>
          <t>BOLLNÄS</t>
        </is>
      </c>
      <c r="G10642" t="n">
        <v>12.4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19515-2024</t>
        </is>
      </c>
      <c r="B10643" s="1" t="n">
        <v>45429</v>
      </c>
      <c r="C10643" s="1" t="n">
        <v>45677</v>
      </c>
      <c r="D10643" t="inlineStr">
        <is>
          <t>GÄVLEBORGS LÄN</t>
        </is>
      </c>
      <c r="E10643" t="inlineStr">
        <is>
          <t>HUDIKSVALL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19568-2024</t>
        </is>
      </c>
      <c r="B10644" s="1" t="n">
        <v>45430</v>
      </c>
      <c r="C10644" s="1" t="n">
        <v>45677</v>
      </c>
      <c r="D10644" t="inlineStr">
        <is>
          <t>GÄVLEBORGS LÄN</t>
        </is>
      </c>
      <c r="E10644" t="inlineStr">
        <is>
          <t>NORDANSTIG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19522-2024</t>
        </is>
      </c>
      <c r="B10645" s="1" t="n">
        <v>45429</v>
      </c>
      <c r="C10645" s="1" t="n">
        <v>45677</v>
      </c>
      <c r="D10645" t="inlineStr">
        <is>
          <t>GÄVLEBORGS LÄN</t>
        </is>
      </c>
      <c r="E10645" t="inlineStr">
        <is>
          <t>OVANÅKER</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19547-2024</t>
        </is>
      </c>
      <c r="B10646" s="1" t="n">
        <v>45429</v>
      </c>
      <c r="C10646" s="1" t="n">
        <v>45677</v>
      </c>
      <c r="D10646" t="inlineStr">
        <is>
          <t>GÄVLEBORGS LÄN</t>
        </is>
      </c>
      <c r="E10646" t="inlineStr">
        <is>
          <t>OVANÅKER</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19567-2024</t>
        </is>
      </c>
      <c r="B10647" s="1" t="n">
        <v>45430</v>
      </c>
      <c r="C10647" s="1" t="n">
        <v>45677</v>
      </c>
      <c r="D10647" t="inlineStr">
        <is>
          <t>GÄVLEBORGS LÄN</t>
        </is>
      </c>
      <c r="E10647" t="inlineStr">
        <is>
          <t>NORDANSTIG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19600-2024</t>
        </is>
      </c>
      <c r="B10648" s="1" t="n">
        <v>45431</v>
      </c>
      <c r="C10648" s="1" t="n">
        <v>45677</v>
      </c>
      <c r="D10648" t="inlineStr">
        <is>
          <t>GÄVLEBORGS LÄN</t>
        </is>
      </c>
      <c r="E10648" t="inlineStr">
        <is>
          <t>HUDIKSVALL</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19603-2024</t>
        </is>
      </c>
      <c r="B10649" s="1" t="n">
        <v>45431</v>
      </c>
      <c r="C10649" s="1" t="n">
        <v>45677</v>
      </c>
      <c r="D10649" t="inlineStr">
        <is>
          <t>GÄVLEBORGS LÄN</t>
        </is>
      </c>
      <c r="E10649" t="inlineStr">
        <is>
          <t>HUDIKSVALL</t>
        </is>
      </c>
      <c r="F10649" t="inlineStr">
        <is>
          <t>Holmen skog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19601-2024</t>
        </is>
      </c>
      <c r="B10650" s="1" t="n">
        <v>45431</v>
      </c>
      <c r="C10650" s="1" t="n">
        <v>45677</v>
      </c>
      <c r="D10650" t="inlineStr">
        <is>
          <t>GÄVLEBORGS LÄN</t>
        </is>
      </c>
      <c r="E10650" t="inlineStr">
        <is>
          <t>HUDIKSVALL</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19666-2024</t>
        </is>
      </c>
      <c r="B10651" s="1" t="n">
        <v>45432</v>
      </c>
      <c r="C10651" s="1" t="n">
        <v>45677</v>
      </c>
      <c r="D10651" t="inlineStr">
        <is>
          <t>GÄVLEBORGS LÄN</t>
        </is>
      </c>
      <c r="E10651" t="inlineStr">
        <is>
          <t>SANDVIKEN</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19682-2024</t>
        </is>
      </c>
      <c r="B10652" s="1" t="n">
        <v>45432</v>
      </c>
      <c r="C10652" s="1" t="n">
        <v>45677</v>
      </c>
      <c r="D10652" t="inlineStr">
        <is>
          <t>GÄVLEBORGS LÄN</t>
        </is>
      </c>
      <c r="E10652" t="inlineStr">
        <is>
          <t>HUDIKSVALL</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19706-2024</t>
        </is>
      </c>
      <c r="B10653" s="1" t="n">
        <v>45432</v>
      </c>
      <c r="C10653" s="1" t="n">
        <v>45677</v>
      </c>
      <c r="D10653" t="inlineStr">
        <is>
          <t>GÄVLEBORGS LÄN</t>
        </is>
      </c>
      <c r="E10653" t="inlineStr">
        <is>
          <t>HUDIKSVALL</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19734-2024</t>
        </is>
      </c>
      <c r="B10654" s="1" t="n">
        <v>45432</v>
      </c>
      <c r="C10654" s="1" t="n">
        <v>45677</v>
      </c>
      <c r="D10654" t="inlineStr">
        <is>
          <t>GÄVLEBORGS LÄN</t>
        </is>
      </c>
      <c r="E10654" t="inlineStr">
        <is>
          <t>NORDANSTIG</t>
        </is>
      </c>
      <c r="F10654" t="inlineStr">
        <is>
          <t>Holmen skog AB</t>
        </is>
      </c>
      <c r="G10654" t="n">
        <v>23.3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19663-2024</t>
        </is>
      </c>
      <c r="B10655" s="1" t="n">
        <v>45432</v>
      </c>
      <c r="C10655" s="1" t="n">
        <v>45677</v>
      </c>
      <c r="D10655" t="inlineStr">
        <is>
          <t>GÄVLEBORGS LÄN</t>
        </is>
      </c>
      <c r="E10655" t="inlineStr">
        <is>
          <t>HUDIKSVALL</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19671-2024</t>
        </is>
      </c>
      <c r="B10656" s="1" t="n">
        <v>45432</v>
      </c>
      <c r="C10656" s="1" t="n">
        <v>45677</v>
      </c>
      <c r="D10656" t="inlineStr">
        <is>
          <t>GÄVLEBORGS LÄN</t>
        </is>
      </c>
      <c r="E10656" t="inlineStr">
        <is>
          <t>HUDIKSVALL</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19757-2024</t>
        </is>
      </c>
      <c r="B10657" s="1" t="n">
        <v>45432</v>
      </c>
      <c r="C10657" s="1" t="n">
        <v>45677</v>
      </c>
      <c r="D10657" t="inlineStr">
        <is>
          <t>GÄVLEBORGS LÄN</t>
        </is>
      </c>
      <c r="E10657" t="inlineStr">
        <is>
          <t>OCKELBO</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19762-2024</t>
        </is>
      </c>
      <c r="B10658" s="1" t="n">
        <v>45432</v>
      </c>
      <c r="C10658" s="1" t="n">
        <v>45677</v>
      </c>
      <c r="D10658" t="inlineStr">
        <is>
          <t>GÄVLEBORGS LÄN</t>
        </is>
      </c>
      <c r="E10658" t="inlineStr">
        <is>
          <t>OCKELBO</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19657-2024</t>
        </is>
      </c>
      <c r="B10659" s="1" t="n">
        <v>45432</v>
      </c>
      <c r="C10659" s="1" t="n">
        <v>45677</v>
      </c>
      <c r="D10659" t="inlineStr">
        <is>
          <t>GÄVLEBORGS LÄN</t>
        </is>
      </c>
      <c r="E10659" t="inlineStr">
        <is>
          <t>OCKELBO</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19641-2024</t>
        </is>
      </c>
      <c r="B10660" s="1" t="n">
        <v>45432</v>
      </c>
      <c r="C10660" s="1" t="n">
        <v>45677</v>
      </c>
      <c r="D10660" t="inlineStr">
        <is>
          <t>GÄVLEBORGS LÄN</t>
        </is>
      </c>
      <c r="E10660" t="inlineStr">
        <is>
          <t>LJUSDAL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19658-2024</t>
        </is>
      </c>
      <c r="B10661" s="1" t="n">
        <v>45432</v>
      </c>
      <c r="C10661" s="1" t="n">
        <v>45677</v>
      </c>
      <c r="D10661" t="inlineStr">
        <is>
          <t>GÄVLEBORGS LÄN</t>
        </is>
      </c>
      <c r="E10661" t="inlineStr">
        <is>
          <t>HUDIKSVALL</t>
        </is>
      </c>
      <c r="G10661" t="n">
        <v>13.4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19647-2024</t>
        </is>
      </c>
      <c r="B10662" s="1" t="n">
        <v>45432</v>
      </c>
      <c r="C10662" s="1" t="n">
        <v>45677</v>
      </c>
      <c r="D10662" t="inlineStr">
        <is>
          <t>GÄVLEBORGS LÄN</t>
        </is>
      </c>
      <c r="E10662" t="inlineStr">
        <is>
          <t>LJUSDAL</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19637-2024</t>
        </is>
      </c>
      <c r="B10663" s="1" t="n">
        <v>45432</v>
      </c>
      <c r="C10663" s="1" t="n">
        <v>45677</v>
      </c>
      <c r="D10663" t="inlineStr">
        <is>
          <t>GÄVLEBORGS LÄN</t>
        </is>
      </c>
      <c r="E10663" t="inlineStr">
        <is>
          <t>LJUSDAL</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19633-2024</t>
        </is>
      </c>
      <c r="B10664" s="1" t="n">
        <v>45432</v>
      </c>
      <c r="C10664" s="1" t="n">
        <v>45677</v>
      </c>
      <c r="D10664" t="inlineStr">
        <is>
          <t>GÄVLEBORGS LÄN</t>
        </is>
      </c>
      <c r="E10664" t="inlineStr">
        <is>
          <t>LJUSDAL</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19626-2024</t>
        </is>
      </c>
      <c r="B10665" s="1" t="n">
        <v>45432</v>
      </c>
      <c r="C10665" s="1" t="n">
        <v>45677</v>
      </c>
      <c r="D10665" t="inlineStr">
        <is>
          <t>GÄVLEBORGS LÄN</t>
        </is>
      </c>
      <c r="E10665" t="inlineStr">
        <is>
          <t>HUDIKSVALL</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19632-2024</t>
        </is>
      </c>
      <c r="B10666" s="1" t="n">
        <v>45432</v>
      </c>
      <c r="C10666" s="1" t="n">
        <v>45677</v>
      </c>
      <c r="D10666" t="inlineStr">
        <is>
          <t>GÄVLEBORGS LÄN</t>
        </is>
      </c>
      <c r="E10666" t="inlineStr">
        <is>
          <t>OVANÅKER</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19646-2024</t>
        </is>
      </c>
      <c r="B10667" s="1" t="n">
        <v>45432</v>
      </c>
      <c r="C10667" s="1" t="n">
        <v>45677</v>
      </c>
      <c r="D10667" t="inlineStr">
        <is>
          <t>GÄVLEBORGS LÄN</t>
        </is>
      </c>
      <c r="E10667" t="inlineStr">
        <is>
          <t>LJUSDAL</t>
        </is>
      </c>
      <c r="F10667" t="inlineStr">
        <is>
          <t>Bergvik skog väst AB</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19642-2024</t>
        </is>
      </c>
      <c r="B10668" s="1" t="n">
        <v>45432</v>
      </c>
      <c r="C10668" s="1" t="n">
        <v>45677</v>
      </c>
      <c r="D10668" t="inlineStr">
        <is>
          <t>GÄVLEBORGS LÄN</t>
        </is>
      </c>
      <c r="E10668" t="inlineStr">
        <is>
          <t>LJUSDAL</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19629-2024</t>
        </is>
      </c>
      <c r="B10669" s="1" t="n">
        <v>45432</v>
      </c>
      <c r="C10669" s="1" t="n">
        <v>45677</v>
      </c>
      <c r="D10669" t="inlineStr">
        <is>
          <t>GÄVLEBORGS LÄN</t>
        </is>
      </c>
      <c r="E10669" t="inlineStr">
        <is>
          <t>OVANÅKER</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19652-2024</t>
        </is>
      </c>
      <c r="B10670" s="1" t="n">
        <v>45432</v>
      </c>
      <c r="C10670" s="1" t="n">
        <v>45677</v>
      </c>
      <c r="D10670" t="inlineStr">
        <is>
          <t>GÄVLEBORGS LÄN</t>
        </is>
      </c>
      <c r="E10670" t="inlineStr">
        <is>
          <t>SÖDERHAMN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19656-2024</t>
        </is>
      </c>
      <c r="B10671" s="1" t="n">
        <v>45432</v>
      </c>
      <c r="C10671" s="1" t="n">
        <v>45677</v>
      </c>
      <c r="D10671" t="inlineStr">
        <is>
          <t>GÄVLEBORGS LÄN</t>
        </is>
      </c>
      <c r="E10671" t="inlineStr">
        <is>
          <t>OVANÅKER</t>
        </is>
      </c>
      <c r="G10671" t="n">
        <v>9.4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19617-2024</t>
        </is>
      </c>
      <c r="B10672" s="1" t="n">
        <v>45432</v>
      </c>
      <c r="C10672" s="1" t="n">
        <v>45677</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19696-2024</t>
        </is>
      </c>
      <c r="B10673" s="1" t="n">
        <v>45432</v>
      </c>
      <c r="C10673" s="1" t="n">
        <v>45677</v>
      </c>
      <c r="D10673" t="inlineStr">
        <is>
          <t>GÄVLEBORGS LÄN</t>
        </is>
      </c>
      <c r="E10673" t="inlineStr">
        <is>
          <t>SÖDERHAMN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19724-2024</t>
        </is>
      </c>
      <c r="B10674" s="1" t="n">
        <v>45432</v>
      </c>
      <c r="C10674" s="1" t="n">
        <v>45677</v>
      </c>
      <c r="D10674" t="inlineStr">
        <is>
          <t>GÄVLEBORGS LÄN</t>
        </is>
      </c>
      <c r="E10674" t="inlineStr">
        <is>
          <t>HUDIKSVALL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19736-2024</t>
        </is>
      </c>
      <c r="B10675" s="1" t="n">
        <v>45432</v>
      </c>
      <c r="C10675" s="1" t="n">
        <v>45677</v>
      </c>
      <c r="D10675" t="inlineStr">
        <is>
          <t>GÄVLEBORGS LÄN</t>
        </is>
      </c>
      <c r="E10675" t="inlineStr">
        <is>
          <t>HUDIKSVALL</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19756-2024</t>
        </is>
      </c>
      <c r="B10676" s="1" t="n">
        <v>45432</v>
      </c>
      <c r="C10676" s="1" t="n">
        <v>45677</v>
      </c>
      <c r="D10676" t="inlineStr">
        <is>
          <t>GÄVLEBORGS LÄN</t>
        </is>
      </c>
      <c r="E10676" t="inlineStr">
        <is>
          <t>OCKELBO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19797-2024</t>
        </is>
      </c>
      <c r="B10677" s="1" t="n">
        <v>45433</v>
      </c>
      <c r="C10677" s="1" t="n">
        <v>45677</v>
      </c>
      <c r="D10677" t="inlineStr">
        <is>
          <t>GÄVLEBORGS LÄN</t>
        </is>
      </c>
      <c r="E10677" t="inlineStr">
        <is>
          <t>LJUSDAL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19807-2024</t>
        </is>
      </c>
      <c r="B10678" s="1" t="n">
        <v>45433</v>
      </c>
      <c r="C10678" s="1" t="n">
        <v>45677</v>
      </c>
      <c r="D10678" t="inlineStr">
        <is>
          <t>GÄVLEBORGS LÄN</t>
        </is>
      </c>
      <c r="E10678" t="inlineStr">
        <is>
          <t>BOLLNÄS</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19813-2024</t>
        </is>
      </c>
      <c r="B10679" s="1" t="n">
        <v>45433</v>
      </c>
      <c r="C10679" s="1" t="n">
        <v>45677</v>
      </c>
      <c r="D10679" t="inlineStr">
        <is>
          <t>GÄVLEBORGS LÄN</t>
        </is>
      </c>
      <c r="E10679" t="inlineStr">
        <is>
          <t>LJUSDAL</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19821-2024</t>
        </is>
      </c>
      <c r="B10680" s="1" t="n">
        <v>45433</v>
      </c>
      <c r="C10680" s="1" t="n">
        <v>45677</v>
      </c>
      <c r="D10680" t="inlineStr">
        <is>
          <t>GÄVLEBORGS LÄN</t>
        </is>
      </c>
      <c r="E10680" t="inlineStr">
        <is>
          <t>SÖDERHAMN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19849-2024</t>
        </is>
      </c>
      <c r="B10681" s="1" t="n">
        <v>45433</v>
      </c>
      <c r="C10681" s="1" t="n">
        <v>45677</v>
      </c>
      <c r="D10681" t="inlineStr">
        <is>
          <t>GÄVLEBORGS LÄN</t>
        </is>
      </c>
      <c r="E10681" t="inlineStr">
        <is>
          <t>LJUSDAL</t>
        </is>
      </c>
      <c r="F10681" t="inlineStr">
        <is>
          <t>Sveaskog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19861-2024</t>
        </is>
      </c>
      <c r="B10682" s="1" t="n">
        <v>45433</v>
      </c>
      <c r="C10682" s="1" t="n">
        <v>45677</v>
      </c>
      <c r="D10682" t="inlineStr">
        <is>
          <t>GÄVLEBORGS LÄN</t>
        </is>
      </c>
      <c r="E10682" t="inlineStr">
        <is>
          <t>GÄVLE</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19843-2024</t>
        </is>
      </c>
      <c r="B10683" s="1" t="n">
        <v>45433</v>
      </c>
      <c r="C10683" s="1" t="n">
        <v>45677</v>
      </c>
      <c r="D10683" t="inlineStr">
        <is>
          <t>GÄVLEBORGS LÄN</t>
        </is>
      </c>
      <c r="E10683" t="inlineStr">
        <is>
          <t>SÖDERHAMN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19851-2024</t>
        </is>
      </c>
      <c r="B10684" s="1" t="n">
        <v>45433</v>
      </c>
      <c r="C10684" s="1" t="n">
        <v>45677</v>
      </c>
      <c r="D10684" t="inlineStr">
        <is>
          <t>GÄVLEBORGS LÄN</t>
        </is>
      </c>
      <c r="E10684" t="inlineStr">
        <is>
          <t>SÖDERHAMN</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19864-2024</t>
        </is>
      </c>
      <c r="B10685" s="1" t="n">
        <v>45433</v>
      </c>
      <c r="C10685" s="1" t="n">
        <v>45677</v>
      </c>
      <c r="D10685" t="inlineStr">
        <is>
          <t>GÄVLEBORGS LÄN</t>
        </is>
      </c>
      <c r="E10685" t="inlineStr">
        <is>
          <t>SANDVIKEN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19846-2024</t>
        </is>
      </c>
      <c r="B10686" s="1" t="n">
        <v>45433</v>
      </c>
      <c r="C10686" s="1" t="n">
        <v>45677</v>
      </c>
      <c r="D10686" t="inlineStr">
        <is>
          <t>GÄVLEBORGS LÄN</t>
        </is>
      </c>
      <c r="E10686" t="inlineStr">
        <is>
          <t>SÖDERHAMN</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19916-2024</t>
        </is>
      </c>
      <c r="B10687" s="1" t="n">
        <v>45433</v>
      </c>
      <c r="C10687" s="1" t="n">
        <v>45677</v>
      </c>
      <c r="D10687" t="inlineStr">
        <is>
          <t>GÄVLEBORGS LÄN</t>
        </is>
      </c>
      <c r="E10687" t="inlineStr">
        <is>
          <t>BOLLNÄS</t>
        </is>
      </c>
      <c r="F10687" t="inlineStr">
        <is>
          <t>Bergvik skog väst AB</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19936-2024</t>
        </is>
      </c>
      <c r="B10688" s="1" t="n">
        <v>45433</v>
      </c>
      <c r="C10688" s="1" t="n">
        <v>45677</v>
      </c>
      <c r="D10688" t="inlineStr">
        <is>
          <t>GÄVLEBORGS LÄN</t>
        </is>
      </c>
      <c r="E10688" t="inlineStr">
        <is>
          <t>BOLLNÄS</t>
        </is>
      </c>
      <c r="F10688" t="inlineStr">
        <is>
          <t>Bergvik skog väst AB</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19943-2024</t>
        </is>
      </c>
      <c r="B10689" s="1" t="n">
        <v>45433</v>
      </c>
      <c r="C10689" s="1" t="n">
        <v>45677</v>
      </c>
      <c r="D10689" t="inlineStr">
        <is>
          <t>GÄVLEBORGS LÄN</t>
        </is>
      </c>
      <c r="E10689" t="inlineStr">
        <is>
          <t>OCKELBO</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19993-2024</t>
        </is>
      </c>
      <c r="B10690" s="1" t="n">
        <v>45433</v>
      </c>
      <c r="C10690" s="1" t="n">
        <v>45677</v>
      </c>
      <c r="D10690" t="inlineStr">
        <is>
          <t>GÄVLEBORGS LÄN</t>
        </is>
      </c>
      <c r="E10690" t="inlineStr">
        <is>
          <t>HUDIKSVALL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19971-2024</t>
        </is>
      </c>
      <c r="B10691" s="1" t="n">
        <v>45433</v>
      </c>
      <c r="C10691" s="1" t="n">
        <v>45677</v>
      </c>
      <c r="D10691" t="inlineStr">
        <is>
          <t>GÄVLEBORGS LÄN</t>
        </is>
      </c>
      <c r="E10691" t="inlineStr">
        <is>
          <t>BOLLNÄS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19970-2024</t>
        </is>
      </c>
      <c r="B10692" s="1" t="n">
        <v>45433</v>
      </c>
      <c r="C10692" s="1" t="n">
        <v>45677</v>
      </c>
      <c r="D10692" t="inlineStr">
        <is>
          <t>GÄVLEBORGS LÄN</t>
        </is>
      </c>
      <c r="E10692" t="inlineStr">
        <is>
          <t>BOLLNÄS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19927-2024</t>
        </is>
      </c>
      <c r="B10693" s="1" t="n">
        <v>45433</v>
      </c>
      <c r="C10693" s="1" t="n">
        <v>45677</v>
      </c>
      <c r="D10693" t="inlineStr">
        <is>
          <t>GÄVLEBORGS LÄN</t>
        </is>
      </c>
      <c r="E10693" t="inlineStr">
        <is>
          <t>BOLLNÄS</t>
        </is>
      </c>
      <c r="F10693" t="inlineStr">
        <is>
          <t>Bergvik skog väst AB</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19948-2024</t>
        </is>
      </c>
      <c r="B10694" s="1" t="n">
        <v>45433</v>
      </c>
      <c r="C10694" s="1" t="n">
        <v>45677</v>
      </c>
      <c r="D10694" t="inlineStr">
        <is>
          <t>GÄVLEBORGS LÄN</t>
        </is>
      </c>
      <c r="E10694" t="inlineStr">
        <is>
          <t>GÄVLE</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19968-2024</t>
        </is>
      </c>
      <c r="B10695" s="1" t="n">
        <v>45433</v>
      </c>
      <c r="C10695" s="1" t="n">
        <v>45677</v>
      </c>
      <c r="D10695" t="inlineStr">
        <is>
          <t>GÄVLEBORGS LÄN</t>
        </is>
      </c>
      <c r="E10695" t="inlineStr">
        <is>
          <t>SANDVIKEN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19972-2024</t>
        </is>
      </c>
      <c r="B10696" s="1" t="n">
        <v>45433</v>
      </c>
      <c r="C10696" s="1" t="n">
        <v>45677</v>
      </c>
      <c r="D10696" t="inlineStr">
        <is>
          <t>GÄVLEBORGS LÄN</t>
        </is>
      </c>
      <c r="E10696" t="inlineStr">
        <is>
          <t>BOLLNÄS</t>
        </is>
      </c>
      <c r="G10696" t="n">
        <v>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20026-2024</t>
        </is>
      </c>
      <c r="B10697" s="1" t="n">
        <v>45434</v>
      </c>
      <c r="C10697" s="1" t="n">
        <v>45677</v>
      </c>
      <c r="D10697" t="inlineStr">
        <is>
          <t>GÄVLEBORGS LÄN</t>
        </is>
      </c>
      <c r="E10697" t="inlineStr">
        <is>
          <t>LJUSDAL</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20043-2024</t>
        </is>
      </c>
      <c r="B10698" s="1" t="n">
        <v>45434</v>
      </c>
      <c r="C10698" s="1" t="n">
        <v>45677</v>
      </c>
      <c r="D10698" t="inlineStr">
        <is>
          <t>GÄVLEBORGS LÄN</t>
        </is>
      </c>
      <c r="E10698" t="inlineStr">
        <is>
          <t>LJUSDAL</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20083-2024</t>
        </is>
      </c>
      <c r="B10699" s="1" t="n">
        <v>45434</v>
      </c>
      <c r="C10699" s="1" t="n">
        <v>45677</v>
      </c>
      <c r="D10699" t="inlineStr">
        <is>
          <t>GÄVLEBORGS LÄN</t>
        </is>
      </c>
      <c r="E10699" t="inlineStr">
        <is>
          <t>NORDANSTIG</t>
        </is>
      </c>
      <c r="F10699" t="inlineStr">
        <is>
          <t>Holmen skog AB</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20031-2024</t>
        </is>
      </c>
      <c r="B10700" s="1" t="n">
        <v>45434</v>
      </c>
      <c r="C10700" s="1" t="n">
        <v>45677</v>
      </c>
      <c r="D10700" t="inlineStr">
        <is>
          <t>GÄVLEBORGS LÄN</t>
        </is>
      </c>
      <c r="E10700" t="inlineStr">
        <is>
          <t>LJUSDAL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20044-2024</t>
        </is>
      </c>
      <c r="B10701" s="1" t="n">
        <v>45434</v>
      </c>
      <c r="C10701" s="1" t="n">
        <v>45677</v>
      </c>
      <c r="D10701" t="inlineStr">
        <is>
          <t>GÄVLEBORGS LÄN</t>
        </is>
      </c>
      <c r="E10701" t="inlineStr">
        <is>
          <t>NORDANSTIG</t>
        </is>
      </c>
      <c r="F10701" t="inlineStr">
        <is>
          <t>Holmen skog AB</t>
        </is>
      </c>
      <c r="G10701" t="n">
        <v>9.1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20024-2024</t>
        </is>
      </c>
      <c r="B10702" s="1" t="n">
        <v>45434</v>
      </c>
      <c r="C10702" s="1" t="n">
        <v>45677</v>
      </c>
      <c r="D10702" t="inlineStr">
        <is>
          <t>GÄVLEBORGS LÄN</t>
        </is>
      </c>
      <c r="E10702" t="inlineStr">
        <is>
          <t>HUDIKSVALL</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20032-2024</t>
        </is>
      </c>
      <c r="B10703" s="1" t="n">
        <v>45434</v>
      </c>
      <c r="C10703" s="1" t="n">
        <v>45677</v>
      </c>
      <c r="D10703" t="inlineStr">
        <is>
          <t>GÄVLEBORGS LÄN</t>
        </is>
      </c>
      <c r="E10703" t="inlineStr">
        <is>
          <t>LJUSDAL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20142-2024</t>
        </is>
      </c>
      <c r="B10704" s="1" t="n">
        <v>45434</v>
      </c>
      <c r="C10704" s="1" t="n">
        <v>45677</v>
      </c>
      <c r="D10704" t="inlineStr">
        <is>
          <t>GÄVLEBORGS LÄN</t>
        </is>
      </c>
      <c r="E10704" t="inlineStr">
        <is>
          <t>GÄVLE</t>
        </is>
      </c>
      <c r="F10704" t="inlineStr">
        <is>
          <t>Bergvik skog väst AB</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20049-2024</t>
        </is>
      </c>
      <c r="B10705" s="1" t="n">
        <v>45434</v>
      </c>
      <c r="C10705" s="1" t="n">
        <v>45677</v>
      </c>
      <c r="D10705" t="inlineStr">
        <is>
          <t>GÄVLEBORGS LÄN</t>
        </is>
      </c>
      <c r="E10705" t="inlineStr">
        <is>
          <t>OVANÅKER</t>
        </is>
      </c>
      <c r="F10705" t="inlineStr">
        <is>
          <t>Kyrkan</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20077-2024</t>
        </is>
      </c>
      <c r="B10706" s="1" t="n">
        <v>45434</v>
      </c>
      <c r="C10706" s="1" t="n">
        <v>45677</v>
      </c>
      <c r="D10706" t="inlineStr">
        <is>
          <t>GÄVLEBORGS LÄN</t>
        </is>
      </c>
      <c r="E10706" t="inlineStr">
        <is>
          <t>NORDANSTIG</t>
        </is>
      </c>
      <c r="F10706" t="inlineStr">
        <is>
          <t>Holmen skog AB</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20093-2024</t>
        </is>
      </c>
      <c r="B10707" s="1" t="n">
        <v>45434</v>
      </c>
      <c r="C10707" s="1" t="n">
        <v>45677</v>
      </c>
      <c r="D10707" t="inlineStr">
        <is>
          <t>GÄVLEBORGS LÄN</t>
        </is>
      </c>
      <c r="E10707" t="inlineStr">
        <is>
          <t>NORDANSTIG</t>
        </is>
      </c>
      <c r="F10707" t="inlineStr">
        <is>
          <t>Holmen skog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20218-2024</t>
        </is>
      </c>
      <c r="B10708" s="1" t="n">
        <v>45434</v>
      </c>
      <c r="C10708" s="1" t="n">
        <v>45677</v>
      </c>
      <c r="D10708" t="inlineStr">
        <is>
          <t>GÄVLEBORGS LÄN</t>
        </is>
      </c>
      <c r="E10708" t="inlineStr">
        <is>
          <t>LJUSDAL</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20189-2024</t>
        </is>
      </c>
      <c r="B10709" s="1" t="n">
        <v>45434</v>
      </c>
      <c r="C10709" s="1" t="n">
        <v>45677</v>
      </c>
      <c r="D10709" t="inlineStr">
        <is>
          <t>GÄVLEBORGS LÄN</t>
        </is>
      </c>
      <c r="E10709" t="inlineStr">
        <is>
          <t>SANDVIKEN</t>
        </is>
      </c>
      <c r="F10709" t="inlineStr">
        <is>
          <t>Sveaskog</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20229-2024</t>
        </is>
      </c>
      <c r="B10710" s="1" t="n">
        <v>45434</v>
      </c>
      <c r="C10710" s="1" t="n">
        <v>45677</v>
      </c>
      <c r="D10710" t="inlineStr">
        <is>
          <t>GÄVLEBORGS LÄN</t>
        </is>
      </c>
      <c r="E10710" t="inlineStr">
        <is>
          <t>GÄVLE</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20233-2024</t>
        </is>
      </c>
      <c r="B10711" s="1" t="n">
        <v>45434</v>
      </c>
      <c r="C10711" s="1" t="n">
        <v>45677</v>
      </c>
      <c r="D10711" t="inlineStr">
        <is>
          <t>GÄVLEBORGS LÄN</t>
        </is>
      </c>
      <c r="E10711" t="inlineStr">
        <is>
          <t>GÄVLE</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20265-2024</t>
        </is>
      </c>
      <c r="B10712" s="1" t="n">
        <v>45435</v>
      </c>
      <c r="C10712" s="1" t="n">
        <v>45677</v>
      </c>
      <c r="D10712" t="inlineStr">
        <is>
          <t>GÄVLEBORGS LÄN</t>
        </is>
      </c>
      <c r="E10712" t="inlineStr">
        <is>
          <t>OVANÅKER</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20143-2024</t>
        </is>
      </c>
      <c r="B10713" s="1" t="n">
        <v>45434</v>
      </c>
      <c r="C10713" s="1" t="n">
        <v>45677</v>
      </c>
      <c r="D10713" t="inlineStr">
        <is>
          <t>GÄVLEBORGS LÄN</t>
        </is>
      </c>
      <c r="E10713" t="inlineStr">
        <is>
          <t>GÄVLE</t>
        </is>
      </c>
      <c r="F10713" t="inlineStr">
        <is>
          <t>Bergvik skog väst AB</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20191-2024</t>
        </is>
      </c>
      <c r="B10714" s="1" t="n">
        <v>45434</v>
      </c>
      <c r="C10714" s="1" t="n">
        <v>45677</v>
      </c>
      <c r="D10714" t="inlineStr">
        <is>
          <t>GÄVLEBORGS LÄN</t>
        </is>
      </c>
      <c r="E10714" t="inlineStr">
        <is>
          <t>HOFORS</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20207-2024</t>
        </is>
      </c>
      <c r="B10715" s="1" t="n">
        <v>45434</v>
      </c>
      <c r="C10715" s="1" t="n">
        <v>45677</v>
      </c>
      <c r="D10715" t="inlineStr">
        <is>
          <t>GÄVLEBORGS LÄN</t>
        </is>
      </c>
      <c r="E10715" t="inlineStr">
        <is>
          <t>OCKELBO</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20219-2024</t>
        </is>
      </c>
      <c r="B10716" s="1" t="n">
        <v>45434</v>
      </c>
      <c r="C10716" s="1" t="n">
        <v>45677</v>
      </c>
      <c r="D10716" t="inlineStr">
        <is>
          <t>GÄVLEBORGS LÄN</t>
        </is>
      </c>
      <c r="E10716" t="inlineStr">
        <is>
          <t>BOLLNÄS</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20231-2024</t>
        </is>
      </c>
      <c r="B10717" s="1" t="n">
        <v>45434</v>
      </c>
      <c r="C10717" s="1" t="n">
        <v>45677</v>
      </c>
      <c r="D10717" t="inlineStr">
        <is>
          <t>GÄVLEBORGS LÄN</t>
        </is>
      </c>
      <c r="E10717" t="inlineStr">
        <is>
          <t>OCKELBO</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20266-2024</t>
        </is>
      </c>
      <c r="B10718" s="1" t="n">
        <v>45435</v>
      </c>
      <c r="C10718" s="1" t="n">
        <v>45677</v>
      </c>
      <c r="D10718" t="inlineStr">
        <is>
          <t>GÄVLEBORGS LÄN</t>
        </is>
      </c>
      <c r="E10718" t="inlineStr">
        <is>
          <t>OVANÅKER</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20224-2024</t>
        </is>
      </c>
      <c r="B10719" s="1" t="n">
        <v>45434</v>
      </c>
      <c r="C10719" s="1" t="n">
        <v>45677</v>
      </c>
      <c r="D10719" t="inlineStr">
        <is>
          <t>GÄVLEBORGS LÄN</t>
        </is>
      </c>
      <c r="E10719" t="inlineStr">
        <is>
          <t>BOLLNÄS</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20232-2024</t>
        </is>
      </c>
      <c r="B10720" s="1" t="n">
        <v>45434</v>
      </c>
      <c r="C10720" s="1" t="n">
        <v>45677</v>
      </c>
      <c r="D10720" t="inlineStr">
        <is>
          <t>GÄVLEBORGS LÄN</t>
        </is>
      </c>
      <c r="E10720" t="inlineStr">
        <is>
          <t>GÄVLE</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20264-2024</t>
        </is>
      </c>
      <c r="B10721" s="1" t="n">
        <v>45435</v>
      </c>
      <c r="C10721" s="1" t="n">
        <v>45677</v>
      </c>
      <c r="D10721" t="inlineStr">
        <is>
          <t>GÄVLEBORGS LÄN</t>
        </is>
      </c>
      <c r="E10721" t="inlineStr">
        <is>
          <t>OVANÅKER</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20332-2024</t>
        </is>
      </c>
      <c r="B10722" s="1" t="n">
        <v>45435</v>
      </c>
      <c r="C10722" s="1" t="n">
        <v>45677</v>
      </c>
      <c r="D10722" t="inlineStr">
        <is>
          <t>GÄVLEBORGS LÄN</t>
        </is>
      </c>
      <c r="E10722" t="inlineStr">
        <is>
          <t>LJUSDAL</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20434-2024</t>
        </is>
      </c>
      <c r="B10723" s="1" t="n">
        <v>45435</v>
      </c>
      <c r="C10723" s="1" t="n">
        <v>45677</v>
      </c>
      <c r="D10723" t="inlineStr">
        <is>
          <t>GÄVLEBORGS LÄN</t>
        </is>
      </c>
      <c r="E10723" t="inlineStr">
        <is>
          <t>NORDANSTIG</t>
        </is>
      </c>
      <c r="F10723" t="inlineStr">
        <is>
          <t>Holmen skog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20288-2024</t>
        </is>
      </c>
      <c r="B10724" s="1" t="n">
        <v>45435</v>
      </c>
      <c r="C10724" s="1" t="n">
        <v>45677</v>
      </c>
      <c r="D10724" t="inlineStr">
        <is>
          <t>GÄVLEBORGS LÄN</t>
        </is>
      </c>
      <c r="E10724" t="inlineStr">
        <is>
          <t>LJUSDAL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20317-2024</t>
        </is>
      </c>
      <c r="B10725" s="1" t="n">
        <v>45435</v>
      </c>
      <c r="C10725" s="1" t="n">
        <v>45677</v>
      </c>
      <c r="D10725" t="inlineStr">
        <is>
          <t>GÄVLEBORGS LÄN</t>
        </is>
      </c>
      <c r="E10725" t="inlineStr">
        <is>
          <t>LJUSDAL</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20335-2024</t>
        </is>
      </c>
      <c r="B10726" s="1" t="n">
        <v>45435</v>
      </c>
      <c r="C10726" s="1" t="n">
        <v>45677</v>
      </c>
      <c r="D10726" t="inlineStr">
        <is>
          <t>GÄVLEBORGS LÄN</t>
        </is>
      </c>
      <c r="E10726" t="inlineStr">
        <is>
          <t>LJUSDAL</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20339-2024</t>
        </is>
      </c>
      <c r="B10727" s="1" t="n">
        <v>45435</v>
      </c>
      <c r="C10727" s="1" t="n">
        <v>45677</v>
      </c>
      <c r="D10727" t="inlineStr">
        <is>
          <t>GÄVLEBORGS LÄN</t>
        </is>
      </c>
      <c r="E10727" t="inlineStr">
        <is>
          <t>LJUSDAL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20424-2024</t>
        </is>
      </c>
      <c r="B10728" s="1" t="n">
        <v>45435</v>
      </c>
      <c r="C10728" s="1" t="n">
        <v>45677</v>
      </c>
      <c r="D10728" t="inlineStr">
        <is>
          <t>GÄVLEBORGS LÄN</t>
        </is>
      </c>
      <c r="E10728" t="inlineStr">
        <is>
          <t>LJUSDAL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20338-2024</t>
        </is>
      </c>
      <c r="B10729" s="1" t="n">
        <v>45435</v>
      </c>
      <c r="C10729" s="1" t="n">
        <v>45677</v>
      </c>
      <c r="D10729" t="inlineStr">
        <is>
          <t>GÄVLEBORGS LÄN</t>
        </is>
      </c>
      <c r="E10729" t="inlineStr">
        <is>
          <t>GÄVLE</t>
        </is>
      </c>
      <c r="G10729" t="n">
        <v>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20386-2024</t>
        </is>
      </c>
      <c r="B10730" s="1" t="n">
        <v>45435</v>
      </c>
      <c r="C10730" s="1" t="n">
        <v>45677</v>
      </c>
      <c r="D10730" t="inlineStr">
        <is>
          <t>GÄVLEBORGS LÄN</t>
        </is>
      </c>
      <c r="E10730" t="inlineStr">
        <is>
          <t>NORDANSTIG</t>
        </is>
      </c>
      <c r="F10730" t="inlineStr">
        <is>
          <t>Holmen skog AB</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20456-2024</t>
        </is>
      </c>
      <c r="B10731" s="1" t="n">
        <v>45435</v>
      </c>
      <c r="C10731" s="1" t="n">
        <v>45677</v>
      </c>
      <c r="D10731" t="inlineStr">
        <is>
          <t>GÄVLEBORGS LÄN</t>
        </is>
      </c>
      <c r="E10731" t="inlineStr">
        <is>
          <t>SÖDERHAMN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20649-2024</t>
        </is>
      </c>
      <c r="B10732" s="1" t="n">
        <v>45436</v>
      </c>
      <c r="C10732" s="1" t="n">
        <v>45677</v>
      </c>
      <c r="D10732" t="inlineStr">
        <is>
          <t>GÄVLEBORGS LÄN</t>
        </is>
      </c>
      <c r="E10732" t="inlineStr">
        <is>
          <t>OVANÅKER</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20554-2024</t>
        </is>
      </c>
      <c r="B10733" s="1" t="n">
        <v>45436</v>
      </c>
      <c r="C10733" s="1" t="n">
        <v>45677</v>
      </c>
      <c r="D10733" t="inlineStr">
        <is>
          <t>GÄVLEBORGS LÄN</t>
        </is>
      </c>
      <c r="E10733" t="inlineStr">
        <is>
          <t>LJUSDAL</t>
        </is>
      </c>
      <c r="F10733" t="inlineStr">
        <is>
          <t>Sveaskog</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20548-2024</t>
        </is>
      </c>
      <c r="B10734" s="1" t="n">
        <v>45436</v>
      </c>
      <c r="C10734" s="1" t="n">
        <v>45677</v>
      </c>
      <c r="D10734" t="inlineStr">
        <is>
          <t>GÄVLEBORGS LÄN</t>
        </is>
      </c>
      <c r="E10734" t="inlineStr">
        <is>
          <t>LJUSDAL</t>
        </is>
      </c>
      <c r="F10734" t="inlineStr">
        <is>
          <t>Sveaskog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20572-2024</t>
        </is>
      </c>
      <c r="B10735" s="1" t="n">
        <v>45436</v>
      </c>
      <c r="C10735" s="1" t="n">
        <v>45677</v>
      </c>
      <c r="D10735" t="inlineStr">
        <is>
          <t>GÄVLEBORGS LÄN</t>
        </is>
      </c>
      <c r="E10735" t="inlineStr">
        <is>
          <t>BOLLNÄS</t>
        </is>
      </c>
      <c r="F10735" t="inlineStr">
        <is>
          <t>Bergvik skog väst AB</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20653-2024</t>
        </is>
      </c>
      <c r="B10736" s="1" t="n">
        <v>45436</v>
      </c>
      <c r="C10736" s="1" t="n">
        <v>45677</v>
      </c>
      <c r="D10736" t="inlineStr">
        <is>
          <t>GÄVLEBORGS LÄN</t>
        </is>
      </c>
      <c r="E10736" t="inlineStr">
        <is>
          <t>LJUSDAL</t>
        </is>
      </c>
      <c r="F10736" t="inlineStr">
        <is>
          <t>Sveaskog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20691-2024</t>
        </is>
      </c>
      <c r="B10737" s="1" t="n">
        <v>45436</v>
      </c>
      <c r="C10737" s="1" t="n">
        <v>45677</v>
      </c>
      <c r="D10737" t="inlineStr">
        <is>
          <t>GÄVLEBORGS LÄN</t>
        </is>
      </c>
      <c r="E10737" t="inlineStr">
        <is>
          <t>HUDIKSVALL</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20715-2024</t>
        </is>
      </c>
      <c r="B10738" s="1" t="n">
        <v>45436</v>
      </c>
      <c r="C10738" s="1" t="n">
        <v>45677</v>
      </c>
      <c r="D10738" t="inlineStr">
        <is>
          <t>GÄVLEBORGS LÄN</t>
        </is>
      </c>
      <c r="E10738" t="inlineStr">
        <is>
          <t>HUDIKSVALL</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20549-2024</t>
        </is>
      </c>
      <c r="B10739" s="1" t="n">
        <v>45436</v>
      </c>
      <c r="C10739" s="1" t="n">
        <v>45677</v>
      </c>
      <c r="D10739" t="inlineStr">
        <is>
          <t>GÄVLEBORGS LÄN</t>
        </is>
      </c>
      <c r="E10739" t="inlineStr">
        <is>
          <t>LJUSDAL</t>
        </is>
      </c>
      <c r="F10739" t="inlineStr">
        <is>
          <t>Sveaskog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20717-2024</t>
        </is>
      </c>
      <c r="B10740" s="1" t="n">
        <v>45436</v>
      </c>
      <c r="C10740" s="1" t="n">
        <v>45677</v>
      </c>
      <c r="D10740" t="inlineStr">
        <is>
          <t>GÄVLEBORGS LÄN</t>
        </is>
      </c>
      <c r="E10740" t="inlineStr">
        <is>
          <t>SÖDERHAMN</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20689-2024</t>
        </is>
      </c>
      <c r="B10741" s="1" t="n">
        <v>45436</v>
      </c>
      <c r="C10741" s="1" t="n">
        <v>45677</v>
      </c>
      <c r="D10741" t="inlineStr">
        <is>
          <t>GÄVLEBORGS LÄN</t>
        </is>
      </c>
      <c r="E10741" t="inlineStr">
        <is>
          <t>GÄVLE</t>
        </is>
      </c>
      <c r="G10741" t="n">
        <v>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20555-2024</t>
        </is>
      </c>
      <c r="B10742" s="1" t="n">
        <v>45436</v>
      </c>
      <c r="C10742" s="1" t="n">
        <v>45677</v>
      </c>
      <c r="D10742" t="inlineStr">
        <is>
          <t>GÄVLEBORGS LÄN</t>
        </is>
      </c>
      <c r="E10742" t="inlineStr">
        <is>
          <t>LJUSDAL</t>
        </is>
      </c>
      <c r="F10742" t="inlineStr">
        <is>
          <t>Sveaskog</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20619-2024</t>
        </is>
      </c>
      <c r="B10743" s="1" t="n">
        <v>45436</v>
      </c>
      <c r="C10743" s="1" t="n">
        <v>45677</v>
      </c>
      <c r="D10743" t="inlineStr">
        <is>
          <t>GÄVLEBORGS LÄN</t>
        </is>
      </c>
      <c r="E10743" t="inlineStr">
        <is>
          <t>BOLLNÄS</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20652-2024</t>
        </is>
      </c>
      <c r="B10744" s="1" t="n">
        <v>45436</v>
      </c>
      <c r="C10744" s="1" t="n">
        <v>45677</v>
      </c>
      <c r="D10744" t="inlineStr">
        <is>
          <t>GÄVLEBORGS LÄN</t>
        </is>
      </c>
      <c r="E10744" t="inlineStr">
        <is>
          <t>NORDANSTIG</t>
        </is>
      </c>
      <c r="F10744" t="inlineStr">
        <is>
          <t>Holmen skog AB</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20612-2024</t>
        </is>
      </c>
      <c r="B10745" s="1" t="n">
        <v>45436</v>
      </c>
      <c r="C10745" s="1" t="n">
        <v>45677</v>
      </c>
      <c r="D10745" t="inlineStr">
        <is>
          <t>GÄVLEBORGS LÄN</t>
        </is>
      </c>
      <c r="E10745" t="inlineStr">
        <is>
          <t>HUDIKSVALL</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20742-2024</t>
        </is>
      </c>
      <c r="B10746" s="1" t="n">
        <v>45436</v>
      </c>
      <c r="C10746" s="1" t="n">
        <v>45677</v>
      </c>
      <c r="D10746" t="inlineStr">
        <is>
          <t>GÄVLEBORGS LÄN</t>
        </is>
      </c>
      <c r="E10746" t="inlineStr">
        <is>
          <t>BOLLNÄS</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20787-2024</t>
        </is>
      </c>
      <c r="B10747" s="1" t="n">
        <v>45438</v>
      </c>
      <c r="C10747" s="1" t="n">
        <v>45677</v>
      </c>
      <c r="D10747" t="inlineStr">
        <is>
          <t>GÄVLEBORGS LÄN</t>
        </is>
      </c>
      <c r="E10747" t="inlineStr">
        <is>
          <t>LJUSDAL</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20893-2024</t>
        </is>
      </c>
      <c r="B10748" s="1" t="n">
        <v>45439</v>
      </c>
      <c r="C10748" s="1" t="n">
        <v>45677</v>
      </c>
      <c r="D10748" t="inlineStr">
        <is>
          <t>GÄVLEBORGS LÄN</t>
        </is>
      </c>
      <c r="E10748" t="inlineStr">
        <is>
          <t>GÄVLE</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20907-2024</t>
        </is>
      </c>
      <c r="B10749" s="1" t="n">
        <v>45439</v>
      </c>
      <c r="C10749" s="1" t="n">
        <v>45677</v>
      </c>
      <c r="D10749" t="inlineStr">
        <is>
          <t>GÄVLEBORGS LÄN</t>
        </is>
      </c>
      <c r="E10749" t="inlineStr">
        <is>
          <t>OCKELBO</t>
        </is>
      </c>
      <c r="F10749" t="inlineStr">
        <is>
          <t>Bergvik skog väst AB</t>
        </is>
      </c>
      <c r="G10749" t="n">
        <v>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20976-2024</t>
        </is>
      </c>
      <c r="B10750" s="1" t="n">
        <v>45439</v>
      </c>
      <c r="C10750" s="1" t="n">
        <v>45677</v>
      </c>
      <c r="D10750" t="inlineStr">
        <is>
          <t>GÄVLEBORGS LÄN</t>
        </is>
      </c>
      <c r="E10750" t="inlineStr">
        <is>
          <t>OVANÅKER</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20876-2024</t>
        </is>
      </c>
      <c r="B10751" s="1" t="n">
        <v>45439</v>
      </c>
      <c r="C10751" s="1" t="n">
        <v>45677</v>
      </c>
      <c r="D10751" t="inlineStr">
        <is>
          <t>GÄVLEBORGS LÄN</t>
        </is>
      </c>
      <c r="E10751" t="inlineStr">
        <is>
          <t>BOLLNÄS</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21019-2024</t>
        </is>
      </c>
      <c r="B10752" s="1" t="n">
        <v>45439</v>
      </c>
      <c r="C10752" s="1" t="n">
        <v>45677</v>
      </c>
      <c r="D10752" t="inlineStr">
        <is>
          <t>GÄVLEBORGS LÄN</t>
        </is>
      </c>
      <c r="E10752" t="inlineStr">
        <is>
          <t>HOFORS</t>
        </is>
      </c>
      <c r="F10752" t="inlineStr">
        <is>
          <t>Sveaskog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21027-2024</t>
        </is>
      </c>
      <c r="B10753" s="1" t="n">
        <v>45439</v>
      </c>
      <c r="C10753" s="1" t="n">
        <v>45677</v>
      </c>
      <c r="D10753" t="inlineStr">
        <is>
          <t>GÄVLEBORGS LÄN</t>
        </is>
      </c>
      <c r="E10753" t="inlineStr">
        <is>
          <t>HOFORS</t>
        </is>
      </c>
      <c r="F10753" t="inlineStr">
        <is>
          <t>Sveaskog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21061-2024</t>
        </is>
      </c>
      <c r="B10754" s="1" t="n">
        <v>45439</v>
      </c>
      <c r="C10754" s="1" t="n">
        <v>45677</v>
      </c>
      <c r="D10754" t="inlineStr">
        <is>
          <t>GÄVLEBORGS LÄN</t>
        </is>
      </c>
      <c r="E10754" t="inlineStr">
        <is>
          <t>NORDANSTIG</t>
        </is>
      </c>
      <c r="F10754" t="inlineStr">
        <is>
          <t>Holmen skog AB</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21070-2024</t>
        </is>
      </c>
      <c r="B10755" s="1" t="n">
        <v>45439</v>
      </c>
      <c r="C10755" s="1" t="n">
        <v>45677</v>
      </c>
      <c r="D10755" t="inlineStr">
        <is>
          <t>GÄVLEBORGS LÄN</t>
        </is>
      </c>
      <c r="E10755" t="inlineStr">
        <is>
          <t>LJUSDAL</t>
        </is>
      </c>
      <c r="F10755" t="inlineStr">
        <is>
          <t>Övriga Aktiebolag</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20897-2024</t>
        </is>
      </c>
      <c r="B10756" s="1" t="n">
        <v>45439</v>
      </c>
      <c r="C10756" s="1" t="n">
        <v>45677</v>
      </c>
      <c r="D10756" t="inlineStr">
        <is>
          <t>GÄVLEBORGS LÄN</t>
        </is>
      </c>
      <c r="E10756" t="inlineStr">
        <is>
          <t>LJUSDAL</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21063-2024</t>
        </is>
      </c>
      <c r="B10757" s="1" t="n">
        <v>45439</v>
      </c>
      <c r="C10757" s="1" t="n">
        <v>45677</v>
      </c>
      <c r="D10757" t="inlineStr">
        <is>
          <t>GÄVLEBORGS LÄN</t>
        </is>
      </c>
      <c r="E10757" t="inlineStr">
        <is>
          <t>NORDANSTIG</t>
        </is>
      </c>
      <c r="F10757" t="inlineStr">
        <is>
          <t>Holmen skog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21039-2024</t>
        </is>
      </c>
      <c r="B10758" s="1" t="n">
        <v>45439</v>
      </c>
      <c r="C10758" s="1" t="n">
        <v>45677</v>
      </c>
      <c r="D10758" t="inlineStr">
        <is>
          <t>GÄVLEBORGS LÄN</t>
        </is>
      </c>
      <c r="E10758" t="inlineStr">
        <is>
          <t>HOFORS</t>
        </is>
      </c>
      <c r="F10758" t="inlineStr">
        <is>
          <t>Sveaskog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20945-2024</t>
        </is>
      </c>
      <c r="B10759" s="1" t="n">
        <v>45439</v>
      </c>
      <c r="C10759" s="1" t="n">
        <v>45677</v>
      </c>
      <c r="D10759" t="inlineStr">
        <is>
          <t>GÄVLEBORGS LÄN</t>
        </is>
      </c>
      <c r="E10759" t="inlineStr">
        <is>
          <t>NORDANSTIG</t>
        </is>
      </c>
      <c r="F10759" t="inlineStr">
        <is>
          <t>Holmen skog AB</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20859-2024</t>
        </is>
      </c>
      <c r="B10760" s="1" t="n">
        <v>45439</v>
      </c>
      <c r="C10760" s="1" t="n">
        <v>45677</v>
      </c>
      <c r="D10760" t="inlineStr">
        <is>
          <t>GÄVLEBORGS LÄN</t>
        </is>
      </c>
      <c r="E10760" t="inlineStr">
        <is>
          <t>OCKELBO</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20956-2024</t>
        </is>
      </c>
      <c r="B10761" s="1" t="n">
        <v>45439</v>
      </c>
      <c r="C10761" s="1" t="n">
        <v>45677</v>
      </c>
      <c r="D10761" t="inlineStr">
        <is>
          <t>GÄVLEBORGS LÄN</t>
        </is>
      </c>
      <c r="E10761" t="inlineStr">
        <is>
          <t>LJUSDAL</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20908-2024</t>
        </is>
      </c>
      <c r="B10762" s="1" t="n">
        <v>45439</v>
      </c>
      <c r="C10762" s="1" t="n">
        <v>45677</v>
      </c>
      <c r="D10762" t="inlineStr">
        <is>
          <t>GÄVLEBORGS LÄN</t>
        </is>
      </c>
      <c r="E10762" t="inlineStr">
        <is>
          <t>GÄVLE</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20890-2024</t>
        </is>
      </c>
      <c r="B10763" s="1" t="n">
        <v>45439</v>
      </c>
      <c r="C10763" s="1" t="n">
        <v>45677</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21085-2024</t>
        </is>
      </c>
      <c r="B10764" s="1" t="n">
        <v>45439</v>
      </c>
      <c r="C10764" s="1" t="n">
        <v>45677</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21028-2024</t>
        </is>
      </c>
      <c r="B10765" s="1" t="n">
        <v>45439</v>
      </c>
      <c r="C10765" s="1" t="n">
        <v>45677</v>
      </c>
      <c r="D10765" t="inlineStr">
        <is>
          <t>GÄVLEBORGS LÄN</t>
        </is>
      </c>
      <c r="E10765" t="inlineStr">
        <is>
          <t>HOFORS</t>
        </is>
      </c>
      <c r="F10765" t="inlineStr">
        <is>
          <t>Sveaskog</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21156-2024</t>
        </is>
      </c>
      <c r="B10766" s="1" t="n">
        <v>45440</v>
      </c>
      <c r="C10766" s="1" t="n">
        <v>45677</v>
      </c>
      <c r="D10766" t="inlineStr">
        <is>
          <t>GÄVLEBORGS LÄN</t>
        </is>
      </c>
      <c r="E10766" t="inlineStr">
        <is>
          <t>HUDIKSVALL</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21246-2024</t>
        </is>
      </c>
      <c r="B10767" s="1" t="n">
        <v>45440</v>
      </c>
      <c r="C10767" s="1" t="n">
        <v>45677</v>
      </c>
      <c r="D10767" t="inlineStr">
        <is>
          <t>GÄVLEBORGS LÄN</t>
        </is>
      </c>
      <c r="E10767" t="inlineStr">
        <is>
          <t>GÄVLE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21254-2024</t>
        </is>
      </c>
      <c r="B10768" s="1" t="n">
        <v>45440</v>
      </c>
      <c r="C10768" s="1" t="n">
        <v>45677</v>
      </c>
      <c r="D10768" t="inlineStr">
        <is>
          <t>GÄVLEBORGS LÄN</t>
        </is>
      </c>
      <c r="E10768" t="inlineStr">
        <is>
          <t>HOFORS</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21194-2024</t>
        </is>
      </c>
      <c r="B10769" s="1" t="n">
        <v>45440</v>
      </c>
      <c r="C10769" s="1" t="n">
        <v>45677</v>
      </c>
      <c r="D10769" t="inlineStr">
        <is>
          <t>GÄVLEBORGS LÄN</t>
        </is>
      </c>
      <c r="E10769" t="inlineStr">
        <is>
          <t>LJUSDAL</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21175-2024</t>
        </is>
      </c>
      <c r="B10770" s="1" t="n">
        <v>45440</v>
      </c>
      <c r="C10770" s="1" t="n">
        <v>45677</v>
      </c>
      <c r="D10770" t="inlineStr">
        <is>
          <t>GÄVLEBORGS LÄN</t>
        </is>
      </c>
      <c r="E10770" t="inlineStr">
        <is>
          <t>NORDANSTIG</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21191-2024</t>
        </is>
      </c>
      <c r="B10771" s="1" t="n">
        <v>45440</v>
      </c>
      <c r="C10771" s="1" t="n">
        <v>45677</v>
      </c>
      <c r="D10771" t="inlineStr">
        <is>
          <t>GÄVLEBORGS LÄN</t>
        </is>
      </c>
      <c r="E10771" t="inlineStr">
        <is>
          <t>NORDANSTIG</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21239-2024</t>
        </is>
      </c>
      <c r="B10772" s="1" t="n">
        <v>45440</v>
      </c>
      <c r="C10772" s="1" t="n">
        <v>45677</v>
      </c>
      <c r="D10772" t="inlineStr">
        <is>
          <t>GÄVLEBORGS LÄN</t>
        </is>
      </c>
      <c r="E10772" t="inlineStr">
        <is>
          <t>GÄVLE</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21287-2024</t>
        </is>
      </c>
      <c r="B10773" s="1" t="n">
        <v>45440</v>
      </c>
      <c r="C10773" s="1" t="n">
        <v>45677</v>
      </c>
      <c r="D10773" t="inlineStr">
        <is>
          <t>GÄVLEBORGS LÄN</t>
        </is>
      </c>
      <c r="E10773" t="inlineStr">
        <is>
          <t>SÖDERHAMN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21300-2024</t>
        </is>
      </c>
      <c r="B10774" s="1" t="n">
        <v>45440</v>
      </c>
      <c r="C10774" s="1" t="n">
        <v>45677</v>
      </c>
      <c r="D10774" t="inlineStr">
        <is>
          <t>GÄVLEBORGS LÄN</t>
        </is>
      </c>
      <c r="E10774" t="inlineStr">
        <is>
          <t>GÄVLE</t>
        </is>
      </c>
      <c r="G10774" t="n">
        <v>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21273-2024</t>
        </is>
      </c>
      <c r="B10775" s="1" t="n">
        <v>45440</v>
      </c>
      <c r="C10775" s="1" t="n">
        <v>45677</v>
      </c>
      <c r="D10775" t="inlineStr">
        <is>
          <t>GÄVLEBORGS LÄN</t>
        </is>
      </c>
      <c r="E10775" t="inlineStr">
        <is>
          <t>GÄVLE</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21346-2024</t>
        </is>
      </c>
      <c r="B10776" s="1" t="n">
        <v>45441</v>
      </c>
      <c r="C10776" s="1" t="n">
        <v>45677</v>
      </c>
      <c r="D10776" t="inlineStr">
        <is>
          <t>GÄVLEBORGS LÄN</t>
        </is>
      </c>
      <c r="E10776" t="inlineStr">
        <is>
          <t>LJUSDAL</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21289-2024</t>
        </is>
      </c>
      <c r="B10777" s="1" t="n">
        <v>45440</v>
      </c>
      <c r="C10777" s="1" t="n">
        <v>45677</v>
      </c>
      <c r="D10777" t="inlineStr">
        <is>
          <t>GÄVLEBORGS LÄN</t>
        </is>
      </c>
      <c r="E10777" t="inlineStr">
        <is>
          <t>OCKELBO</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21293-2024</t>
        </is>
      </c>
      <c r="B10778" s="1" t="n">
        <v>45440</v>
      </c>
      <c r="C10778" s="1" t="n">
        <v>45677</v>
      </c>
      <c r="D10778" t="inlineStr">
        <is>
          <t>GÄVLEBORGS LÄN</t>
        </is>
      </c>
      <c r="E10778" t="inlineStr">
        <is>
          <t>OCKELBO</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21121-2024</t>
        </is>
      </c>
      <c r="B10779" s="1" t="n">
        <v>45440</v>
      </c>
      <c r="C10779" s="1" t="n">
        <v>45677</v>
      </c>
      <c r="D10779" t="inlineStr">
        <is>
          <t>GÄVLEBORGS LÄN</t>
        </is>
      </c>
      <c r="E10779" t="inlineStr">
        <is>
          <t>SANDVIKEN</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21316-2024</t>
        </is>
      </c>
      <c r="B10780" s="1" t="n">
        <v>45440</v>
      </c>
      <c r="C10780" s="1" t="n">
        <v>45677</v>
      </c>
      <c r="D10780" t="inlineStr">
        <is>
          <t>GÄVLEBORGS LÄN</t>
        </is>
      </c>
      <c r="E10780" t="inlineStr">
        <is>
          <t>SÖDERHAMN</t>
        </is>
      </c>
      <c r="F10780" t="inlineStr">
        <is>
          <t>Kommuner</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21347-2024</t>
        </is>
      </c>
      <c r="B10781" s="1" t="n">
        <v>45441</v>
      </c>
      <c r="C10781" s="1" t="n">
        <v>45677</v>
      </c>
      <c r="D10781" t="inlineStr">
        <is>
          <t>GÄVLEBORGS LÄN</t>
        </is>
      </c>
      <c r="E10781" t="inlineStr">
        <is>
          <t>LJUSDAL</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21395-2024</t>
        </is>
      </c>
      <c r="B10782" s="1" t="n">
        <v>45441</v>
      </c>
      <c r="C10782" s="1" t="n">
        <v>45677</v>
      </c>
      <c r="D10782" t="inlineStr">
        <is>
          <t>GÄVLEBORGS LÄN</t>
        </is>
      </c>
      <c r="E10782" t="inlineStr">
        <is>
          <t>OCKELBO</t>
        </is>
      </c>
      <c r="F10782" t="inlineStr">
        <is>
          <t>Bergvik skog väst AB</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21429-2024</t>
        </is>
      </c>
      <c r="B10783" s="1" t="n">
        <v>45441</v>
      </c>
      <c r="C10783" s="1" t="n">
        <v>45677</v>
      </c>
      <c r="D10783" t="inlineStr">
        <is>
          <t>GÄVLEBORGS LÄN</t>
        </is>
      </c>
      <c r="E10783" t="inlineStr">
        <is>
          <t>OVANÅKER</t>
        </is>
      </c>
      <c r="F10783" t="inlineStr">
        <is>
          <t>Kyrkan</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21441-2024</t>
        </is>
      </c>
      <c r="B10784" s="1" t="n">
        <v>45441</v>
      </c>
      <c r="C10784" s="1" t="n">
        <v>45677</v>
      </c>
      <c r="D10784" t="inlineStr">
        <is>
          <t>GÄVLEBORGS LÄN</t>
        </is>
      </c>
      <c r="E10784" t="inlineStr">
        <is>
          <t>LJUSDAL</t>
        </is>
      </c>
      <c r="F10784" t="inlineStr">
        <is>
          <t>Bergvik skog väst AB</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21418-2024</t>
        </is>
      </c>
      <c r="B10785" s="1" t="n">
        <v>45441</v>
      </c>
      <c r="C10785" s="1" t="n">
        <v>45677</v>
      </c>
      <c r="D10785" t="inlineStr">
        <is>
          <t>GÄVLEBORGS LÄN</t>
        </is>
      </c>
      <c r="E10785" t="inlineStr">
        <is>
          <t>OCKELBO</t>
        </is>
      </c>
      <c r="F10785" t="inlineStr">
        <is>
          <t>Bergvik skog väst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21570-2024</t>
        </is>
      </c>
      <c r="B10786" s="1" t="n">
        <v>45441</v>
      </c>
      <c r="C10786" s="1" t="n">
        <v>45677</v>
      </c>
      <c r="D10786" t="inlineStr">
        <is>
          <t>GÄVLEBORGS LÄN</t>
        </is>
      </c>
      <c r="E10786" t="inlineStr">
        <is>
          <t>LJUSDAL</t>
        </is>
      </c>
      <c r="F10786" t="inlineStr">
        <is>
          <t>Bergvik skog väst AB</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21582-2024</t>
        </is>
      </c>
      <c r="B10787" s="1" t="n">
        <v>45441</v>
      </c>
      <c r="C10787" s="1" t="n">
        <v>45677</v>
      </c>
      <c r="D10787" t="inlineStr">
        <is>
          <t>GÄVLEBORGS LÄN</t>
        </is>
      </c>
      <c r="E10787" t="inlineStr">
        <is>
          <t>OCKELBO</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21563-2024</t>
        </is>
      </c>
      <c r="B10788" s="1" t="n">
        <v>45441</v>
      </c>
      <c r="C10788" s="1" t="n">
        <v>45677</v>
      </c>
      <c r="D10788" t="inlineStr">
        <is>
          <t>GÄVLEBORGS LÄN</t>
        </is>
      </c>
      <c r="E10788" t="inlineStr">
        <is>
          <t>LJUSDAL</t>
        </is>
      </c>
      <c r="F10788" t="inlineStr">
        <is>
          <t>Bergvik skog väst AB</t>
        </is>
      </c>
      <c r="G10788" t="n">
        <v>12.9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21465-2024</t>
        </is>
      </c>
      <c r="B10789" s="1" t="n">
        <v>45441</v>
      </c>
      <c r="C10789" s="1" t="n">
        <v>45677</v>
      </c>
      <c r="D10789" t="inlineStr">
        <is>
          <t>GÄVLEBORGS LÄN</t>
        </is>
      </c>
      <c r="E10789" t="inlineStr">
        <is>
          <t>LJUSDAL</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21734-2024</t>
        </is>
      </c>
      <c r="B10790" s="1" t="n">
        <v>45442</v>
      </c>
      <c r="C10790" s="1" t="n">
        <v>45677</v>
      </c>
      <c r="D10790" t="inlineStr">
        <is>
          <t>GÄVLEBORGS LÄN</t>
        </is>
      </c>
      <c r="E10790" t="inlineStr">
        <is>
          <t>OCKELBO</t>
        </is>
      </c>
      <c r="F10790" t="inlineStr">
        <is>
          <t>Bergvik skog väst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21750-2024</t>
        </is>
      </c>
      <c r="B10791" s="1" t="n">
        <v>45442</v>
      </c>
      <c r="C10791" s="1" t="n">
        <v>45677</v>
      </c>
      <c r="D10791" t="inlineStr">
        <is>
          <t>GÄVLEBORGS LÄN</t>
        </is>
      </c>
      <c r="E10791" t="inlineStr">
        <is>
          <t>HOFORS</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21709-2024</t>
        </is>
      </c>
      <c r="B10792" s="1" t="n">
        <v>45442</v>
      </c>
      <c r="C10792" s="1" t="n">
        <v>45677</v>
      </c>
      <c r="D10792" t="inlineStr">
        <is>
          <t>GÄVLEBORGS LÄN</t>
        </is>
      </c>
      <c r="E10792" t="inlineStr">
        <is>
          <t>LJUSDAL</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21672-2024</t>
        </is>
      </c>
      <c r="B10793" s="1" t="n">
        <v>45442</v>
      </c>
      <c r="C10793" s="1" t="n">
        <v>45677</v>
      </c>
      <c r="D10793" t="inlineStr">
        <is>
          <t>GÄVLEBORGS LÄN</t>
        </is>
      </c>
      <c r="E10793" t="inlineStr">
        <is>
          <t>NORDANSTIG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21741-2024</t>
        </is>
      </c>
      <c r="B10794" s="1" t="n">
        <v>45442</v>
      </c>
      <c r="C10794" s="1" t="n">
        <v>45677</v>
      </c>
      <c r="D10794" t="inlineStr">
        <is>
          <t>GÄVLEBORGS LÄN</t>
        </is>
      </c>
      <c r="E10794" t="inlineStr">
        <is>
          <t>BOLLNÄS</t>
        </is>
      </c>
      <c r="F10794" t="inlineStr">
        <is>
          <t>Bergvik skog väst AB</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21789-2024</t>
        </is>
      </c>
      <c r="B10795" s="1" t="n">
        <v>45442</v>
      </c>
      <c r="C10795" s="1" t="n">
        <v>45677</v>
      </c>
      <c r="D10795" t="inlineStr">
        <is>
          <t>GÄVLEBORGS LÄN</t>
        </is>
      </c>
      <c r="E10795" t="inlineStr">
        <is>
          <t>SÖDERHAMN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21805-2024</t>
        </is>
      </c>
      <c r="B10796" s="1" t="n">
        <v>45442</v>
      </c>
      <c r="C10796" s="1" t="n">
        <v>45677</v>
      </c>
      <c r="D10796" t="inlineStr">
        <is>
          <t>GÄVLEBORGS LÄN</t>
        </is>
      </c>
      <c r="E10796" t="inlineStr">
        <is>
          <t>HUDIKSVALL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21692-2024</t>
        </is>
      </c>
      <c r="B10797" s="1" t="n">
        <v>45442</v>
      </c>
      <c r="C10797" s="1" t="n">
        <v>45677</v>
      </c>
      <c r="D10797" t="inlineStr">
        <is>
          <t>GÄVLEBORGS LÄN</t>
        </is>
      </c>
      <c r="E10797" t="inlineStr">
        <is>
          <t>BOLLNÄS</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21728-2024</t>
        </is>
      </c>
      <c r="B10798" s="1" t="n">
        <v>45442</v>
      </c>
      <c r="C10798" s="1" t="n">
        <v>45677</v>
      </c>
      <c r="D10798" t="inlineStr">
        <is>
          <t>GÄVLEBORGS LÄN</t>
        </is>
      </c>
      <c r="E10798" t="inlineStr">
        <is>
          <t>OCKELBO</t>
        </is>
      </c>
      <c r="F10798" t="inlineStr">
        <is>
          <t>Bergvik skog väst AB</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21740-2024</t>
        </is>
      </c>
      <c r="B10799" s="1" t="n">
        <v>45442</v>
      </c>
      <c r="C10799" s="1" t="n">
        <v>45677</v>
      </c>
      <c r="D10799" t="inlineStr">
        <is>
          <t>GÄVLEBORGS LÄN</t>
        </is>
      </c>
      <c r="E10799" t="inlineStr">
        <is>
          <t>BOLLNÄS</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21756-2024</t>
        </is>
      </c>
      <c r="B10800" s="1" t="n">
        <v>45442</v>
      </c>
      <c r="C10800" s="1" t="n">
        <v>45677</v>
      </c>
      <c r="D10800" t="inlineStr">
        <is>
          <t>GÄVLEBORGS LÄN</t>
        </is>
      </c>
      <c r="E10800" t="inlineStr">
        <is>
          <t>LJUSDAL</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21633-2024</t>
        </is>
      </c>
      <c r="B10801" s="1" t="n">
        <v>45442</v>
      </c>
      <c r="C10801" s="1" t="n">
        <v>45677</v>
      </c>
      <c r="D10801" t="inlineStr">
        <is>
          <t>GÄVLEBORGS LÄN</t>
        </is>
      </c>
      <c r="E10801" t="inlineStr">
        <is>
          <t>LJUSDAL</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21637-2024</t>
        </is>
      </c>
      <c r="B10802" s="1" t="n">
        <v>45442</v>
      </c>
      <c r="C10802" s="1" t="n">
        <v>45677</v>
      </c>
      <c r="D10802" t="inlineStr">
        <is>
          <t>GÄVLEBORGS LÄN</t>
        </is>
      </c>
      <c r="E10802" t="inlineStr">
        <is>
          <t>LJUSDAL</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21682-2024</t>
        </is>
      </c>
      <c r="B10803" s="1" t="n">
        <v>45442</v>
      </c>
      <c r="C10803" s="1" t="n">
        <v>45677</v>
      </c>
      <c r="D10803" t="inlineStr">
        <is>
          <t>GÄVLEBORGS LÄN</t>
        </is>
      </c>
      <c r="E10803" t="inlineStr">
        <is>
          <t>BOLLNÄS</t>
        </is>
      </c>
      <c r="F10803" t="inlineStr">
        <is>
          <t>Bergvik skog väst AB</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21751-2024</t>
        </is>
      </c>
      <c r="B10804" s="1" t="n">
        <v>45442</v>
      </c>
      <c r="C10804" s="1" t="n">
        <v>45677</v>
      </c>
      <c r="D10804" t="inlineStr">
        <is>
          <t>GÄVLEBORGS LÄN</t>
        </is>
      </c>
      <c r="E10804" t="inlineStr">
        <is>
          <t>HOFORS</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21775-2024</t>
        </is>
      </c>
      <c r="B10805" s="1" t="n">
        <v>45442</v>
      </c>
      <c r="C10805" s="1" t="n">
        <v>45677</v>
      </c>
      <c r="D10805" t="inlineStr">
        <is>
          <t>GÄVLEBORGS LÄN</t>
        </is>
      </c>
      <c r="E10805" t="inlineStr">
        <is>
          <t>BOLLNÄS</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21783-2024</t>
        </is>
      </c>
      <c r="B10806" s="1" t="n">
        <v>45442</v>
      </c>
      <c r="C10806" s="1" t="n">
        <v>45677</v>
      </c>
      <c r="D10806" t="inlineStr">
        <is>
          <t>GÄVLEBORGS LÄN</t>
        </is>
      </c>
      <c r="E10806" t="inlineStr">
        <is>
          <t>HUDIKSVALL</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22028-2024</t>
        </is>
      </c>
      <c r="B10807" s="1" t="n">
        <v>45443</v>
      </c>
      <c r="C10807" s="1" t="n">
        <v>45677</v>
      </c>
      <c r="D10807" t="inlineStr">
        <is>
          <t>GÄVLEBORGS LÄN</t>
        </is>
      </c>
      <c r="E10807" t="inlineStr">
        <is>
          <t>BOLLNÄS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21872-2024</t>
        </is>
      </c>
      <c r="B10808" s="1" t="n">
        <v>45443</v>
      </c>
      <c r="C10808" s="1" t="n">
        <v>45677</v>
      </c>
      <c r="D10808" t="inlineStr">
        <is>
          <t>GÄVLEBORGS LÄN</t>
        </is>
      </c>
      <c r="E10808" t="inlineStr">
        <is>
          <t>OCKELBO</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21904-2024</t>
        </is>
      </c>
      <c r="B10809" s="1" t="n">
        <v>45443</v>
      </c>
      <c r="C10809" s="1" t="n">
        <v>45677</v>
      </c>
      <c r="D10809" t="inlineStr">
        <is>
          <t>GÄVLEBORGS LÄN</t>
        </is>
      </c>
      <c r="E10809" t="inlineStr">
        <is>
          <t>HUDIKSVALL</t>
        </is>
      </c>
      <c r="F10809" t="inlineStr">
        <is>
          <t>Holmen skog AB</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21917-2024</t>
        </is>
      </c>
      <c r="B10810" s="1" t="n">
        <v>45443</v>
      </c>
      <c r="C10810" s="1" t="n">
        <v>45677</v>
      </c>
      <c r="D10810" t="inlineStr">
        <is>
          <t>GÄVLEBORGS LÄN</t>
        </is>
      </c>
      <c r="E10810" t="inlineStr">
        <is>
          <t>HUDIKSVALL</t>
        </is>
      </c>
      <c r="F10810" t="inlineStr">
        <is>
          <t>Holmen skog AB</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22055-2024</t>
        </is>
      </c>
      <c r="B10811" s="1" t="n">
        <v>45443</v>
      </c>
      <c r="C10811" s="1" t="n">
        <v>45677</v>
      </c>
      <c r="D10811" t="inlineStr">
        <is>
          <t>GÄVLEBORGS LÄN</t>
        </is>
      </c>
      <c r="E10811" t="inlineStr">
        <is>
          <t>HUDIKSVALL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22067-2024</t>
        </is>
      </c>
      <c r="B10812" s="1" t="n">
        <v>45443</v>
      </c>
      <c r="C10812" s="1" t="n">
        <v>45677</v>
      </c>
      <c r="D10812" t="inlineStr">
        <is>
          <t>GÄVLEBORGS LÄN</t>
        </is>
      </c>
      <c r="E10812" t="inlineStr">
        <is>
          <t>LJUSDAL</t>
        </is>
      </c>
      <c r="F10812" t="inlineStr">
        <is>
          <t>Sveaskog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21959-2024</t>
        </is>
      </c>
      <c r="B10813" s="1" t="n">
        <v>45443</v>
      </c>
      <c r="C10813" s="1" t="n">
        <v>45677</v>
      </c>
      <c r="D10813" t="inlineStr">
        <is>
          <t>GÄVLEBORGS LÄN</t>
        </is>
      </c>
      <c r="E10813" t="inlineStr">
        <is>
          <t>SÖDERHAMN</t>
        </is>
      </c>
      <c r="F10813" t="inlineStr">
        <is>
          <t>Kommuner</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21971-2024</t>
        </is>
      </c>
      <c r="B10814" s="1" t="n">
        <v>45443</v>
      </c>
      <c r="C10814" s="1" t="n">
        <v>45677</v>
      </c>
      <c r="D10814" t="inlineStr">
        <is>
          <t>GÄVLEBORGS LÄN</t>
        </is>
      </c>
      <c r="E10814" t="inlineStr">
        <is>
          <t>HUDIKSVALL</t>
        </is>
      </c>
      <c r="F10814" t="inlineStr">
        <is>
          <t>Sveaskog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22018-2024</t>
        </is>
      </c>
      <c r="B10815" s="1" t="n">
        <v>45443</v>
      </c>
      <c r="C10815" s="1" t="n">
        <v>45677</v>
      </c>
      <c r="D10815" t="inlineStr">
        <is>
          <t>GÄVLEBORGS LÄN</t>
        </is>
      </c>
      <c r="E10815" t="inlineStr">
        <is>
          <t>HUDIKSVALL</t>
        </is>
      </c>
      <c r="F10815" t="inlineStr">
        <is>
          <t>Holmen skog AB</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22026-2024</t>
        </is>
      </c>
      <c r="B10816" s="1" t="n">
        <v>45443</v>
      </c>
      <c r="C10816" s="1" t="n">
        <v>45677</v>
      </c>
      <c r="D10816" t="inlineStr">
        <is>
          <t>GÄVLEBORGS LÄN</t>
        </is>
      </c>
      <c r="E10816" t="inlineStr">
        <is>
          <t>BOLLNÄS</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22088-2024</t>
        </is>
      </c>
      <c r="B10817" s="1" t="n">
        <v>45443</v>
      </c>
      <c r="C10817" s="1" t="n">
        <v>45677</v>
      </c>
      <c r="D10817" t="inlineStr">
        <is>
          <t>GÄVLEBORGS LÄN</t>
        </is>
      </c>
      <c r="E10817" t="inlineStr">
        <is>
          <t>GÄVLE</t>
        </is>
      </c>
      <c r="G10817" t="n">
        <v>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22013-2024</t>
        </is>
      </c>
      <c r="B10818" s="1" t="n">
        <v>45443</v>
      </c>
      <c r="C10818" s="1" t="n">
        <v>45677</v>
      </c>
      <c r="D10818" t="inlineStr">
        <is>
          <t>GÄVLEBORGS LÄN</t>
        </is>
      </c>
      <c r="E10818" t="inlineStr">
        <is>
          <t>SÖDERHAMN</t>
        </is>
      </c>
      <c r="F10818" t="inlineStr">
        <is>
          <t>Kommuner</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21991-2024</t>
        </is>
      </c>
      <c r="B10819" s="1" t="n">
        <v>45443</v>
      </c>
      <c r="C10819" s="1" t="n">
        <v>45677</v>
      </c>
      <c r="D10819" t="inlineStr">
        <is>
          <t>GÄVLEBORGS LÄN</t>
        </is>
      </c>
      <c r="E10819" t="inlineStr">
        <is>
          <t>SÖDERHAMN</t>
        </is>
      </c>
      <c r="F10819" t="inlineStr">
        <is>
          <t>Kommuner</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21878-2024</t>
        </is>
      </c>
      <c r="B10820" s="1" t="n">
        <v>45443</v>
      </c>
      <c r="C10820" s="1" t="n">
        <v>45677</v>
      </c>
      <c r="D10820" t="inlineStr">
        <is>
          <t>GÄVLEBORGS LÄN</t>
        </is>
      </c>
      <c r="E10820" t="inlineStr">
        <is>
          <t>OCKELBO</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21898-2024</t>
        </is>
      </c>
      <c r="B10821" s="1" t="n">
        <v>45443</v>
      </c>
      <c r="C10821" s="1" t="n">
        <v>45677</v>
      </c>
      <c r="D10821" t="inlineStr">
        <is>
          <t>GÄVLEBORGS LÄN</t>
        </is>
      </c>
      <c r="E10821" t="inlineStr">
        <is>
          <t>NORDANSTIG</t>
        </is>
      </c>
      <c r="F10821" t="inlineStr">
        <is>
          <t>Holmen skog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21902-2024</t>
        </is>
      </c>
      <c r="B10822" s="1" t="n">
        <v>45443</v>
      </c>
      <c r="C10822" s="1" t="n">
        <v>45677</v>
      </c>
      <c r="D10822" t="inlineStr">
        <is>
          <t>GÄVLEBORGS LÄN</t>
        </is>
      </c>
      <c r="E10822" t="inlineStr">
        <is>
          <t>HUDIKSVALL</t>
        </is>
      </c>
      <c r="F10822" t="inlineStr">
        <is>
          <t>Holmen skog AB</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21927-2024</t>
        </is>
      </c>
      <c r="B10823" s="1" t="n">
        <v>45443</v>
      </c>
      <c r="C10823" s="1" t="n">
        <v>45677</v>
      </c>
      <c r="D10823" t="inlineStr">
        <is>
          <t>GÄVLEBORGS LÄN</t>
        </is>
      </c>
      <c r="E10823" t="inlineStr">
        <is>
          <t>HUDIKSVALL</t>
        </is>
      </c>
      <c r="F10823" t="inlineStr">
        <is>
          <t>Holmen skog AB</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21940-2024</t>
        </is>
      </c>
      <c r="B10824" s="1" t="n">
        <v>45443</v>
      </c>
      <c r="C10824" s="1" t="n">
        <v>45677</v>
      </c>
      <c r="D10824" t="inlineStr">
        <is>
          <t>GÄVLEBORGS LÄN</t>
        </is>
      </c>
      <c r="E10824" t="inlineStr">
        <is>
          <t>HUDIKSVALL</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21994-2024</t>
        </is>
      </c>
      <c r="B10825" s="1" t="n">
        <v>45443</v>
      </c>
      <c r="C10825" s="1" t="n">
        <v>45677</v>
      </c>
      <c r="D10825" t="inlineStr">
        <is>
          <t>GÄVLEBORGS LÄN</t>
        </is>
      </c>
      <c r="E10825" t="inlineStr">
        <is>
          <t>SANDVIKEN</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22002-2024</t>
        </is>
      </c>
      <c r="B10826" s="1" t="n">
        <v>45443</v>
      </c>
      <c r="C10826" s="1" t="n">
        <v>45677</v>
      </c>
      <c r="D10826" t="inlineStr">
        <is>
          <t>GÄVLEBORGS LÄN</t>
        </is>
      </c>
      <c r="E10826" t="inlineStr">
        <is>
          <t>SÖDERHAMN</t>
        </is>
      </c>
      <c r="F10826" t="inlineStr">
        <is>
          <t>Kommuner</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22010-2024</t>
        </is>
      </c>
      <c r="B10827" s="1" t="n">
        <v>45443</v>
      </c>
      <c r="C10827" s="1" t="n">
        <v>45677</v>
      </c>
      <c r="D10827" t="inlineStr">
        <is>
          <t>GÄVLEBORGS LÄN</t>
        </is>
      </c>
      <c r="E10827" t="inlineStr">
        <is>
          <t>BOLLNÄS</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22016-2024</t>
        </is>
      </c>
      <c r="B10828" s="1" t="n">
        <v>45443</v>
      </c>
      <c r="C10828" s="1" t="n">
        <v>45677</v>
      </c>
      <c r="D10828" t="inlineStr">
        <is>
          <t>GÄVLEBORGS LÄN</t>
        </is>
      </c>
      <c r="E10828" t="inlineStr">
        <is>
          <t>NORDANSTIG</t>
        </is>
      </c>
      <c r="F10828" t="inlineStr">
        <is>
          <t>Holmen skog AB</t>
        </is>
      </c>
      <c r="G10828" t="n">
        <v>15.5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22033-2024</t>
        </is>
      </c>
      <c r="B10829" s="1" t="n">
        <v>45443</v>
      </c>
      <c r="C10829" s="1" t="n">
        <v>45677</v>
      </c>
      <c r="D10829" t="inlineStr">
        <is>
          <t>GÄVLEBORGS LÄN</t>
        </is>
      </c>
      <c r="E10829" t="inlineStr">
        <is>
          <t>BOLLNÄS</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22090-2024</t>
        </is>
      </c>
      <c r="B10830" s="1" t="n">
        <v>45443</v>
      </c>
      <c r="C10830" s="1" t="n">
        <v>45677</v>
      </c>
      <c r="D10830" t="inlineStr">
        <is>
          <t>GÄVLEBORGS LÄN</t>
        </is>
      </c>
      <c r="E10830" t="inlineStr">
        <is>
          <t>GÄVLE</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21958-2024</t>
        </is>
      </c>
      <c r="B10831" s="1" t="n">
        <v>45443</v>
      </c>
      <c r="C10831" s="1" t="n">
        <v>45677</v>
      </c>
      <c r="D10831" t="inlineStr">
        <is>
          <t>GÄVLEBORGS LÄN</t>
        </is>
      </c>
      <c r="E10831" t="inlineStr">
        <is>
          <t>HOFORS</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21941-2024</t>
        </is>
      </c>
      <c r="B10832" s="1" t="n">
        <v>45443</v>
      </c>
      <c r="C10832" s="1" t="n">
        <v>45677</v>
      </c>
      <c r="D10832" t="inlineStr">
        <is>
          <t>GÄVLEBORGS LÄN</t>
        </is>
      </c>
      <c r="E10832" t="inlineStr">
        <is>
          <t>SÖDERHAMN</t>
        </is>
      </c>
      <c r="F10832" t="inlineStr">
        <is>
          <t>Bergvik skog väst AB</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21936-2024</t>
        </is>
      </c>
      <c r="B10833" s="1" t="n">
        <v>45443</v>
      </c>
      <c r="C10833" s="1" t="n">
        <v>45677</v>
      </c>
      <c r="D10833" t="inlineStr">
        <is>
          <t>GÄVLEBORGS LÄN</t>
        </is>
      </c>
      <c r="E10833" t="inlineStr">
        <is>
          <t>OCKELBO</t>
        </is>
      </c>
      <c r="F10833" t="inlineStr">
        <is>
          <t>Bergvik skog väst AB</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22087-2024</t>
        </is>
      </c>
      <c r="B10834" s="1" t="n">
        <v>45443</v>
      </c>
      <c r="C10834" s="1" t="n">
        <v>45677</v>
      </c>
      <c r="D10834" t="inlineStr">
        <is>
          <t>GÄVLEBORGS LÄN</t>
        </is>
      </c>
      <c r="E10834" t="inlineStr">
        <is>
          <t>GÄVLE</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22030-2024</t>
        </is>
      </c>
      <c r="B10835" s="1" t="n">
        <v>45443</v>
      </c>
      <c r="C10835" s="1" t="n">
        <v>45677</v>
      </c>
      <c r="D10835" t="inlineStr">
        <is>
          <t>GÄVLEBORGS LÄN</t>
        </is>
      </c>
      <c r="E10835" t="inlineStr">
        <is>
          <t>BOLLNÄS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21895-2024</t>
        </is>
      </c>
      <c r="B10836" s="1" t="n">
        <v>45443</v>
      </c>
      <c r="C10836" s="1" t="n">
        <v>45677</v>
      </c>
      <c r="D10836" t="inlineStr">
        <is>
          <t>GÄVLEBORGS LÄN</t>
        </is>
      </c>
      <c r="E10836" t="inlineStr">
        <is>
          <t>SÖDERHAMN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22065-2024</t>
        </is>
      </c>
      <c r="B10837" s="1" t="n">
        <v>45443</v>
      </c>
      <c r="C10837" s="1" t="n">
        <v>45677</v>
      </c>
      <c r="D10837" t="inlineStr">
        <is>
          <t>GÄVLEBORGS LÄN</t>
        </is>
      </c>
      <c r="E10837" t="inlineStr">
        <is>
          <t>LJUSDAL</t>
        </is>
      </c>
      <c r="F10837" t="inlineStr">
        <is>
          <t>Sveaskog</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22015-2024</t>
        </is>
      </c>
      <c r="B10838" s="1" t="n">
        <v>45443</v>
      </c>
      <c r="C10838" s="1" t="n">
        <v>45677</v>
      </c>
      <c r="D10838" t="inlineStr">
        <is>
          <t>GÄVLEBORGS LÄN</t>
        </is>
      </c>
      <c r="E10838" t="inlineStr">
        <is>
          <t>NORDANSTIG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21989-2024</t>
        </is>
      </c>
      <c r="B10839" s="1" t="n">
        <v>45443</v>
      </c>
      <c r="C10839" s="1" t="n">
        <v>45677</v>
      </c>
      <c r="D10839" t="inlineStr">
        <is>
          <t>GÄVLEBORGS LÄN</t>
        </is>
      </c>
      <c r="E10839" t="inlineStr">
        <is>
          <t>BOLLNÄS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21905-2024</t>
        </is>
      </c>
      <c r="B10840" s="1" t="n">
        <v>45443</v>
      </c>
      <c r="C10840" s="1" t="n">
        <v>45677</v>
      </c>
      <c r="D10840" t="inlineStr">
        <is>
          <t>GÄVLEBORGS LÄN</t>
        </is>
      </c>
      <c r="E10840" t="inlineStr">
        <is>
          <t>OVANÅKER</t>
        </is>
      </c>
      <c r="F10840" t="inlineStr">
        <is>
          <t>Kyrkan</t>
        </is>
      </c>
      <c r="G10840" t="n">
        <v>7.5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21901-2024</t>
        </is>
      </c>
      <c r="B10841" s="1" t="n">
        <v>45443</v>
      </c>
      <c r="C10841" s="1" t="n">
        <v>45677</v>
      </c>
      <c r="D10841" t="inlineStr">
        <is>
          <t>GÄVLEBORGS LÄN</t>
        </is>
      </c>
      <c r="E10841" t="inlineStr">
        <is>
          <t>LJUSDAL</t>
        </is>
      </c>
      <c r="F10841" t="inlineStr">
        <is>
          <t>Sveaskog</t>
        </is>
      </c>
      <c r="G10841" t="n">
        <v>18.9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22135-2024</t>
        </is>
      </c>
      <c r="B10842" s="1" t="n">
        <v>45444</v>
      </c>
      <c r="C10842" s="1" t="n">
        <v>45677</v>
      </c>
      <c r="D10842" t="inlineStr">
        <is>
          <t>GÄVLEBORGS LÄN</t>
        </is>
      </c>
      <c r="E10842" t="inlineStr">
        <is>
          <t>LJUSDAL</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22346-2024</t>
        </is>
      </c>
      <c r="B10843" s="1" t="n">
        <v>45446</v>
      </c>
      <c r="C10843" s="1" t="n">
        <v>45677</v>
      </c>
      <c r="D10843" t="inlineStr">
        <is>
          <t>GÄVLEBORGS LÄN</t>
        </is>
      </c>
      <c r="E10843" t="inlineStr">
        <is>
          <t>OVANÅKER</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22374-2024</t>
        </is>
      </c>
      <c r="B10844" s="1" t="n">
        <v>45446</v>
      </c>
      <c r="C10844" s="1" t="n">
        <v>45677</v>
      </c>
      <c r="D10844" t="inlineStr">
        <is>
          <t>GÄVLEBORGS LÄN</t>
        </is>
      </c>
      <c r="E10844" t="inlineStr">
        <is>
          <t>HUDIKSVALL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22241-2024</t>
        </is>
      </c>
      <c r="B10845" s="1" t="n">
        <v>45446</v>
      </c>
      <c r="C10845" s="1" t="n">
        <v>45677</v>
      </c>
      <c r="D10845" t="inlineStr">
        <is>
          <t>GÄVLEBORGS LÄN</t>
        </is>
      </c>
      <c r="E10845" t="inlineStr">
        <is>
          <t>LJUSDAL</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22271-2024</t>
        </is>
      </c>
      <c r="B10846" s="1" t="n">
        <v>45446</v>
      </c>
      <c r="C10846" s="1" t="n">
        <v>45677</v>
      </c>
      <c r="D10846" t="inlineStr">
        <is>
          <t>GÄVLEBORGS LÄN</t>
        </is>
      </c>
      <c r="E10846" t="inlineStr">
        <is>
          <t>SANDVIKEN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22275-2024</t>
        </is>
      </c>
      <c r="B10847" s="1" t="n">
        <v>45446</v>
      </c>
      <c r="C10847" s="1" t="n">
        <v>45677</v>
      </c>
      <c r="D10847" t="inlineStr">
        <is>
          <t>GÄVLEBORGS LÄN</t>
        </is>
      </c>
      <c r="E10847" t="inlineStr">
        <is>
          <t>SANDVIKEN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22317-2024</t>
        </is>
      </c>
      <c r="B10848" s="1" t="n">
        <v>45446</v>
      </c>
      <c r="C10848" s="1" t="n">
        <v>45677</v>
      </c>
      <c r="D10848" t="inlineStr">
        <is>
          <t>GÄVLEBORGS LÄN</t>
        </is>
      </c>
      <c r="E10848" t="inlineStr">
        <is>
          <t>LJUSDAL</t>
        </is>
      </c>
      <c r="F10848" t="inlineStr">
        <is>
          <t>Bergvik skog väst AB</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22250-2024</t>
        </is>
      </c>
      <c r="B10849" s="1" t="n">
        <v>45446</v>
      </c>
      <c r="C10849" s="1" t="n">
        <v>45677</v>
      </c>
      <c r="D10849" t="inlineStr">
        <is>
          <t>GÄVLEBORGS LÄN</t>
        </is>
      </c>
      <c r="E10849" t="inlineStr">
        <is>
          <t>LJUSDAL</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22347-2024</t>
        </is>
      </c>
      <c r="B10850" s="1" t="n">
        <v>45446</v>
      </c>
      <c r="C10850" s="1" t="n">
        <v>45677</v>
      </c>
      <c r="D10850" t="inlineStr">
        <is>
          <t>GÄVLEBORGS LÄN</t>
        </is>
      </c>
      <c r="E10850" t="inlineStr">
        <is>
          <t>OVANÅKER</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22293-2024</t>
        </is>
      </c>
      <c r="B10851" s="1" t="n">
        <v>45446</v>
      </c>
      <c r="C10851" s="1" t="n">
        <v>45677</v>
      </c>
      <c r="D10851" t="inlineStr">
        <is>
          <t>GÄVLEBORGS LÄN</t>
        </is>
      </c>
      <c r="E10851" t="inlineStr">
        <is>
          <t>OCKELBO</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22242-2024</t>
        </is>
      </c>
      <c r="B10852" s="1" t="n">
        <v>45446</v>
      </c>
      <c r="C10852" s="1" t="n">
        <v>45677</v>
      </c>
      <c r="D10852" t="inlineStr">
        <is>
          <t>GÄVLEBORGS LÄN</t>
        </is>
      </c>
      <c r="E10852" t="inlineStr">
        <is>
          <t>LJUSDAL</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22226-2024</t>
        </is>
      </c>
      <c r="B10853" s="1" t="n">
        <v>45446</v>
      </c>
      <c r="C10853" s="1" t="n">
        <v>45677</v>
      </c>
      <c r="D10853" t="inlineStr">
        <is>
          <t>GÄVLEBORGS LÄN</t>
        </is>
      </c>
      <c r="E10853" t="inlineStr">
        <is>
          <t>HOFORS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22168-2024</t>
        </is>
      </c>
      <c r="B10854" s="1" t="n">
        <v>45446</v>
      </c>
      <c r="C10854" s="1" t="n">
        <v>45677</v>
      </c>
      <c r="D10854" t="inlineStr">
        <is>
          <t>GÄVLEBORGS LÄN</t>
        </is>
      </c>
      <c r="E10854" t="inlineStr">
        <is>
          <t>LJUSDAL</t>
        </is>
      </c>
      <c r="F10854" t="inlineStr">
        <is>
          <t>Bergvik skog väst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22379-2024</t>
        </is>
      </c>
      <c r="B10855" s="1" t="n">
        <v>45446</v>
      </c>
      <c r="C10855" s="1" t="n">
        <v>45677</v>
      </c>
      <c r="D10855" t="inlineStr">
        <is>
          <t>GÄVLEBORGS LÄN</t>
        </is>
      </c>
      <c r="E10855" t="inlineStr">
        <is>
          <t>HUDIKSVALL</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22357-2024</t>
        </is>
      </c>
      <c r="B10856" s="1" t="n">
        <v>45446</v>
      </c>
      <c r="C10856" s="1" t="n">
        <v>45677</v>
      </c>
      <c r="D10856" t="inlineStr">
        <is>
          <t>GÄVLEBORGS LÄN</t>
        </is>
      </c>
      <c r="E10856" t="inlineStr">
        <is>
          <t>OVANÅKER</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22298-2024</t>
        </is>
      </c>
      <c r="B10857" s="1" t="n">
        <v>45446</v>
      </c>
      <c r="C10857" s="1" t="n">
        <v>45677</v>
      </c>
      <c r="D10857" t="inlineStr">
        <is>
          <t>GÄVLEBORGS LÄN</t>
        </is>
      </c>
      <c r="E10857" t="inlineStr">
        <is>
          <t>OCKELBO</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22294-2024</t>
        </is>
      </c>
      <c r="B10858" s="1" t="n">
        <v>45446</v>
      </c>
      <c r="C10858" s="1" t="n">
        <v>45677</v>
      </c>
      <c r="D10858" t="inlineStr">
        <is>
          <t>GÄVLEBORGS LÄN</t>
        </is>
      </c>
      <c r="E10858" t="inlineStr">
        <is>
          <t>LJUSDAL</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22261-2024</t>
        </is>
      </c>
      <c r="B10859" s="1" t="n">
        <v>45446</v>
      </c>
      <c r="C10859" s="1" t="n">
        <v>45677</v>
      </c>
      <c r="D10859" t="inlineStr">
        <is>
          <t>GÄVLEBORGS LÄN</t>
        </is>
      </c>
      <c r="E10859" t="inlineStr">
        <is>
          <t>HUDIKSVALL</t>
        </is>
      </c>
      <c r="G10859" t="n">
        <v>7.6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22248-2024</t>
        </is>
      </c>
      <c r="B10860" s="1" t="n">
        <v>45446</v>
      </c>
      <c r="C10860" s="1" t="n">
        <v>45677</v>
      </c>
      <c r="D10860" t="inlineStr">
        <is>
          <t>GÄVLEBORGS LÄN</t>
        </is>
      </c>
      <c r="E10860" t="inlineStr">
        <is>
          <t>LJUSDAL</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22227-2024</t>
        </is>
      </c>
      <c r="B10861" s="1" t="n">
        <v>45446</v>
      </c>
      <c r="C10861" s="1" t="n">
        <v>45677</v>
      </c>
      <c r="D10861" t="inlineStr">
        <is>
          <t>GÄVLEBORGS LÄN</t>
        </is>
      </c>
      <c r="E10861" t="inlineStr">
        <is>
          <t>SÖDERHAMN</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22173-2024</t>
        </is>
      </c>
      <c r="B10862" s="1" t="n">
        <v>45446</v>
      </c>
      <c r="C10862" s="1" t="n">
        <v>45677</v>
      </c>
      <c r="D10862" t="inlineStr">
        <is>
          <t>GÄVLEBORGS LÄN</t>
        </is>
      </c>
      <c r="E10862" t="inlineStr">
        <is>
          <t>OVANÅKER</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22169-2024</t>
        </is>
      </c>
      <c r="B10863" s="1" t="n">
        <v>45446</v>
      </c>
      <c r="C10863" s="1" t="n">
        <v>45677</v>
      </c>
      <c r="D10863" t="inlineStr">
        <is>
          <t>GÄVLEBORGS LÄN</t>
        </is>
      </c>
      <c r="E10863" t="inlineStr">
        <is>
          <t>LJUSDAL</t>
        </is>
      </c>
      <c r="F10863" t="inlineStr">
        <is>
          <t>Bergvik skog väst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22641-2024</t>
        </is>
      </c>
      <c r="B10864" s="1" t="n">
        <v>45447</v>
      </c>
      <c r="C10864" s="1" t="n">
        <v>45677</v>
      </c>
      <c r="D10864" t="inlineStr">
        <is>
          <t>GÄVLEBORGS LÄN</t>
        </is>
      </c>
      <c r="E10864" t="inlineStr">
        <is>
          <t>HUDIKSVALL</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22599-2024</t>
        </is>
      </c>
      <c r="B10865" s="1" t="n">
        <v>45447</v>
      </c>
      <c r="C10865" s="1" t="n">
        <v>45677</v>
      </c>
      <c r="D10865" t="inlineStr">
        <is>
          <t>GÄVLEBORGS LÄN</t>
        </is>
      </c>
      <c r="E10865" t="inlineStr">
        <is>
          <t>LJUSDAL</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22571-2024</t>
        </is>
      </c>
      <c r="B10866" s="1" t="n">
        <v>45447</v>
      </c>
      <c r="C10866" s="1" t="n">
        <v>45677</v>
      </c>
      <c r="D10866" t="inlineStr">
        <is>
          <t>GÄVLEBORGS LÄN</t>
        </is>
      </c>
      <c r="E10866" t="inlineStr">
        <is>
          <t>GÄVLE</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22642-2024</t>
        </is>
      </c>
      <c r="B10867" s="1" t="n">
        <v>45447</v>
      </c>
      <c r="C10867" s="1" t="n">
        <v>45677</v>
      </c>
      <c r="D10867" t="inlineStr">
        <is>
          <t>GÄVLEBORGS LÄN</t>
        </is>
      </c>
      <c r="E10867" t="inlineStr">
        <is>
          <t>OCKELBO</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22572-2024</t>
        </is>
      </c>
      <c r="B10868" s="1" t="n">
        <v>45447</v>
      </c>
      <c r="C10868" s="1" t="n">
        <v>45677</v>
      </c>
      <c r="D10868" t="inlineStr">
        <is>
          <t>GÄVLEBORGS LÄN</t>
        </is>
      </c>
      <c r="E10868" t="inlineStr">
        <is>
          <t>GÄVLE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22547-2024</t>
        </is>
      </c>
      <c r="B10869" s="1" t="n">
        <v>45447</v>
      </c>
      <c r="C10869" s="1" t="n">
        <v>45677</v>
      </c>
      <c r="D10869" t="inlineStr">
        <is>
          <t>GÄVLEBORGS LÄN</t>
        </is>
      </c>
      <c r="E10869" t="inlineStr">
        <is>
          <t>LJUSDAL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22489-2024</t>
        </is>
      </c>
      <c r="B10870" s="1" t="n">
        <v>45447</v>
      </c>
      <c r="C10870" s="1" t="n">
        <v>45677</v>
      </c>
      <c r="D10870" t="inlineStr">
        <is>
          <t>GÄVLEBORGS LÄN</t>
        </is>
      </c>
      <c r="E10870" t="inlineStr">
        <is>
          <t>LJUSDAL</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22530-2024</t>
        </is>
      </c>
      <c r="B10871" s="1" t="n">
        <v>45447</v>
      </c>
      <c r="C10871" s="1" t="n">
        <v>45677</v>
      </c>
      <c r="D10871" t="inlineStr">
        <is>
          <t>GÄVLEBORGS LÄN</t>
        </is>
      </c>
      <c r="E10871" t="inlineStr">
        <is>
          <t>HOFORS</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22518-2024</t>
        </is>
      </c>
      <c r="B10872" s="1" t="n">
        <v>45447</v>
      </c>
      <c r="C10872" s="1" t="n">
        <v>45677</v>
      </c>
      <c r="D10872" t="inlineStr">
        <is>
          <t>GÄVLEBORGS LÄN</t>
        </is>
      </c>
      <c r="E10872" t="inlineStr">
        <is>
          <t>HUDIKSVALL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22537-2024</t>
        </is>
      </c>
      <c r="B10873" s="1" t="n">
        <v>45447</v>
      </c>
      <c r="C10873" s="1" t="n">
        <v>45677</v>
      </c>
      <c r="D10873" t="inlineStr">
        <is>
          <t>GÄVLEBORGS LÄN</t>
        </is>
      </c>
      <c r="E10873" t="inlineStr">
        <is>
          <t>BOLLNÄS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22610-2024</t>
        </is>
      </c>
      <c r="B10874" s="1" t="n">
        <v>45447</v>
      </c>
      <c r="C10874" s="1" t="n">
        <v>45677</v>
      </c>
      <c r="D10874" t="inlineStr">
        <is>
          <t>GÄVLEBORGS LÄN</t>
        </is>
      </c>
      <c r="E10874" t="inlineStr">
        <is>
          <t>LJUSDAL</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22593-2024</t>
        </is>
      </c>
      <c r="B10875" s="1" t="n">
        <v>45447</v>
      </c>
      <c r="C10875" s="1" t="n">
        <v>45677</v>
      </c>
      <c r="D10875" t="inlineStr">
        <is>
          <t>GÄVLEBORGS LÄN</t>
        </is>
      </c>
      <c r="E10875" t="inlineStr">
        <is>
          <t>NORDANSTIG</t>
        </is>
      </c>
      <c r="F10875" t="inlineStr">
        <is>
          <t>Holmen skog AB</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22532-2024</t>
        </is>
      </c>
      <c r="B10876" s="1" t="n">
        <v>45447</v>
      </c>
      <c r="C10876" s="1" t="n">
        <v>45677</v>
      </c>
      <c r="D10876" t="inlineStr">
        <is>
          <t>GÄVLEBORGS LÄN</t>
        </is>
      </c>
      <c r="E10876" t="inlineStr">
        <is>
          <t>BOLLNÄS</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22804-2024</t>
        </is>
      </c>
      <c r="B10877" s="1" t="n">
        <v>45448</v>
      </c>
      <c r="C10877" s="1" t="n">
        <v>45677</v>
      </c>
      <c r="D10877" t="inlineStr">
        <is>
          <t>GÄVLEBORGS LÄN</t>
        </is>
      </c>
      <c r="E10877" t="inlineStr">
        <is>
          <t>HUDIKSVALL</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22808-2024</t>
        </is>
      </c>
      <c r="B10878" s="1" t="n">
        <v>45448</v>
      </c>
      <c r="C10878" s="1" t="n">
        <v>45677</v>
      </c>
      <c r="D10878" t="inlineStr">
        <is>
          <t>GÄVLEBORGS LÄN</t>
        </is>
      </c>
      <c r="E10878" t="inlineStr">
        <is>
          <t>NORDANSTIG</t>
        </is>
      </c>
      <c r="F10878" t="inlineStr">
        <is>
          <t>Holmen skog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22812-2024</t>
        </is>
      </c>
      <c r="B10879" s="1" t="n">
        <v>45448</v>
      </c>
      <c r="C10879" s="1" t="n">
        <v>45677</v>
      </c>
      <c r="D10879" t="inlineStr">
        <is>
          <t>GÄVLEBORGS LÄN</t>
        </is>
      </c>
      <c r="E10879" t="inlineStr">
        <is>
          <t>HUDIKSVALL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22824-2024</t>
        </is>
      </c>
      <c r="B10880" s="1" t="n">
        <v>45448</v>
      </c>
      <c r="C10880" s="1" t="n">
        <v>45677</v>
      </c>
      <c r="D10880" t="inlineStr">
        <is>
          <t>GÄVLEBORGS LÄN</t>
        </is>
      </c>
      <c r="E10880" t="inlineStr">
        <is>
          <t>OCKELBO</t>
        </is>
      </c>
      <c r="F10880" t="inlineStr">
        <is>
          <t>Bergvik skog väst AB</t>
        </is>
      </c>
      <c r="G10880" t="n">
        <v>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22747-2024</t>
        </is>
      </c>
      <c r="B10881" s="1" t="n">
        <v>45448</v>
      </c>
      <c r="C10881" s="1" t="n">
        <v>45677</v>
      </c>
      <c r="D10881" t="inlineStr">
        <is>
          <t>GÄVLEBORGS LÄN</t>
        </is>
      </c>
      <c r="E10881" t="inlineStr">
        <is>
          <t>HUDIKSVALL</t>
        </is>
      </c>
      <c r="F10881" t="inlineStr">
        <is>
          <t>Holmen skog AB</t>
        </is>
      </c>
      <c r="G10881" t="n">
        <v>12.7</v>
      </c>
      <c r="H10881" t="n">
        <v>0</v>
      </c>
      <c r="I10881" t="n">
        <v>0</v>
      </c>
      <c r="J10881" t="n">
        <v>0</v>
      </c>
      <c r="K10881" t="n">
        <v>0</v>
      </c>
      <c r="L10881" t="n">
        <v>0</v>
      </c>
      <c r="M10881" t="n">
        <v>0</v>
      </c>
      <c r="N10881" t="n">
        <v>0</v>
      </c>
      <c r="O10881" t="n">
        <v>0</v>
      </c>
      <c r="P10881" t="n">
        <v>0</v>
      </c>
      <c r="Q10881" t="n">
        <v>0</v>
      </c>
      <c r="R10881" s="2" t="inlineStr"/>
      <c r="U10881">
        <f>HYPERLINK("https://klasma.github.io/Logging_2184/knärot/A 22747-2024 karta knärot.png", "A 22747-2024")</f>
        <v/>
      </c>
      <c r="V10881">
        <f>HYPERLINK("https://klasma.github.io/Logging_2184/klagomål/A 22747-2024 FSC-klagomål.docx", "A 22747-2024")</f>
        <v/>
      </c>
      <c r="W10881">
        <f>HYPERLINK("https://klasma.github.io/Logging_2184/klagomålsmail/A 22747-2024 FSC-klagomål mail.docx", "A 22747-2024")</f>
        <v/>
      </c>
      <c r="X10881">
        <f>HYPERLINK("https://klasma.github.io/Logging_2184/tillsyn/A 22747-2024 tillsynsbegäran.docx", "A 22747-2024")</f>
        <v/>
      </c>
      <c r="Y10881">
        <f>HYPERLINK("https://klasma.github.io/Logging_2184/tillsynsmail/A 22747-2024 tillsynsbegäran mail.docx", "A 22747-2024")</f>
        <v/>
      </c>
    </row>
    <row r="10882" ht="15" customHeight="1">
      <c r="A10882" t="inlineStr">
        <is>
          <t>A 22709-2024</t>
        </is>
      </c>
      <c r="B10882" s="1" t="n">
        <v>45448</v>
      </c>
      <c r="C10882" s="1" t="n">
        <v>45677</v>
      </c>
      <c r="D10882" t="inlineStr">
        <is>
          <t>GÄVLEBORGS LÄN</t>
        </is>
      </c>
      <c r="E10882" t="inlineStr">
        <is>
          <t>HUDIKSVALL</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22713-2024</t>
        </is>
      </c>
      <c r="B10883" s="1" t="n">
        <v>45448</v>
      </c>
      <c r="C10883" s="1" t="n">
        <v>45677</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22821-2024</t>
        </is>
      </c>
      <c r="B10884" s="1" t="n">
        <v>45448</v>
      </c>
      <c r="C10884" s="1" t="n">
        <v>45677</v>
      </c>
      <c r="D10884" t="inlineStr">
        <is>
          <t>GÄVLEBORGS LÄN</t>
        </is>
      </c>
      <c r="E10884" t="inlineStr">
        <is>
          <t>OCKELBO</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22825-2024</t>
        </is>
      </c>
      <c r="B10885" s="1" t="n">
        <v>45448</v>
      </c>
      <c r="C10885" s="1" t="n">
        <v>45677</v>
      </c>
      <c r="D10885" t="inlineStr">
        <is>
          <t>GÄVLEBORGS LÄN</t>
        </is>
      </c>
      <c r="E10885" t="inlineStr">
        <is>
          <t>BOLLNÄS</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22869-2024</t>
        </is>
      </c>
      <c r="B10886" s="1" t="n">
        <v>45448</v>
      </c>
      <c r="C10886" s="1" t="n">
        <v>45677</v>
      </c>
      <c r="D10886" t="inlineStr">
        <is>
          <t>GÄVLEBORGS LÄN</t>
        </is>
      </c>
      <c r="E10886" t="inlineStr">
        <is>
          <t>HUDIKSVALL</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22877-2024</t>
        </is>
      </c>
      <c r="B10887" s="1" t="n">
        <v>45448</v>
      </c>
      <c r="C10887" s="1" t="n">
        <v>45677</v>
      </c>
      <c r="D10887" t="inlineStr">
        <is>
          <t>GÄVLEBORGS LÄN</t>
        </is>
      </c>
      <c r="E10887" t="inlineStr">
        <is>
          <t>BOLLNÄS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22704-2024</t>
        </is>
      </c>
      <c r="B10888" s="1" t="n">
        <v>45448</v>
      </c>
      <c r="C10888" s="1" t="n">
        <v>45677</v>
      </c>
      <c r="D10888" t="inlineStr">
        <is>
          <t>GÄVLEBORGS LÄN</t>
        </is>
      </c>
      <c r="E10888" t="inlineStr">
        <is>
          <t>NORDANSTIG</t>
        </is>
      </c>
      <c r="F10888" t="inlineStr">
        <is>
          <t>Holmen skog AB</t>
        </is>
      </c>
      <c r="G10888" t="n">
        <v>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22716-2024</t>
        </is>
      </c>
      <c r="B10889" s="1" t="n">
        <v>45448</v>
      </c>
      <c r="C10889" s="1" t="n">
        <v>45677</v>
      </c>
      <c r="D10889" t="inlineStr">
        <is>
          <t>GÄVLEBORGS LÄN</t>
        </is>
      </c>
      <c r="E10889" t="inlineStr">
        <is>
          <t>LJUSDAL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22727-2024</t>
        </is>
      </c>
      <c r="B10890" s="1" t="n">
        <v>45448</v>
      </c>
      <c r="C10890" s="1" t="n">
        <v>45677</v>
      </c>
      <c r="D10890" t="inlineStr">
        <is>
          <t>GÄVLEBORGS LÄN</t>
        </is>
      </c>
      <c r="E10890" t="inlineStr">
        <is>
          <t>HUDIKSVALL</t>
        </is>
      </c>
      <c r="F10890" t="inlineStr">
        <is>
          <t>Holmen skog AB</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22760-2024</t>
        </is>
      </c>
      <c r="B10891" s="1" t="n">
        <v>45448</v>
      </c>
      <c r="C10891" s="1" t="n">
        <v>45677</v>
      </c>
      <c r="D10891" t="inlineStr">
        <is>
          <t>GÄVLEBORGS LÄN</t>
        </is>
      </c>
      <c r="E10891" t="inlineStr">
        <is>
          <t>LJUSDAL</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22785-2024</t>
        </is>
      </c>
      <c r="B10892" s="1" t="n">
        <v>45448</v>
      </c>
      <c r="C10892" s="1" t="n">
        <v>45677</v>
      </c>
      <c r="D10892" t="inlineStr">
        <is>
          <t>GÄVLEBORGS LÄN</t>
        </is>
      </c>
      <c r="E10892" t="inlineStr">
        <is>
          <t>HUDIKSVALL</t>
        </is>
      </c>
      <c r="G10892" t="n">
        <v>10.9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22790-2024</t>
        </is>
      </c>
      <c r="B10893" s="1" t="n">
        <v>45448</v>
      </c>
      <c r="C10893" s="1" t="n">
        <v>45677</v>
      </c>
      <c r="D10893" t="inlineStr">
        <is>
          <t>GÄVLEBORGS LÄN</t>
        </is>
      </c>
      <c r="E10893" t="inlineStr">
        <is>
          <t>LJUSDAL</t>
        </is>
      </c>
      <c r="F10893" t="inlineStr">
        <is>
          <t>Sveaskog</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22842-2024</t>
        </is>
      </c>
      <c r="B10894" s="1" t="n">
        <v>45448</v>
      </c>
      <c r="C10894" s="1" t="n">
        <v>45677</v>
      </c>
      <c r="D10894" t="inlineStr">
        <is>
          <t>GÄVLEBORGS LÄN</t>
        </is>
      </c>
      <c r="E10894" t="inlineStr">
        <is>
          <t>NORDANSTIG</t>
        </is>
      </c>
      <c r="F10894" t="inlineStr">
        <is>
          <t>Holmen skog AB</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22858-2024</t>
        </is>
      </c>
      <c r="B10895" s="1" t="n">
        <v>45448</v>
      </c>
      <c r="C10895" s="1" t="n">
        <v>45677</v>
      </c>
      <c r="D10895" t="inlineStr">
        <is>
          <t>GÄVLEBORGS LÄN</t>
        </is>
      </c>
      <c r="E10895" t="inlineStr">
        <is>
          <t>GÄVLE</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22724-2024</t>
        </is>
      </c>
      <c r="B10896" s="1" t="n">
        <v>45448</v>
      </c>
      <c r="C10896" s="1" t="n">
        <v>45677</v>
      </c>
      <c r="D10896" t="inlineStr">
        <is>
          <t>GÄVLEBORGS LÄN</t>
        </is>
      </c>
      <c r="E10896" t="inlineStr">
        <is>
          <t>LJUSDAL</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22741-2024</t>
        </is>
      </c>
      <c r="B10897" s="1" t="n">
        <v>45448</v>
      </c>
      <c r="C10897" s="1" t="n">
        <v>45677</v>
      </c>
      <c r="D10897" t="inlineStr">
        <is>
          <t>GÄVLEBORGS LÄN</t>
        </is>
      </c>
      <c r="E10897" t="inlineStr">
        <is>
          <t>OVANÅKER</t>
        </is>
      </c>
      <c r="F10897" t="inlineStr">
        <is>
          <t>Bergvik skog väst AB</t>
        </is>
      </c>
      <c r="G10897" t="n">
        <v>18.7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22777-2024</t>
        </is>
      </c>
      <c r="B10898" s="1" t="n">
        <v>45448</v>
      </c>
      <c r="C10898" s="1" t="n">
        <v>45677</v>
      </c>
      <c r="D10898" t="inlineStr">
        <is>
          <t>GÄVLEBORGS LÄN</t>
        </is>
      </c>
      <c r="E10898" t="inlineStr">
        <is>
          <t>NORDANSTIG</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22786-2024</t>
        </is>
      </c>
      <c r="B10899" s="1" t="n">
        <v>45448</v>
      </c>
      <c r="C10899" s="1" t="n">
        <v>45677</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22819-2024</t>
        </is>
      </c>
      <c r="B10900" s="1" t="n">
        <v>45448</v>
      </c>
      <c r="C10900" s="1" t="n">
        <v>45677</v>
      </c>
      <c r="D10900" t="inlineStr">
        <is>
          <t>GÄVLEBORGS LÄN</t>
        </is>
      </c>
      <c r="E10900" t="inlineStr">
        <is>
          <t>HUDIKSVALL</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22823-2024</t>
        </is>
      </c>
      <c r="B10901" s="1" t="n">
        <v>45448</v>
      </c>
      <c r="C10901" s="1" t="n">
        <v>45677</v>
      </c>
      <c r="D10901" t="inlineStr">
        <is>
          <t>GÄVLEBORGS LÄN</t>
        </is>
      </c>
      <c r="E10901" t="inlineStr">
        <is>
          <t>HUDIKSVALL</t>
        </is>
      </c>
      <c r="F10901" t="inlineStr">
        <is>
          <t>Holmen skog AB</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22835-2024</t>
        </is>
      </c>
      <c r="B10902" s="1" t="n">
        <v>45448</v>
      </c>
      <c r="C10902" s="1" t="n">
        <v>45677</v>
      </c>
      <c r="D10902" t="inlineStr">
        <is>
          <t>GÄVLEBORGS LÄN</t>
        </is>
      </c>
      <c r="E10902" t="inlineStr">
        <is>
          <t>BOLLNÄS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22976-2024</t>
        </is>
      </c>
      <c r="B10903" s="1" t="n">
        <v>45449</v>
      </c>
      <c r="C10903" s="1" t="n">
        <v>45677</v>
      </c>
      <c r="D10903" t="inlineStr">
        <is>
          <t>GÄVLEBORGS LÄN</t>
        </is>
      </c>
      <c r="E10903" t="inlineStr">
        <is>
          <t>HUDIKSVALL</t>
        </is>
      </c>
      <c r="F10903" t="inlineStr">
        <is>
          <t>Holmen skog AB</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22975-2024</t>
        </is>
      </c>
      <c r="B10904" s="1" t="n">
        <v>45449</v>
      </c>
      <c r="C10904" s="1" t="n">
        <v>45677</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22977-2024</t>
        </is>
      </c>
      <c r="B10905" s="1" t="n">
        <v>45449</v>
      </c>
      <c r="C10905" s="1" t="n">
        <v>45677</v>
      </c>
      <c r="D10905" t="inlineStr">
        <is>
          <t>GÄVLEBORGS LÄN</t>
        </is>
      </c>
      <c r="E10905" t="inlineStr">
        <is>
          <t>HUDIKSVALL</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23002-2024</t>
        </is>
      </c>
      <c r="B10906" s="1" t="n">
        <v>45450</v>
      </c>
      <c r="C10906" s="1" t="n">
        <v>45677</v>
      </c>
      <c r="D10906" t="inlineStr">
        <is>
          <t>GÄVLEBORGS LÄN</t>
        </is>
      </c>
      <c r="E10906" t="inlineStr">
        <is>
          <t>SANDVIKEN</t>
        </is>
      </c>
      <c r="G10906" t="n">
        <v>15.6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23006-2024</t>
        </is>
      </c>
      <c r="B10907" s="1" t="n">
        <v>45450</v>
      </c>
      <c r="C10907" s="1" t="n">
        <v>45677</v>
      </c>
      <c r="D10907" t="inlineStr">
        <is>
          <t>GÄVLEBORGS LÄN</t>
        </is>
      </c>
      <c r="E10907" t="inlineStr">
        <is>
          <t>SANDVIKEN</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23040-2024</t>
        </is>
      </c>
      <c r="B10908" s="1" t="n">
        <v>45450</v>
      </c>
      <c r="C10908" s="1" t="n">
        <v>45677</v>
      </c>
      <c r="D10908" t="inlineStr">
        <is>
          <t>GÄVLEBORGS LÄN</t>
        </is>
      </c>
      <c r="E10908" t="inlineStr">
        <is>
          <t>OVANÅKER</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23139-2024</t>
        </is>
      </c>
      <c r="B10909" s="1" t="n">
        <v>45450</v>
      </c>
      <c r="C10909" s="1" t="n">
        <v>45677</v>
      </c>
      <c r="D10909" t="inlineStr">
        <is>
          <t>GÄVLEBORGS LÄN</t>
        </is>
      </c>
      <c r="E10909" t="inlineStr">
        <is>
          <t>LJUSDAL</t>
        </is>
      </c>
      <c r="F10909" t="inlineStr">
        <is>
          <t>Holmen skog AB</t>
        </is>
      </c>
      <c r="G10909" t="n">
        <v>10.7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23038-2024</t>
        </is>
      </c>
      <c r="B10910" s="1" t="n">
        <v>45450</v>
      </c>
      <c r="C10910" s="1" t="n">
        <v>45677</v>
      </c>
      <c r="D10910" t="inlineStr">
        <is>
          <t>GÄVLEBORGS LÄN</t>
        </is>
      </c>
      <c r="E10910" t="inlineStr">
        <is>
          <t>OVANÅKER</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23162-2024</t>
        </is>
      </c>
      <c r="B10911" s="1" t="n">
        <v>45450</v>
      </c>
      <c r="C10911" s="1" t="n">
        <v>45677</v>
      </c>
      <c r="D10911" t="inlineStr">
        <is>
          <t>GÄVLEBORGS LÄN</t>
        </is>
      </c>
      <c r="E10911" t="inlineStr">
        <is>
          <t>LJUSDAL</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23072-2024</t>
        </is>
      </c>
      <c r="B10912" s="1" t="n">
        <v>45450</v>
      </c>
      <c r="C10912" s="1" t="n">
        <v>45677</v>
      </c>
      <c r="D10912" t="inlineStr">
        <is>
          <t>GÄVLEBORGS LÄN</t>
        </is>
      </c>
      <c r="E10912" t="inlineStr">
        <is>
          <t>OCKELBO</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23118-2024</t>
        </is>
      </c>
      <c r="B10913" s="1" t="n">
        <v>45450</v>
      </c>
      <c r="C10913" s="1" t="n">
        <v>45677</v>
      </c>
      <c r="D10913" t="inlineStr">
        <is>
          <t>GÄVLEBORGS LÄN</t>
        </is>
      </c>
      <c r="E10913" t="inlineStr">
        <is>
          <t>BOLLNÄS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23163-2024</t>
        </is>
      </c>
      <c r="B10914" s="1" t="n">
        <v>45450</v>
      </c>
      <c r="C10914" s="1" t="n">
        <v>45677</v>
      </c>
      <c r="D10914" t="inlineStr">
        <is>
          <t>GÄVLEBORGS LÄN</t>
        </is>
      </c>
      <c r="E10914" t="inlineStr">
        <is>
          <t>SÖDERHAMN</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23161-2024</t>
        </is>
      </c>
      <c r="B10915" s="1" t="n">
        <v>45450</v>
      </c>
      <c r="C10915" s="1" t="n">
        <v>45677</v>
      </c>
      <c r="D10915" t="inlineStr">
        <is>
          <t>GÄVLEBORGS LÄN</t>
        </is>
      </c>
      <c r="E10915" t="inlineStr">
        <is>
          <t>LJUSDAL</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23200-2024</t>
        </is>
      </c>
      <c r="B10916" s="1" t="n">
        <v>45452</v>
      </c>
      <c r="C10916" s="1" t="n">
        <v>45677</v>
      </c>
      <c r="D10916" t="inlineStr">
        <is>
          <t>GÄVLEBORGS LÄN</t>
        </is>
      </c>
      <c r="E10916" t="inlineStr">
        <is>
          <t>SANDVIKEN</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23229-2024</t>
        </is>
      </c>
      <c r="B10917" s="1" t="n">
        <v>45453</v>
      </c>
      <c r="C10917" s="1" t="n">
        <v>45677</v>
      </c>
      <c r="D10917" t="inlineStr">
        <is>
          <t>GÄVLEBORGS LÄN</t>
        </is>
      </c>
      <c r="E10917" t="inlineStr">
        <is>
          <t>SÖDERHAMN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23211-2024</t>
        </is>
      </c>
      <c r="B10918" s="1" t="n">
        <v>45452</v>
      </c>
      <c r="C10918" s="1" t="n">
        <v>45677</v>
      </c>
      <c r="D10918" t="inlineStr">
        <is>
          <t>GÄVLEBORGS LÄN</t>
        </is>
      </c>
      <c r="E10918" t="inlineStr">
        <is>
          <t>BOLLNÄS</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23227-2024</t>
        </is>
      </c>
      <c r="B10919" s="1" t="n">
        <v>45452</v>
      </c>
      <c r="C10919" s="1" t="n">
        <v>45677</v>
      </c>
      <c r="D10919" t="inlineStr">
        <is>
          <t>GÄVLEBORGS LÄN</t>
        </is>
      </c>
      <c r="E10919" t="inlineStr">
        <is>
          <t>SANDVIKEN</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23228-2024</t>
        </is>
      </c>
      <c r="B10920" s="1" t="n">
        <v>45453</v>
      </c>
      <c r="C10920" s="1" t="n">
        <v>45677</v>
      </c>
      <c r="D10920" t="inlineStr">
        <is>
          <t>GÄVLEBORGS LÄN</t>
        </is>
      </c>
      <c r="E10920" t="inlineStr">
        <is>
          <t>SÖDERHAMN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23226-2024</t>
        </is>
      </c>
      <c r="B10921" s="1" t="n">
        <v>45453</v>
      </c>
      <c r="C10921" s="1" t="n">
        <v>45677</v>
      </c>
      <c r="D10921" t="inlineStr">
        <is>
          <t>GÄVLEBORGS LÄN</t>
        </is>
      </c>
      <c r="E10921" t="inlineStr">
        <is>
          <t>SANDVIKEN</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23230-2024</t>
        </is>
      </c>
      <c r="B10922" s="1" t="n">
        <v>45453</v>
      </c>
      <c r="C10922" s="1" t="n">
        <v>45677</v>
      </c>
      <c r="D10922" t="inlineStr">
        <is>
          <t>GÄVLEBORGS LÄN</t>
        </is>
      </c>
      <c r="E10922" t="inlineStr">
        <is>
          <t>SÖDERHAMN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23251-2024</t>
        </is>
      </c>
      <c r="B10923" s="1" t="n">
        <v>45453</v>
      </c>
      <c r="C10923" s="1" t="n">
        <v>45677</v>
      </c>
      <c r="D10923" t="inlineStr">
        <is>
          <t>GÄVLEBORGS LÄN</t>
        </is>
      </c>
      <c r="E10923" t="inlineStr">
        <is>
          <t>NORDANSTIG</t>
        </is>
      </c>
      <c r="F10923" t="inlineStr">
        <is>
          <t>Holmen skog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23255-2024</t>
        </is>
      </c>
      <c r="B10924" s="1" t="n">
        <v>45453</v>
      </c>
      <c r="C10924" s="1" t="n">
        <v>45677</v>
      </c>
      <c r="D10924" t="inlineStr">
        <is>
          <t>GÄVLEBORGS LÄN</t>
        </is>
      </c>
      <c r="E10924" t="inlineStr">
        <is>
          <t>OCKELBO</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23236-2024</t>
        </is>
      </c>
      <c r="B10925" s="1" t="n">
        <v>45453</v>
      </c>
      <c r="C10925" s="1" t="n">
        <v>45677</v>
      </c>
      <c r="D10925" t="inlineStr">
        <is>
          <t>GÄVLEBORGS LÄN</t>
        </is>
      </c>
      <c r="E10925" t="inlineStr">
        <is>
          <t>HUDIKSVALL</t>
        </is>
      </c>
      <c r="F10925" t="inlineStr">
        <is>
          <t>Sveaskog</t>
        </is>
      </c>
      <c r="G10925" t="n">
        <v>20.9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23276-2024</t>
        </is>
      </c>
      <c r="B10926" s="1" t="n">
        <v>45453</v>
      </c>
      <c r="C10926" s="1" t="n">
        <v>45677</v>
      </c>
      <c r="D10926" t="inlineStr">
        <is>
          <t>GÄVLEBORGS LÄN</t>
        </is>
      </c>
      <c r="E10926" t="inlineStr">
        <is>
          <t>NORDANSTIG</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23289-2024</t>
        </is>
      </c>
      <c r="B10927" s="1" t="n">
        <v>45453</v>
      </c>
      <c r="C10927" s="1" t="n">
        <v>45677</v>
      </c>
      <c r="D10927" t="inlineStr">
        <is>
          <t>GÄVLEBORGS LÄN</t>
        </is>
      </c>
      <c r="E10927" t="inlineStr">
        <is>
          <t>SANDVIKEN</t>
        </is>
      </c>
      <c r="F10927" t="inlineStr">
        <is>
          <t>Kyrkan</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23324-2024</t>
        </is>
      </c>
      <c r="B10928" s="1" t="n">
        <v>45453</v>
      </c>
      <c r="C10928" s="1" t="n">
        <v>45677</v>
      </c>
      <c r="D10928" t="inlineStr">
        <is>
          <t>GÄVLEBORGS LÄN</t>
        </is>
      </c>
      <c r="E10928" t="inlineStr">
        <is>
          <t>GÄVLE</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23348-2024</t>
        </is>
      </c>
      <c r="B10929" s="1" t="n">
        <v>45453</v>
      </c>
      <c r="C10929" s="1" t="n">
        <v>45677</v>
      </c>
      <c r="D10929" t="inlineStr">
        <is>
          <t>GÄVLEBORGS LÄN</t>
        </is>
      </c>
      <c r="E10929" t="inlineStr">
        <is>
          <t>SÖDERHAMN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23376-2024</t>
        </is>
      </c>
      <c r="B10930" s="1" t="n">
        <v>45453</v>
      </c>
      <c r="C10930" s="1" t="n">
        <v>45677</v>
      </c>
      <c r="D10930" t="inlineStr">
        <is>
          <t>GÄVLEBORGS LÄN</t>
        </is>
      </c>
      <c r="E10930" t="inlineStr">
        <is>
          <t>HOFORS</t>
        </is>
      </c>
      <c r="F10930" t="inlineStr">
        <is>
          <t>Sveaskog</t>
        </is>
      </c>
      <c r="G10930" t="n">
        <v>10.8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23374-2024</t>
        </is>
      </c>
      <c r="B10931" s="1" t="n">
        <v>45453</v>
      </c>
      <c r="C10931" s="1" t="n">
        <v>45677</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23526-2024</t>
        </is>
      </c>
      <c r="B10932" s="1" t="n">
        <v>45454</v>
      </c>
      <c r="C10932" s="1" t="n">
        <v>45677</v>
      </c>
      <c r="D10932" t="inlineStr">
        <is>
          <t>GÄVLEBORGS LÄN</t>
        </is>
      </c>
      <c r="E10932" t="inlineStr">
        <is>
          <t>LJUSDAL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23442-2024</t>
        </is>
      </c>
      <c r="B10933" s="1" t="n">
        <v>45453</v>
      </c>
      <c r="C10933" s="1" t="n">
        <v>45677</v>
      </c>
      <c r="D10933" t="inlineStr">
        <is>
          <t>GÄVLEBORGS LÄN</t>
        </is>
      </c>
      <c r="E10933" t="inlineStr">
        <is>
          <t>OVANÅKER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23394-2024</t>
        </is>
      </c>
      <c r="B10934" s="1" t="n">
        <v>45453</v>
      </c>
      <c r="C10934" s="1" t="n">
        <v>45677</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23365-2024</t>
        </is>
      </c>
      <c r="B10935" s="1" t="n">
        <v>45453</v>
      </c>
      <c r="C10935" s="1" t="n">
        <v>45677</v>
      </c>
      <c r="D10935" t="inlineStr">
        <is>
          <t>GÄVLEBORGS LÄN</t>
        </is>
      </c>
      <c r="E10935" t="inlineStr">
        <is>
          <t>BOLLNÄS</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23296-2024</t>
        </is>
      </c>
      <c r="B10936" s="1" t="n">
        <v>45453</v>
      </c>
      <c r="C10936" s="1" t="n">
        <v>45677</v>
      </c>
      <c r="D10936" t="inlineStr">
        <is>
          <t>GÄVLEBORGS LÄN</t>
        </is>
      </c>
      <c r="E10936" t="inlineStr">
        <is>
          <t>HUDIKSVALL</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23284-2024</t>
        </is>
      </c>
      <c r="B10937" s="1" t="n">
        <v>45453</v>
      </c>
      <c r="C10937" s="1" t="n">
        <v>45677</v>
      </c>
      <c r="D10937" t="inlineStr">
        <is>
          <t>GÄVLEBORGS LÄN</t>
        </is>
      </c>
      <c r="E10937" t="inlineStr">
        <is>
          <t>LJUSDAL</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23440-2024</t>
        </is>
      </c>
      <c r="B10938" s="1" t="n">
        <v>45453</v>
      </c>
      <c r="C10938" s="1" t="n">
        <v>45677</v>
      </c>
      <c r="D10938" t="inlineStr">
        <is>
          <t>GÄVLEBORGS LÄN</t>
        </is>
      </c>
      <c r="E10938" t="inlineStr">
        <is>
          <t>BOLLNÄS</t>
        </is>
      </c>
      <c r="F10938" t="inlineStr">
        <is>
          <t>Bergvik skog väst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23416-2024</t>
        </is>
      </c>
      <c r="B10939" s="1" t="n">
        <v>45453</v>
      </c>
      <c r="C10939" s="1" t="n">
        <v>45677</v>
      </c>
      <c r="D10939" t="inlineStr">
        <is>
          <t>GÄVLEBORGS LÄN</t>
        </is>
      </c>
      <c r="E10939" t="inlineStr">
        <is>
          <t>BOLLNÄS</t>
        </is>
      </c>
      <c r="F10939" t="inlineStr">
        <is>
          <t>Bergvik skog väst AB</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23386-2024</t>
        </is>
      </c>
      <c r="B10940" s="1" t="n">
        <v>45453</v>
      </c>
      <c r="C10940" s="1" t="n">
        <v>45677</v>
      </c>
      <c r="D10940" t="inlineStr">
        <is>
          <t>GÄVLEBORGS LÄN</t>
        </is>
      </c>
      <c r="E10940" t="inlineStr">
        <is>
          <t>LJUSDAL</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23447-2024</t>
        </is>
      </c>
      <c r="B10941" s="1" t="n">
        <v>45453</v>
      </c>
      <c r="C10941" s="1" t="n">
        <v>45677</v>
      </c>
      <c r="D10941" t="inlineStr">
        <is>
          <t>GÄVLEBORGS LÄN</t>
        </is>
      </c>
      <c r="E10941" t="inlineStr">
        <is>
          <t>OVANÅKER</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23499-2024</t>
        </is>
      </c>
      <c r="B10942" s="1" t="n">
        <v>45453</v>
      </c>
      <c r="C10942" s="1" t="n">
        <v>45677</v>
      </c>
      <c r="D10942" t="inlineStr">
        <is>
          <t>GÄVLEBORGS LÄN</t>
        </is>
      </c>
      <c r="E10942" t="inlineStr">
        <is>
          <t>OVANÅKER</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23519-2024</t>
        </is>
      </c>
      <c r="B10943" s="1" t="n">
        <v>45454</v>
      </c>
      <c r="C10943" s="1" t="n">
        <v>45677</v>
      </c>
      <c r="D10943" t="inlineStr">
        <is>
          <t>GÄVLEBORGS LÄN</t>
        </is>
      </c>
      <c r="E10943" t="inlineStr">
        <is>
          <t>LJUSDAL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23441-2024</t>
        </is>
      </c>
      <c r="B10944" s="1" t="n">
        <v>45453</v>
      </c>
      <c r="C10944" s="1" t="n">
        <v>45677</v>
      </c>
      <c r="D10944" t="inlineStr">
        <is>
          <t>GÄVLEBORGS LÄN</t>
        </is>
      </c>
      <c r="E10944" t="inlineStr">
        <is>
          <t>SANDVIKEN</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23449-2024</t>
        </is>
      </c>
      <c r="B10945" s="1" t="n">
        <v>45453</v>
      </c>
      <c r="C10945" s="1" t="n">
        <v>45677</v>
      </c>
      <c r="D10945" t="inlineStr">
        <is>
          <t>GÄVLEBORGS LÄN</t>
        </is>
      </c>
      <c r="E10945" t="inlineStr">
        <is>
          <t>HUDIKSVALL</t>
        </is>
      </c>
      <c r="F10945" t="inlineStr">
        <is>
          <t>Holmen skog AB</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23404-2024</t>
        </is>
      </c>
      <c r="B10946" s="1" t="n">
        <v>45453</v>
      </c>
      <c r="C10946" s="1" t="n">
        <v>45677</v>
      </c>
      <c r="D10946" t="inlineStr">
        <is>
          <t>GÄVLEBORGS LÄN</t>
        </is>
      </c>
      <c r="E10946" t="inlineStr">
        <is>
          <t>BOLLNÄS</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23375-2024</t>
        </is>
      </c>
      <c r="B10947" s="1" t="n">
        <v>45453</v>
      </c>
      <c r="C10947" s="1" t="n">
        <v>45677</v>
      </c>
      <c r="D10947" t="inlineStr">
        <is>
          <t>GÄVLEBORGS LÄN</t>
        </is>
      </c>
      <c r="E10947" t="inlineStr">
        <is>
          <t>BOLLNÄS</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23355-2024</t>
        </is>
      </c>
      <c r="B10948" s="1" t="n">
        <v>45453</v>
      </c>
      <c r="C10948" s="1" t="n">
        <v>45677</v>
      </c>
      <c r="D10948" t="inlineStr">
        <is>
          <t>GÄVLEBORGS LÄN</t>
        </is>
      </c>
      <c r="E10948" t="inlineStr">
        <is>
          <t>HOFORS</t>
        </is>
      </c>
      <c r="F10948" t="inlineStr">
        <is>
          <t>Sveaskog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23347-2024</t>
        </is>
      </c>
      <c r="B10949" s="1" t="n">
        <v>45453</v>
      </c>
      <c r="C10949" s="1" t="n">
        <v>45677</v>
      </c>
      <c r="D10949" t="inlineStr">
        <is>
          <t>GÄVLEBORGS LÄN</t>
        </is>
      </c>
      <c r="E10949" t="inlineStr">
        <is>
          <t>SÖDERHAMN</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23335-2024</t>
        </is>
      </c>
      <c r="B10950" s="1" t="n">
        <v>45453</v>
      </c>
      <c r="C10950" s="1" t="n">
        <v>45677</v>
      </c>
      <c r="D10950" t="inlineStr">
        <is>
          <t>GÄVLEBORGS LÄN</t>
        </is>
      </c>
      <c r="E10950" t="inlineStr">
        <is>
          <t>BOLLNÄS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23310-2024</t>
        </is>
      </c>
      <c r="B10951" s="1" t="n">
        <v>45453</v>
      </c>
      <c r="C10951" s="1" t="n">
        <v>45677</v>
      </c>
      <c r="D10951" t="inlineStr">
        <is>
          <t>GÄVLEBORGS LÄN</t>
        </is>
      </c>
      <c r="E10951" t="inlineStr">
        <is>
          <t>GÄVLE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23587-2024</t>
        </is>
      </c>
      <c r="B10952" s="1" t="n">
        <v>45454</v>
      </c>
      <c r="C10952" s="1" t="n">
        <v>45677</v>
      </c>
      <c r="D10952" t="inlineStr">
        <is>
          <t>GÄVLEBORGS LÄN</t>
        </is>
      </c>
      <c r="E10952" t="inlineStr">
        <is>
          <t>GÄVLE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23603-2024</t>
        </is>
      </c>
      <c r="B10953" s="1" t="n">
        <v>45454</v>
      </c>
      <c r="C10953" s="1" t="n">
        <v>45677</v>
      </c>
      <c r="D10953" t="inlineStr">
        <is>
          <t>GÄVLEBORGS LÄN</t>
        </is>
      </c>
      <c r="E10953" t="inlineStr">
        <is>
          <t>HUDIKSVALL</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23582-2024</t>
        </is>
      </c>
      <c r="B10954" s="1" t="n">
        <v>45454</v>
      </c>
      <c r="C10954" s="1" t="n">
        <v>45677</v>
      </c>
      <c r="D10954" t="inlineStr">
        <is>
          <t>GÄVLEBORGS LÄN</t>
        </is>
      </c>
      <c r="E10954" t="inlineStr">
        <is>
          <t>OVANÅKER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23643-2024</t>
        </is>
      </c>
      <c r="B10955" s="1" t="n">
        <v>45454</v>
      </c>
      <c r="C10955" s="1" t="n">
        <v>45677</v>
      </c>
      <c r="D10955" t="inlineStr">
        <is>
          <t>GÄVLEBORGS LÄN</t>
        </is>
      </c>
      <c r="E10955" t="inlineStr">
        <is>
          <t>GÄVLE</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23593-2024</t>
        </is>
      </c>
      <c r="B10956" s="1" t="n">
        <v>45454</v>
      </c>
      <c r="C10956" s="1" t="n">
        <v>45677</v>
      </c>
      <c r="D10956" t="inlineStr">
        <is>
          <t>GÄVLEBORGS LÄN</t>
        </is>
      </c>
      <c r="E10956" t="inlineStr">
        <is>
          <t>OVANÅKER</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23638-2024</t>
        </is>
      </c>
      <c r="B10957" s="1" t="n">
        <v>45454</v>
      </c>
      <c r="C10957" s="1" t="n">
        <v>45677</v>
      </c>
      <c r="D10957" t="inlineStr">
        <is>
          <t>GÄVLEBORGS LÄN</t>
        </is>
      </c>
      <c r="E10957" t="inlineStr">
        <is>
          <t>GÄVLE</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23604-2024</t>
        </is>
      </c>
      <c r="B10958" s="1" t="n">
        <v>45454</v>
      </c>
      <c r="C10958" s="1" t="n">
        <v>45677</v>
      </c>
      <c r="D10958" t="inlineStr">
        <is>
          <t>GÄVLEBORGS LÄN</t>
        </is>
      </c>
      <c r="E10958" t="inlineStr">
        <is>
          <t>OVANÅKER</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23588-2024</t>
        </is>
      </c>
      <c r="B10959" s="1" t="n">
        <v>45454</v>
      </c>
      <c r="C10959" s="1" t="n">
        <v>45677</v>
      </c>
      <c r="D10959" t="inlineStr">
        <is>
          <t>GÄVLEBORGS LÄN</t>
        </is>
      </c>
      <c r="E10959" t="inlineStr">
        <is>
          <t>OVANÅKER</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23758-2024</t>
        </is>
      </c>
      <c r="B10960" s="1" t="n">
        <v>45455</v>
      </c>
      <c r="C10960" s="1" t="n">
        <v>45677</v>
      </c>
      <c r="D10960" t="inlineStr">
        <is>
          <t>GÄVLEBORGS LÄN</t>
        </is>
      </c>
      <c r="E10960" t="inlineStr">
        <is>
          <t>SANDVIKEN</t>
        </is>
      </c>
      <c r="F10960" t="inlineStr">
        <is>
          <t>Kyrkan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23766-2024</t>
        </is>
      </c>
      <c r="B10961" s="1" t="n">
        <v>45455</v>
      </c>
      <c r="C10961" s="1" t="n">
        <v>45677</v>
      </c>
      <c r="D10961" t="inlineStr">
        <is>
          <t>GÄVLEBORGS LÄN</t>
        </is>
      </c>
      <c r="E10961" t="inlineStr">
        <is>
          <t>OCKELBO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23770-2024</t>
        </is>
      </c>
      <c r="B10962" s="1" t="n">
        <v>45455</v>
      </c>
      <c r="C10962" s="1" t="n">
        <v>45677</v>
      </c>
      <c r="D10962" t="inlineStr">
        <is>
          <t>GÄVLEBORGS LÄN</t>
        </is>
      </c>
      <c r="E10962" t="inlineStr">
        <is>
          <t>NORDANSTIG</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23772-2024</t>
        </is>
      </c>
      <c r="B10963" s="1" t="n">
        <v>45455</v>
      </c>
      <c r="C10963" s="1" t="n">
        <v>45677</v>
      </c>
      <c r="D10963" t="inlineStr">
        <is>
          <t>GÄVLEBORGS LÄN</t>
        </is>
      </c>
      <c r="E10963" t="inlineStr">
        <is>
          <t>OCKELBO</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23780-2024</t>
        </is>
      </c>
      <c r="B10964" s="1" t="n">
        <v>45455</v>
      </c>
      <c r="C10964" s="1" t="n">
        <v>45677</v>
      </c>
      <c r="D10964" t="inlineStr">
        <is>
          <t>GÄVLEBORGS LÄN</t>
        </is>
      </c>
      <c r="E10964" t="inlineStr">
        <is>
          <t>OCKELBO</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23767-2024</t>
        </is>
      </c>
      <c r="B10965" s="1" t="n">
        <v>45455</v>
      </c>
      <c r="C10965" s="1" t="n">
        <v>45677</v>
      </c>
      <c r="D10965" t="inlineStr">
        <is>
          <t>GÄVLEBORGS LÄN</t>
        </is>
      </c>
      <c r="E10965" t="inlineStr">
        <is>
          <t>OCKELBO</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23771-2024</t>
        </is>
      </c>
      <c r="B10966" s="1" t="n">
        <v>45455</v>
      </c>
      <c r="C10966" s="1" t="n">
        <v>45677</v>
      </c>
      <c r="D10966" t="inlineStr">
        <is>
          <t>GÄVLEBORGS LÄN</t>
        </is>
      </c>
      <c r="E10966" t="inlineStr">
        <is>
          <t>OCKELBO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23792-2024</t>
        </is>
      </c>
      <c r="B10967" s="1" t="n">
        <v>45455</v>
      </c>
      <c r="C10967" s="1" t="n">
        <v>45677</v>
      </c>
      <c r="D10967" t="inlineStr">
        <is>
          <t>GÄVLEBORGS LÄN</t>
        </is>
      </c>
      <c r="E10967" t="inlineStr">
        <is>
          <t>OVANÅKER</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23809-2024</t>
        </is>
      </c>
      <c r="B10968" s="1" t="n">
        <v>45455</v>
      </c>
      <c r="C10968" s="1" t="n">
        <v>45677</v>
      </c>
      <c r="D10968" t="inlineStr">
        <is>
          <t>GÄVLEBORGS LÄN</t>
        </is>
      </c>
      <c r="E10968" t="inlineStr">
        <is>
          <t>BOLLNÄS</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23796-2024</t>
        </is>
      </c>
      <c r="B10969" s="1" t="n">
        <v>45455</v>
      </c>
      <c r="C10969" s="1" t="n">
        <v>45677</v>
      </c>
      <c r="D10969" t="inlineStr">
        <is>
          <t>GÄVLEBORGS LÄN</t>
        </is>
      </c>
      <c r="E10969" t="inlineStr">
        <is>
          <t>BOLLNÄS</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23769-2024</t>
        </is>
      </c>
      <c r="B10970" s="1" t="n">
        <v>45455</v>
      </c>
      <c r="C10970" s="1" t="n">
        <v>45677</v>
      </c>
      <c r="D10970" t="inlineStr">
        <is>
          <t>GÄVLEBORGS LÄN</t>
        </is>
      </c>
      <c r="E10970" t="inlineStr">
        <is>
          <t>OCKELBO</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23958-2024</t>
        </is>
      </c>
      <c r="B10971" s="1" t="n">
        <v>45456</v>
      </c>
      <c r="C10971" s="1" t="n">
        <v>45677</v>
      </c>
      <c r="D10971" t="inlineStr">
        <is>
          <t>GÄVLEBORGS LÄN</t>
        </is>
      </c>
      <c r="E10971" t="inlineStr">
        <is>
          <t>OVANÅKER</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23963-2024</t>
        </is>
      </c>
      <c r="B10972" s="1" t="n">
        <v>45456</v>
      </c>
      <c r="C10972" s="1" t="n">
        <v>45677</v>
      </c>
      <c r="D10972" t="inlineStr">
        <is>
          <t>GÄVLEBORGS LÄN</t>
        </is>
      </c>
      <c r="E10972" t="inlineStr">
        <is>
          <t>NORDANSTIG</t>
        </is>
      </c>
      <c r="F10972" t="inlineStr">
        <is>
          <t>SCA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23959-2024</t>
        </is>
      </c>
      <c r="B10973" s="1" t="n">
        <v>45456</v>
      </c>
      <c r="C10973" s="1" t="n">
        <v>45677</v>
      </c>
      <c r="D10973" t="inlineStr">
        <is>
          <t>GÄVLEBORGS LÄN</t>
        </is>
      </c>
      <c r="E10973" t="inlineStr">
        <is>
          <t>OVANÅKER</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23815-2024</t>
        </is>
      </c>
      <c r="B10974" s="1" t="n">
        <v>45455</v>
      </c>
      <c r="C10974" s="1" t="n">
        <v>45677</v>
      </c>
      <c r="D10974" t="inlineStr">
        <is>
          <t>GÄVLEBORGS LÄN</t>
        </is>
      </c>
      <c r="E10974" t="inlineStr">
        <is>
          <t>LJUSDAL</t>
        </is>
      </c>
      <c r="F10974" t="inlineStr">
        <is>
          <t>Allmännings- och besparingsskogar</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23853-2024</t>
        </is>
      </c>
      <c r="B10975" s="1" t="n">
        <v>45455</v>
      </c>
      <c r="C10975" s="1" t="n">
        <v>45677</v>
      </c>
      <c r="D10975" t="inlineStr">
        <is>
          <t>GÄVLEBORGS LÄN</t>
        </is>
      </c>
      <c r="E10975" t="inlineStr">
        <is>
          <t>HUDIKSVALL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23829-2024</t>
        </is>
      </c>
      <c r="B10976" s="1" t="n">
        <v>45455</v>
      </c>
      <c r="C10976" s="1" t="n">
        <v>45677</v>
      </c>
      <c r="D10976" t="inlineStr">
        <is>
          <t>GÄVLEBORGS LÄN</t>
        </is>
      </c>
      <c r="E10976" t="inlineStr">
        <is>
          <t>LJUSDAL</t>
        </is>
      </c>
      <c r="F10976" t="inlineStr">
        <is>
          <t>Allmännings- och besparingsskogar</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23825-2024</t>
        </is>
      </c>
      <c r="B10977" s="1" t="n">
        <v>45455</v>
      </c>
      <c r="C10977" s="1" t="n">
        <v>45677</v>
      </c>
      <c r="D10977" t="inlineStr">
        <is>
          <t>GÄVLEBORGS LÄN</t>
        </is>
      </c>
      <c r="E10977" t="inlineStr">
        <is>
          <t>LJUSDAL</t>
        </is>
      </c>
      <c r="F10977" t="inlineStr">
        <is>
          <t>Allmännings- och besparingsskogar</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23926-2024</t>
        </is>
      </c>
      <c r="B10978" s="1" t="n">
        <v>45456</v>
      </c>
      <c r="C10978" s="1" t="n">
        <v>45677</v>
      </c>
      <c r="D10978" t="inlineStr">
        <is>
          <t>GÄVLEBORGS LÄN</t>
        </is>
      </c>
      <c r="E10978" t="inlineStr">
        <is>
          <t>SÖDERHAMN</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23872-2024</t>
        </is>
      </c>
      <c r="B10979" s="1" t="n">
        <v>45455</v>
      </c>
      <c r="C10979" s="1" t="n">
        <v>45677</v>
      </c>
      <c r="D10979" t="inlineStr">
        <is>
          <t>GÄVLEBORGS LÄN</t>
        </is>
      </c>
      <c r="E10979" t="inlineStr">
        <is>
          <t>HUDIKSVALL</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23928-2024</t>
        </is>
      </c>
      <c r="B10980" s="1" t="n">
        <v>45456</v>
      </c>
      <c r="C10980" s="1" t="n">
        <v>45677</v>
      </c>
      <c r="D10980" t="inlineStr">
        <is>
          <t>GÄVLEBORGS LÄN</t>
        </is>
      </c>
      <c r="E10980" t="inlineStr">
        <is>
          <t>LJUSDAL</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23891-2024</t>
        </is>
      </c>
      <c r="B10981" s="1" t="n">
        <v>45455</v>
      </c>
      <c r="C10981" s="1" t="n">
        <v>45677</v>
      </c>
      <c r="D10981" t="inlineStr">
        <is>
          <t>GÄVLEBORGS LÄN</t>
        </is>
      </c>
      <c r="E10981" t="inlineStr">
        <is>
          <t>HOFORS</t>
        </is>
      </c>
      <c r="F10981" t="inlineStr">
        <is>
          <t>Sveaskog</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23883-2024</t>
        </is>
      </c>
      <c r="B10982" s="1" t="n">
        <v>45455</v>
      </c>
      <c r="C10982" s="1" t="n">
        <v>45677</v>
      </c>
      <c r="D10982" t="inlineStr">
        <is>
          <t>GÄVLEBORGS LÄN</t>
        </is>
      </c>
      <c r="E10982" t="inlineStr">
        <is>
          <t>GÄVLE</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24047-2024</t>
        </is>
      </c>
      <c r="B10983" s="1" t="n">
        <v>45456</v>
      </c>
      <c r="C10983" s="1" t="n">
        <v>45677</v>
      </c>
      <c r="D10983" t="inlineStr">
        <is>
          <t>GÄVLEBORGS LÄN</t>
        </is>
      </c>
      <c r="E10983" t="inlineStr">
        <is>
          <t>OVANÅKER</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24064-2024</t>
        </is>
      </c>
      <c r="B10984" s="1" t="n">
        <v>45456</v>
      </c>
      <c r="C10984" s="1" t="n">
        <v>45677</v>
      </c>
      <c r="D10984" t="inlineStr">
        <is>
          <t>GÄVLEBORGS LÄN</t>
        </is>
      </c>
      <c r="E10984" t="inlineStr">
        <is>
          <t>OVANÅKER</t>
        </is>
      </c>
      <c r="F10984" t="inlineStr">
        <is>
          <t>Bergvik skog väst AB</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24084-2024</t>
        </is>
      </c>
      <c r="B10985" s="1" t="n">
        <v>45456</v>
      </c>
      <c r="C10985" s="1" t="n">
        <v>45677</v>
      </c>
      <c r="D10985" t="inlineStr">
        <is>
          <t>GÄVLEBORGS LÄN</t>
        </is>
      </c>
      <c r="E10985" t="inlineStr">
        <is>
          <t>OVANÅKER</t>
        </is>
      </c>
      <c r="F10985" t="inlineStr">
        <is>
          <t>Bergvik skog väst AB</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24032-2024</t>
        </is>
      </c>
      <c r="B10986" s="1" t="n">
        <v>45456</v>
      </c>
      <c r="C10986" s="1" t="n">
        <v>45677</v>
      </c>
      <c r="D10986" t="inlineStr">
        <is>
          <t>GÄVLEBORGS LÄN</t>
        </is>
      </c>
      <c r="E10986" t="inlineStr">
        <is>
          <t>OVANÅKER</t>
        </is>
      </c>
      <c r="F10986" t="inlineStr">
        <is>
          <t>Bergvik skog väst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24056-2024</t>
        </is>
      </c>
      <c r="B10987" s="1" t="n">
        <v>45456</v>
      </c>
      <c r="C10987" s="1" t="n">
        <v>45677</v>
      </c>
      <c r="D10987" t="inlineStr">
        <is>
          <t>GÄVLEBORGS LÄN</t>
        </is>
      </c>
      <c r="E10987" t="inlineStr">
        <is>
          <t>OVANÅKER</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24069-2024</t>
        </is>
      </c>
      <c r="B10988" s="1" t="n">
        <v>45456</v>
      </c>
      <c r="C10988" s="1" t="n">
        <v>45677</v>
      </c>
      <c r="D10988" t="inlineStr">
        <is>
          <t>GÄVLEBORGS LÄN</t>
        </is>
      </c>
      <c r="E10988" t="inlineStr">
        <is>
          <t>OVANÅKER</t>
        </is>
      </c>
      <c r="F10988" t="inlineStr">
        <is>
          <t>Bergvik skog väst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23975-2024</t>
        </is>
      </c>
      <c r="B10989" s="1" t="n">
        <v>45456</v>
      </c>
      <c r="C10989" s="1" t="n">
        <v>45677</v>
      </c>
      <c r="D10989" t="inlineStr">
        <is>
          <t>GÄVLEBORGS LÄN</t>
        </is>
      </c>
      <c r="E10989" t="inlineStr">
        <is>
          <t>BOLLNÄS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24008-2024</t>
        </is>
      </c>
      <c r="B10990" s="1" t="n">
        <v>45456</v>
      </c>
      <c r="C10990" s="1" t="n">
        <v>45677</v>
      </c>
      <c r="D10990" t="inlineStr">
        <is>
          <t>GÄVLEBORGS LÄN</t>
        </is>
      </c>
      <c r="E10990" t="inlineStr">
        <is>
          <t>HOFORS</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24033-2024</t>
        </is>
      </c>
      <c r="B10991" s="1" t="n">
        <v>45456</v>
      </c>
      <c r="C10991" s="1" t="n">
        <v>45677</v>
      </c>
      <c r="D10991" t="inlineStr">
        <is>
          <t>GÄVLEBORGS LÄN</t>
        </is>
      </c>
      <c r="E10991" t="inlineStr">
        <is>
          <t>HUDIKSVALL</t>
        </is>
      </c>
      <c r="F10991" t="inlineStr">
        <is>
          <t>Holmen skog AB</t>
        </is>
      </c>
      <c r="G10991" t="n">
        <v>22.8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24074-2024</t>
        </is>
      </c>
      <c r="B10992" s="1" t="n">
        <v>45456</v>
      </c>
      <c r="C10992" s="1" t="n">
        <v>45677</v>
      </c>
      <c r="D10992" t="inlineStr">
        <is>
          <t>GÄVLEBORGS LÄN</t>
        </is>
      </c>
      <c r="E10992" t="inlineStr">
        <is>
          <t>OVANÅKER</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24086-2024</t>
        </is>
      </c>
      <c r="B10993" s="1" t="n">
        <v>45456</v>
      </c>
      <c r="C10993" s="1" t="n">
        <v>45677</v>
      </c>
      <c r="D10993" t="inlineStr">
        <is>
          <t>GÄVLEBORGS LÄN</t>
        </is>
      </c>
      <c r="E10993" t="inlineStr">
        <is>
          <t>HUDIKSVALL</t>
        </is>
      </c>
      <c r="F10993" t="inlineStr">
        <is>
          <t>Holmen skog AB</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24134-2024</t>
        </is>
      </c>
      <c r="B10994" s="1" t="n">
        <v>45456</v>
      </c>
      <c r="C10994" s="1" t="n">
        <v>45677</v>
      </c>
      <c r="D10994" t="inlineStr">
        <is>
          <t>GÄVLEBORGS LÄN</t>
        </is>
      </c>
      <c r="E10994" t="inlineStr">
        <is>
          <t>OVANÅKER</t>
        </is>
      </c>
      <c r="F10994" t="inlineStr">
        <is>
          <t>Bergvik skog väst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24137-2024</t>
        </is>
      </c>
      <c r="B10995" s="1" t="n">
        <v>45456</v>
      </c>
      <c r="C10995" s="1" t="n">
        <v>45677</v>
      </c>
      <c r="D10995" t="inlineStr">
        <is>
          <t>GÄVLEBORGS LÄN</t>
        </is>
      </c>
      <c r="E10995" t="inlineStr">
        <is>
          <t>OVANÅKER</t>
        </is>
      </c>
      <c r="F10995" t="inlineStr">
        <is>
          <t>Bergvik skog väst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24141-2024</t>
        </is>
      </c>
      <c r="B10996" s="1" t="n">
        <v>45456</v>
      </c>
      <c r="C10996" s="1" t="n">
        <v>45677</v>
      </c>
      <c r="D10996" t="inlineStr">
        <is>
          <t>GÄVLEBORGS LÄN</t>
        </is>
      </c>
      <c r="E10996" t="inlineStr">
        <is>
          <t>GÄVLE</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24178-2024</t>
        </is>
      </c>
      <c r="B10997" s="1" t="n">
        <v>45456</v>
      </c>
      <c r="C10997" s="1" t="n">
        <v>45677</v>
      </c>
      <c r="D10997" t="inlineStr">
        <is>
          <t>GÄVLEBORGS LÄN</t>
        </is>
      </c>
      <c r="E10997" t="inlineStr">
        <is>
          <t>NORDANSTIG</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24067-2024</t>
        </is>
      </c>
      <c r="B10998" s="1" t="n">
        <v>45456</v>
      </c>
      <c r="C10998" s="1" t="n">
        <v>45677</v>
      </c>
      <c r="D10998" t="inlineStr">
        <is>
          <t>GÄVLEBORGS LÄN</t>
        </is>
      </c>
      <c r="E10998" t="inlineStr">
        <is>
          <t>OVANÅKER</t>
        </is>
      </c>
      <c r="F10998" t="inlineStr">
        <is>
          <t>Bergvik skog väst AB</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24075-2024</t>
        </is>
      </c>
      <c r="B10999" s="1" t="n">
        <v>45456</v>
      </c>
      <c r="C10999" s="1" t="n">
        <v>45677</v>
      </c>
      <c r="D10999" t="inlineStr">
        <is>
          <t>GÄVLEBORGS LÄN</t>
        </is>
      </c>
      <c r="E10999" t="inlineStr">
        <is>
          <t>OVANÅKER</t>
        </is>
      </c>
      <c r="F10999" t="inlineStr">
        <is>
          <t>Bergvik skog väst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24079-2024</t>
        </is>
      </c>
      <c r="B11000" s="1" t="n">
        <v>45456</v>
      </c>
      <c r="C11000" s="1" t="n">
        <v>45677</v>
      </c>
      <c r="D11000" t="inlineStr">
        <is>
          <t>GÄVLEBORGS LÄN</t>
        </is>
      </c>
      <c r="E11000" t="inlineStr">
        <is>
          <t>OVANÅKER</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24119-2024</t>
        </is>
      </c>
      <c r="B11001" s="1" t="n">
        <v>45456</v>
      </c>
      <c r="C11001" s="1" t="n">
        <v>45677</v>
      </c>
      <c r="D11001" t="inlineStr">
        <is>
          <t>GÄVLEBORGS LÄN</t>
        </is>
      </c>
      <c r="E11001" t="inlineStr">
        <is>
          <t>HUDIKSVALL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24159-2024</t>
        </is>
      </c>
      <c r="B11002" s="1" t="n">
        <v>45456</v>
      </c>
      <c r="C11002" s="1" t="n">
        <v>45677</v>
      </c>
      <c r="D11002" t="inlineStr">
        <is>
          <t>GÄVLEBORGS LÄN</t>
        </is>
      </c>
      <c r="E11002" t="inlineStr">
        <is>
          <t>LJUSDAL</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24176-2024</t>
        </is>
      </c>
      <c r="B11003" s="1" t="n">
        <v>45456</v>
      </c>
      <c r="C11003" s="1" t="n">
        <v>45677</v>
      </c>
      <c r="D11003" t="inlineStr">
        <is>
          <t>GÄVLEBORGS LÄN</t>
        </is>
      </c>
      <c r="E11003" t="inlineStr">
        <is>
          <t>NORDANSTIG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24294-2024</t>
        </is>
      </c>
      <c r="B11004" s="1" t="n">
        <v>45457</v>
      </c>
      <c r="C11004" s="1" t="n">
        <v>45677</v>
      </c>
      <c r="D11004" t="inlineStr">
        <is>
          <t>GÄVLEBORGS LÄN</t>
        </is>
      </c>
      <c r="E11004" t="inlineStr">
        <is>
          <t>OVANÅKER</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24322-2024</t>
        </is>
      </c>
      <c r="B11005" s="1" t="n">
        <v>45457</v>
      </c>
      <c r="C11005" s="1" t="n">
        <v>45677</v>
      </c>
      <c r="D11005" t="inlineStr">
        <is>
          <t>GÄVLEBORGS LÄN</t>
        </is>
      </c>
      <c r="E11005" t="inlineStr">
        <is>
          <t>OVANÅKER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24326-2024</t>
        </is>
      </c>
      <c r="B11006" s="1" t="n">
        <v>45457</v>
      </c>
      <c r="C11006" s="1" t="n">
        <v>45677</v>
      </c>
      <c r="D11006" t="inlineStr">
        <is>
          <t>GÄVLEBORGS LÄN</t>
        </is>
      </c>
      <c r="E11006" t="inlineStr">
        <is>
          <t>OVANÅKER</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24330-2024</t>
        </is>
      </c>
      <c r="B11007" s="1" t="n">
        <v>45457</v>
      </c>
      <c r="C11007" s="1" t="n">
        <v>45677</v>
      </c>
      <c r="D11007" t="inlineStr">
        <is>
          <t>GÄVLEBORGS LÄN</t>
        </is>
      </c>
      <c r="E11007" t="inlineStr">
        <is>
          <t>BOLLNÄS</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24220-2024</t>
        </is>
      </c>
      <c r="B11008" s="1" t="n">
        <v>45457</v>
      </c>
      <c r="C11008" s="1" t="n">
        <v>45677</v>
      </c>
      <c r="D11008" t="inlineStr">
        <is>
          <t>GÄVLEBORGS LÄN</t>
        </is>
      </c>
      <c r="E11008" t="inlineStr">
        <is>
          <t>HUDIKSVALL</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24213-2024</t>
        </is>
      </c>
      <c r="B11009" s="1" t="n">
        <v>45457</v>
      </c>
      <c r="C11009" s="1" t="n">
        <v>45677</v>
      </c>
      <c r="D11009" t="inlineStr">
        <is>
          <t>GÄVLEBORGS LÄN</t>
        </is>
      </c>
      <c r="E11009" t="inlineStr">
        <is>
          <t>BOLLNÄS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24374-2024</t>
        </is>
      </c>
      <c r="B11010" s="1" t="n">
        <v>45457</v>
      </c>
      <c r="C11010" s="1" t="n">
        <v>45677</v>
      </c>
      <c r="D11010" t="inlineStr">
        <is>
          <t>GÄVLEBORGS LÄN</t>
        </is>
      </c>
      <c r="E11010" t="inlineStr">
        <is>
          <t>NORDANSTIG</t>
        </is>
      </c>
      <c r="F11010" t="inlineStr">
        <is>
          <t>Holmen skog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24285-2024</t>
        </is>
      </c>
      <c r="B11011" s="1" t="n">
        <v>45457</v>
      </c>
      <c r="C11011" s="1" t="n">
        <v>45677</v>
      </c>
      <c r="D11011" t="inlineStr">
        <is>
          <t>GÄVLEBORGS LÄN</t>
        </is>
      </c>
      <c r="E11011" t="inlineStr">
        <is>
          <t>HUDIKSVALL</t>
        </is>
      </c>
      <c r="F11011" t="inlineStr">
        <is>
          <t>Holmen skog AB</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24289-2024</t>
        </is>
      </c>
      <c r="B11012" s="1" t="n">
        <v>45457</v>
      </c>
      <c r="C11012" s="1" t="n">
        <v>45677</v>
      </c>
      <c r="D11012" t="inlineStr">
        <is>
          <t>GÄVLEBORGS LÄN</t>
        </is>
      </c>
      <c r="E11012" t="inlineStr">
        <is>
          <t>BOLLNÄS</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24293-2024</t>
        </is>
      </c>
      <c r="B11013" s="1" t="n">
        <v>45457</v>
      </c>
      <c r="C11013" s="1" t="n">
        <v>45677</v>
      </c>
      <c r="D11013" t="inlineStr">
        <is>
          <t>GÄVLEBORGS LÄN</t>
        </is>
      </c>
      <c r="E11013" t="inlineStr">
        <is>
          <t>OVANÅKER</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24325-2024</t>
        </is>
      </c>
      <c r="B11014" s="1" t="n">
        <v>45457</v>
      </c>
      <c r="C11014" s="1" t="n">
        <v>45677</v>
      </c>
      <c r="D11014" t="inlineStr">
        <is>
          <t>GÄVLEBORGS LÄN</t>
        </is>
      </c>
      <c r="E11014" t="inlineStr">
        <is>
          <t>BOLLNÄS</t>
        </is>
      </c>
      <c r="F11014" t="inlineStr">
        <is>
          <t>Bergvik skog väst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24329-2024</t>
        </is>
      </c>
      <c r="B11015" s="1" t="n">
        <v>45457</v>
      </c>
      <c r="C11015" s="1" t="n">
        <v>45677</v>
      </c>
      <c r="D11015" t="inlineStr">
        <is>
          <t>GÄVLEBORGS LÄN</t>
        </is>
      </c>
      <c r="E11015" t="inlineStr">
        <is>
          <t>HUDIKSVALL</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24236-2024</t>
        </is>
      </c>
      <c r="B11016" s="1" t="n">
        <v>45457</v>
      </c>
      <c r="C11016" s="1" t="n">
        <v>45677</v>
      </c>
      <c r="D11016" t="inlineStr">
        <is>
          <t>GÄVLEBORGS LÄN</t>
        </is>
      </c>
      <c r="E11016" t="inlineStr">
        <is>
          <t>HUDIKSVALL</t>
        </is>
      </c>
      <c r="F11016" t="inlineStr">
        <is>
          <t>Holmen skog AB</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24272-2024</t>
        </is>
      </c>
      <c r="B11017" s="1" t="n">
        <v>45457</v>
      </c>
      <c r="C11017" s="1" t="n">
        <v>45677</v>
      </c>
      <c r="D11017" t="inlineStr">
        <is>
          <t>GÄVLEBORGS LÄN</t>
        </is>
      </c>
      <c r="E11017" t="inlineStr">
        <is>
          <t>LJUSDAL</t>
        </is>
      </c>
      <c r="F11017" t="inlineStr">
        <is>
          <t>Holmen skog AB</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24304-2024</t>
        </is>
      </c>
      <c r="B11018" s="1" t="n">
        <v>45457</v>
      </c>
      <c r="C11018" s="1" t="n">
        <v>45677</v>
      </c>
      <c r="D11018" t="inlineStr">
        <is>
          <t>GÄVLEBORGS LÄN</t>
        </is>
      </c>
      <c r="E11018" t="inlineStr">
        <is>
          <t>SANDVIKEN</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24312-2024</t>
        </is>
      </c>
      <c r="B11019" s="1" t="n">
        <v>45457</v>
      </c>
      <c r="C11019" s="1" t="n">
        <v>45677</v>
      </c>
      <c r="D11019" t="inlineStr">
        <is>
          <t>GÄVLEBORGS LÄN</t>
        </is>
      </c>
      <c r="E11019" t="inlineStr">
        <is>
          <t>BOLLNÄS</t>
        </is>
      </c>
      <c r="F11019" t="inlineStr">
        <is>
          <t>Bergvik skog väst AB</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24320-2024</t>
        </is>
      </c>
      <c r="B11020" s="1" t="n">
        <v>45457</v>
      </c>
      <c r="C11020" s="1" t="n">
        <v>45677</v>
      </c>
      <c r="D11020" t="inlineStr">
        <is>
          <t>GÄVLEBORGS LÄN</t>
        </is>
      </c>
      <c r="E11020" t="inlineStr">
        <is>
          <t>BOLLNÄS</t>
        </is>
      </c>
      <c r="F11020" t="inlineStr">
        <is>
          <t>Bergvik skog väst AB</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24328-2024</t>
        </is>
      </c>
      <c r="B11021" s="1" t="n">
        <v>45457</v>
      </c>
      <c r="C11021" s="1" t="n">
        <v>45677</v>
      </c>
      <c r="D11021" t="inlineStr">
        <is>
          <t>GÄVLEBORGS LÄN</t>
        </is>
      </c>
      <c r="E11021" t="inlineStr">
        <is>
          <t>BOLLNÄS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24332-2024</t>
        </is>
      </c>
      <c r="B11022" s="1" t="n">
        <v>45457</v>
      </c>
      <c r="C11022" s="1" t="n">
        <v>45677</v>
      </c>
      <c r="D11022" t="inlineStr">
        <is>
          <t>GÄVLEBORGS LÄN</t>
        </is>
      </c>
      <c r="E11022" t="inlineStr">
        <is>
          <t>BOLLNÄS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24271-2024</t>
        </is>
      </c>
      <c r="B11023" s="1" t="n">
        <v>45457</v>
      </c>
      <c r="C11023" s="1" t="n">
        <v>45677</v>
      </c>
      <c r="D11023" t="inlineStr">
        <is>
          <t>GÄVLEBORGS LÄN</t>
        </is>
      </c>
      <c r="E11023" t="inlineStr">
        <is>
          <t>LJUSDAL</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24327-2024</t>
        </is>
      </c>
      <c r="B11024" s="1" t="n">
        <v>45457</v>
      </c>
      <c r="C11024" s="1" t="n">
        <v>45677</v>
      </c>
      <c r="D11024" t="inlineStr">
        <is>
          <t>GÄVLEBORGS LÄN</t>
        </is>
      </c>
      <c r="E11024" t="inlineStr">
        <is>
          <t>BOLLNÄS</t>
        </is>
      </c>
      <c r="F11024" t="inlineStr">
        <is>
          <t>Bergvik skog väst AB</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24741-2024</t>
        </is>
      </c>
      <c r="B11025" s="1" t="n">
        <v>45460</v>
      </c>
      <c r="C11025" s="1" t="n">
        <v>45677</v>
      </c>
      <c r="D11025" t="inlineStr">
        <is>
          <t>GÄVLEBORGS LÄN</t>
        </is>
      </c>
      <c r="E11025" t="inlineStr">
        <is>
          <t>BOLLNÄS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24769-2024</t>
        </is>
      </c>
      <c r="B11026" s="1" t="n">
        <v>45460</v>
      </c>
      <c r="C11026" s="1" t="n">
        <v>45677</v>
      </c>
      <c r="D11026" t="inlineStr">
        <is>
          <t>GÄVLEBORGS LÄN</t>
        </is>
      </c>
      <c r="E11026" t="inlineStr">
        <is>
          <t>SANDVIKEN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24728-2024</t>
        </is>
      </c>
      <c r="B11027" s="1" t="n">
        <v>45460</v>
      </c>
      <c r="C11027" s="1" t="n">
        <v>45677</v>
      </c>
      <c r="D11027" t="inlineStr">
        <is>
          <t>GÄVLEBORGS LÄN</t>
        </is>
      </c>
      <c r="E11027" t="inlineStr">
        <is>
          <t>OVANÅKER</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24764-2024</t>
        </is>
      </c>
      <c r="B11028" s="1" t="n">
        <v>45460</v>
      </c>
      <c r="C11028" s="1" t="n">
        <v>45677</v>
      </c>
      <c r="D11028" t="inlineStr">
        <is>
          <t>GÄVLEBORGS LÄN</t>
        </is>
      </c>
      <c r="E11028" t="inlineStr">
        <is>
          <t>SANDVIKEN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24671-2024</t>
        </is>
      </c>
      <c r="B11029" s="1" t="n">
        <v>45460</v>
      </c>
      <c r="C11029" s="1" t="n">
        <v>45677</v>
      </c>
      <c r="D11029" t="inlineStr">
        <is>
          <t>GÄVLEBORGS LÄN</t>
        </is>
      </c>
      <c r="E11029" t="inlineStr">
        <is>
          <t>OVANÅKER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24691-2024</t>
        </is>
      </c>
      <c r="B11030" s="1" t="n">
        <v>45460</v>
      </c>
      <c r="C11030" s="1" t="n">
        <v>45677</v>
      </c>
      <c r="D11030" t="inlineStr">
        <is>
          <t>GÄVLEBORGS LÄN</t>
        </is>
      </c>
      <c r="E11030" t="inlineStr">
        <is>
          <t>LJUSDAL</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24725-2024</t>
        </is>
      </c>
      <c r="B11031" s="1" t="n">
        <v>45460</v>
      </c>
      <c r="C11031" s="1" t="n">
        <v>45677</v>
      </c>
      <c r="D11031" t="inlineStr">
        <is>
          <t>GÄVLEBORGS LÄN</t>
        </is>
      </c>
      <c r="E11031" t="inlineStr">
        <is>
          <t>OVANÅKER</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24771-2024</t>
        </is>
      </c>
      <c r="B11032" s="1" t="n">
        <v>45460</v>
      </c>
      <c r="C11032" s="1" t="n">
        <v>45677</v>
      </c>
      <c r="D11032" t="inlineStr">
        <is>
          <t>GÄVLEBORGS LÄN</t>
        </is>
      </c>
      <c r="E11032" t="inlineStr">
        <is>
          <t>OCKELBO</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24648-2024</t>
        </is>
      </c>
      <c r="B11033" s="1" t="n">
        <v>45460</v>
      </c>
      <c r="C11033" s="1" t="n">
        <v>45677</v>
      </c>
      <c r="D11033" t="inlineStr">
        <is>
          <t>GÄVLEBORGS LÄN</t>
        </is>
      </c>
      <c r="E11033" t="inlineStr">
        <is>
          <t>OCKELBO</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24551-2024</t>
        </is>
      </c>
      <c r="B11034" s="1" t="n">
        <v>45460</v>
      </c>
      <c r="C11034" s="1" t="n">
        <v>45677</v>
      </c>
      <c r="D11034" t="inlineStr">
        <is>
          <t>GÄVLEBORGS LÄN</t>
        </is>
      </c>
      <c r="E11034" t="inlineStr">
        <is>
          <t>BOLLNÄS</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24512-2024</t>
        </is>
      </c>
      <c r="B11035" s="1" t="n">
        <v>45460</v>
      </c>
      <c r="C11035" s="1" t="n">
        <v>45677</v>
      </c>
      <c r="D11035" t="inlineStr">
        <is>
          <t>GÄVLEBORGS LÄN</t>
        </is>
      </c>
      <c r="E11035" t="inlineStr">
        <is>
          <t>LJUSDAL</t>
        </is>
      </c>
      <c r="G11035" t="n">
        <v>13.7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24775-2024</t>
        </is>
      </c>
      <c r="B11036" s="1" t="n">
        <v>45460</v>
      </c>
      <c r="C11036" s="1" t="n">
        <v>45677</v>
      </c>
      <c r="D11036" t="inlineStr">
        <is>
          <t>GÄVLEBORGS LÄN</t>
        </is>
      </c>
      <c r="E11036" t="inlineStr">
        <is>
          <t>LJUSDAL</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24667-2024</t>
        </is>
      </c>
      <c r="B11037" s="1" t="n">
        <v>45460</v>
      </c>
      <c r="C11037" s="1" t="n">
        <v>45677</v>
      </c>
      <c r="D11037" t="inlineStr">
        <is>
          <t>GÄVLEBORGS LÄN</t>
        </is>
      </c>
      <c r="E11037" t="inlineStr">
        <is>
          <t>LJUSDAL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24659-2024</t>
        </is>
      </c>
      <c r="B11038" s="1" t="n">
        <v>45460</v>
      </c>
      <c r="C11038" s="1" t="n">
        <v>45677</v>
      </c>
      <c r="D11038" t="inlineStr">
        <is>
          <t>GÄVLEBORGS LÄN</t>
        </is>
      </c>
      <c r="E11038" t="inlineStr">
        <is>
          <t>LJUSDAL</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24655-2024</t>
        </is>
      </c>
      <c r="B11039" s="1" t="n">
        <v>45460</v>
      </c>
      <c r="C11039" s="1" t="n">
        <v>45677</v>
      </c>
      <c r="D11039" t="inlineStr">
        <is>
          <t>GÄVLEBORGS LÄN</t>
        </is>
      </c>
      <c r="E11039" t="inlineStr">
        <is>
          <t>LJUSDAL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24665-2024</t>
        </is>
      </c>
      <c r="B11040" s="1" t="n">
        <v>45460</v>
      </c>
      <c r="C11040" s="1" t="n">
        <v>45677</v>
      </c>
      <c r="D11040" t="inlineStr">
        <is>
          <t>GÄVLEBORGS LÄN</t>
        </is>
      </c>
      <c r="E11040" t="inlineStr">
        <is>
          <t>LJUSDAL</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24662-2024</t>
        </is>
      </c>
      <c r="B11041" s="1" t="n">
        <v>45460</v>
      </c>
      <c r="C11041" s="1" t="n">
        <v>45677</v>
      </c>
      <c r="D11041" t="inlineStr">
        <is>
          <t>GÄVLEBORGS LÄN</t>
        </is>
      </c>
      <c r="E11041" t="inlineStr">
        <is>
          <t>LJUSDAL</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24742-2024</t>
        </is>
      </c>
      <c r="B11042" s="1" t="n">
        <v>45460</v>
      </c>
      <c r="C11042" s="1" t="n">
        <v>45677</v>
      </c>
      <c r="D11042" t="inlineStr">
        <is>
          <t>GÄVLEBORGS LÄN</t>
        </is>
      </c>
      <c r="E11042" t="inlineStr">
        <is>
          <t>BOLLNÄS</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24698-2024</t>
        </is>
      </c>
      <c r="B11043" s="1" t="n">
        <v>45460</v>
      </c>
      <c r="C11043" s="1" t="n">
        <v>45677</v>
      </c>
      <c r="D11043" t="inlineStr">
        <is>
          <t>GÄVLEBORGS LÄN</t>
        </is>
      </c>
      <c r="E11043" t="inlineStr">
        <is>
          <t>BOLLNÄS</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25003-2024</t>
        </is>
      </c>
      <c r="B11044" s="1" t="n">
        <v>45461</v>
      </c>
      <c r="C11044" s="1" t="n">
        <v>45677</v>
      </c>
      <c r="D11044" t="inlineStr">
        <is>
          <t>GÄVLEBORGS LÄN</t>
        </is>
      </c>
      <c r="E11044" t="inlineStr">
        <is>
          <t>OVANÅKER</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24971-2024</t>
        </is>
      </c>
      <c r="B11045" s="1" t="n">
        <v>45461</v>
      </c>
      <c r="C11045" s="1" t="n">
        <v>45677</v>
      </c>
      <c r="D11045" t="inlineStr">
        <is>
          <t>GÄVLEBORGS LÄN</t>
        </is>
      </c>
      <c r="E11045" t="inlineStr">
        <is>
          <t>OVANÅKER</t>
        </is>
      </c>
      <c r="F11045" t="inlineStr">
        <is>
          <t>Bergvik skog väst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24918-2024</t>
        </is>
      </c>
      <c r="B11046" s="1" t="n">
        <v>45461</v>
      </c>
      <c r="C11046" s="1" t="n">
        <v>45677</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24910-2024</t>
        </is>
      </c>
      <c r="B11047" s="1" t="n">
        <v>45461</v>
      </c>
      <c r="C11047" s="1" t="n">
        <v>45677</v>
      </c>
      <c r="D11047" t="inlineStr">
        <is>
          <t>GÄVLEBORGS LÄN</t>
        </is>
      </c>
      <c r="E11047" t="inlineStr">
        <is>
          <t>SÖDERHAMN</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24882-2024</t>
        </is>
      </c>
      <c r="B11048" s="1" t="n">
        <v>45461</v>
      </c>
      <c r="C11048" s="1" t="n">
        <v>45677</v>
      </c>
      <c r="D11048" t="inlineStr">
        <is>
          <t>GÄVLEBORGS LÄN</t>
        </is>
      </c>
      <c r="E11048" t="inlineStr">
        <is>
          <t>NORDANSTIG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24838-2024</t>
        </is>
      </c>
      <c r="B11049" s="1" t="n">
        <v>45461</v>
      </c>
      <c r="C11049" s="1" t="n">
        <v>45677</v>
      </c>
      <c r="D11049" t="inlineStr">
        <is>
          <t>GÄVLEBORGS LÄN</t>
        </is>
      </c>
      <c r="E11049" t="inlineStr">
        <is>
          <t>LJUSDAL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24834-2024</t>
        </is>
      </c>
      <c r="B11050" s="1" t="n">
        <v>45461</v>
      </c>
      <c r="C11050" s="1" t="n">
        <v>45677</v>
      </c>
      <c r="D11050" t="inlineStr">
        <is>
          <t>GÄVLEBORGS LÄN</t>
        </is>
      </c>
      <c r="E11050" t="inlineStr">
        <is>
          <t>HUDIKSVALL</t>
        </is>
      </c>
      <c r="F11050" t="inlineStr">
        <is>
          <t>Holmen skog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24942-2024</t>
        </is>
      </c>
      <c r="B11051" s="1" t="n">
        <v>45461</v>
      </c>
      <c r="C11051" s="1" t="n">
        <v>45677</v>
      </c>
      <c r="D11051" t="inlineStr">
        <is>
          <t>GÄVLEBORGS LÄN</t>
        </is>
      </c>
      <c r="E11051" t="inlineStr">
        <is>
          <t>HUDIKSVALL</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24954-2024</t>
        </is>
      </c>
      <c r="B11052" s="1" t="n">
        <v>45461</v>
      </c>
      <c r="C11052" s="1" t="n">
        <v>45677</v>
      </c>
      <c r="D11052" t="inlineStr">
        <is>
          <t>GÄVLEBORGS LÄN</t>
        </is>
      </c>
      <c r="E11052" t="inlineStr">
        <is>
          <t>OVANÅKER</t>
        </is>
      </c>
      <c r="F11052" t="inlineStr">
        <is>
          <t>Bergvik skog väst AB</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24835-2024</t>
        </is>
      </c>
      <c r="B11053" s="1" t="n">
        <v>45461</v>
      </c>
      <c r="C11053" s="1" t="n">
        <v>45677</v>
      </c>
      <c r="D11053" t="inlineStr">
        <is>
          <t>GÄVLEBORGS LÄN</t>
        </is>
      </c>
      <c r="E11053" t="inlineStr">
        <is>
          <t>OVANÅKER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24994-2024</t>
        </is>
      </c>
      <c r="B11054" s="1" t="n">
        <v>45461</v>
      </c>
      <c r="C11054" s="1" t="n">
        <v>45677</v>
      </c>
      <c r="D11054" t="inlineStr">
        <is>
          <t>GÄVLEBORGS LÄN</t>
        </is>
      </c>
      <c r="E11054" t="inlineStr">
        <is>
          <t>BOLLNÄS</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24933-2024</t>
        </is>
      </c>
      <c r="B11055" s="1" t="n">
        <v>45461</v>
      </c>
      <c r="C11055" s="1" t="n">
        <v>45677</v>
      </c>
      <c r="D11055" t="inlineStr">
        <is>
          <t>GÄVLEBORGS LÄN</t>
        </is>
      </c>
      <c r="E11055" t="inlineStr">
        <is>
          <t>SÖDERHAMN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24852-2024</t>
        </is>
      </c>
      <c r="B11056" s="1" t="n">
        <v>45461</v>
      </c>
      <c r="C11056" s="1" t="n">
        <v>45677</v>
      </c>
      <c r="D11056" t="inlineStr">
        <is>
          <t>GÄVLEBORGS LÄN</t>
        </is>
      </c>
      <c r="E11056" t="inlineStr">
        <is>
          <t>HUDIKSVALL</t>
        </is>
      </c>
      <c r="F11056" t="inlineStr">
        <is>
          <t>Holmen skog AB</t>
        </is>
      </c>
      <c r="G11056" t="n">
        <v>19.2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24848-2024</t>
        </is>
      </c>
      <c r="B11057" s="1" t="n">
        <v>45461</v>
      </c>
      <c r="C11057" s="1" t="n">
        <v>45677</v>
      </c>
      <c r="D11057" t="inlineStr">
        <is>
          <t>GÄVLEBORGS LÄN</t>
        </is>
      </c>
      <c r="E11057" t="inlineStr">
        <is>
          <t>HUDIKSVALL</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24911-2024</t>
        </is>
      </c>
      <c r="B11058" s="1" t="n">
        <v>45461</v>
      </c>
      <c r="C11058" s="1" t="n">
        <v>45677</v>
      </c>
      <c r="D11058" t="inlineStr">
        <is>
          <t>GÄVLEBORGS LÄN</t>
        </is>
      </c>
      <c r="E11058" t="inlineStr">
        <is>
          <t>LJUSDAL</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24923-2024</t>
        </is>
      </c>
      <c r="B11059" s="1" t="n">
        <v>45461</v>
      </c>
      <c r="C11059" s="1" t="n">
        <v>45677</v>
      </c>
      <c r="D11059" t="inlineStr">
        <is>
          <t>GÄVLEBORGS LÄN</t>
        </is>
      </c>
      <c r="E11059" t="inlineStr">
        <is>
          <t>HUDIKSVALL</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24992-2024</t>
        </is>
      </c>
      <c r="B11060" s="1" t="n">
        <v>45461</v>
      </c>
      <c r="C11060" s="1" t="n">
        <v>45677</v>
      </c>
      <c r="D11060" t="inlineStr">
        <is>
          <t>GÄVLEBORGS LÄN</t>
        </is>
      </c>
      <c r="E11060" t="inlineStr">
        <is>
          <t>BOLLNÄS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25004-2024</t>
        </is>
      </c>
      <c r="B11061" s="1" t="n">
        <v>45461</v>
      </c>
      <c r="C11061" s="1" t="n">
        <v>45677</v>
      </c>
      <c r="D11061" t="inlineStr">
        <is>
          <t>GÄVLEBORGS LÄN</t>
        </is>
      </c>
      <c r="E11061" t="inlineStr">
        <is>
          <t>OCKELBO</t>
        </is>
      </c>
      <c r="G11061" t="n">
        <v>10.8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25343-2024</t>
        </is>
      </c>
      <c r="B11062" s="1" t="n">
        <v>45463</v>
      </c>
      <c r="C11062" s="1" t="n">
        <v>45677</v>
      </c>
      <c r="D11062" t="inlineStr">
        <is>
          <t>GÄVLEBORGS LÄN</t>
        </is>
      </c>
      <c r="E11062" t="inlineStr">
        <is>
          <t>OCKELBO</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25237-2024</t>
        </is>
      </c>
      <c r="B11063" s="1" t="n">
        <v>45462</v>
      </c>
      <c r="C11063" s="1" t="n">
        <v>45677</v>
      </c>
      <c r="D11063" t="inlineStr">
        <is>
          <t>GÄVLEBORGS LÄN</t>
        </is>
      </c>
      <c r="E11063" t="inlineStr">
        <is>
          <t>HUDIKSVALL</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25233-2024</t>
        </is>
      </c>
      <c r="B11064" s="1" t="n">
        <v>45462</v>
      </c>
      <c r="C11064" s="1" t="n">
        <v>45677</v>
      </c>
      <c r="D11064" t="inlineStr">
        <is>
          <t>GÄVLEBORGS LÄN</t>
        </is>
      </c>
      <c r="E11064" t="inlineStr">
        <is>
          <t>HUDIKSVALL</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25173-2024</t>
        </is>
      </c>
      <c r="B11065" s="1" t="n">
        <v>45462</v>
      </c>
      <c r="C11065" s="1" t="n">
        <v>45677</v>
      </c>
      <c r="D11065" t="inlineStr">
        <is>
          <t>GÄVLEBORGS LÄN</t>
        </is>
      </c>
      <c r="E11065" t="inlineStr">
        <is>
          <t>HUDIKSVALL</t>
        </is>
      </c>
      <c r="F11065" t="inlineStr">
        <is>
          <t>Holmen skog AB</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25297-2024</t>
        </is>
      </c>
      <c r="B11066" s="1" t="n">
        <v>45462</v>
      </c>
      <c r="C11066" s="1" t="n">
        <v>45677</v>
      </c>
      <c r="D11066" t="inlineStr">
        <is>
          <t>GÄVLEBORGS LÄN</t>
        </is>
      </c>
      <c r="E11066" t="inlineStr">
        <is>
          <t>OVANÅKER</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25293-2024</t>
        </is>
      </c>
      <c r="B11067" s="1" t="n">
        <v>45462</v>
      </c>
      <c r="C11067" s="1" t="n">
        <v>45677</v>
      </c>
      <c r="D11067" t="inlineStr">
        <is>
          <t>GÄVLEBORGS LÄN</t>
        </is>
      </c>
      <c r="E11067" t="inlineStr">
        <is>
          <t>OVANÅKER</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25273-2024</t>
        </is>
      </c>
      <c r="B11068" s="1" t="n">
        <v>45462</v>
      </c>
      <c r="C11068" s="1" t="n">
        <v>45677</v>
      </c>
      <c r="D11068" t="inlineStr">
        <is>
          <t>GÄVLEBORGS LÄN</t>
        </is>
      </c>
      <c r="E11068" t="inlineStr">
        <is>
          <t>NORDANSTIG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25208-2024</t>
        </is>
      </c>
      <c r="B11069" s="1" t="n">
        <v>45462</v>
      </c>
      <c r="C11069" s="1" t="n">
        <v>45677</v>
      </c>
      <c r="D11069" t="inlineStr">
        <is>
          <t>GÄVLEBORGS LÄN</t>
        </is>
      </c>
      <c r="E11069" t="inlineStr">
        <is>
          <t>LJUSDAL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25204-2024</t>
        </is>
      </c>
      <c r="B11070" s="1" t="n">
        <v>45462</v>
      </c>
      <c r="C11070" s="1" t="n">
        <v>45677</v>
      </c>
      <c r="D11070" t="inlineStr">
        <is>
          <t>GÄVLEBORGS LÄN</t>
        </is>
      </c>
      <c r="E11070" t="inlineStr">
        <is>
          <t>LJUSDAL</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25093-2024</t>
        </is>
      </c>
      <c r="B11071" s="1" t="n">
        <v>45462</v>
      </c>
      <c r="C11071" s="1" t="n">
        <v>45677</v>
      </c>
      <c r="D11071" t="inlineStr">
        <is>
          <t>GÄVLEBORGS LÄN</t>
        </is>
      </c>
      <c r="E11071" t="inlineStr">
        <is>
          <t>LJUSDAL</t>
        </is>
      </c>
      <c r="F11071" t="inlineStr">
        <is>
          <t>Bergvik skog väst AB</t>
        </is>
      </c>
      <c r="G11071" t="n">
        <v>10.6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25056-2024</t>
        </is>
      </c>
      <c r="B11072" s="1" t="n">
        <v>45462</v>
      </c>
      <c r="C11072" s="1" t="n">
        <v>45677</v>
      </c>
      <c r="D11072" t="inlineStr">
        <is>
          <t>GÄVLEBORGS LÄN</t>
        </is>
      </c>
      <c r="E11072" t="inlineStr">
        <is>
          <t>HUDIKSVALL</t>
        </is>
      </c>
      <c r="G11072" t="n">
        <v>14.3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25299-2024</t>
        </is>
      </c>
      <c r="B11073" s="1" t="n">
        <v>45462</v>
      </c>
      <c r="C11073" s="1" t="n">
        <v>45677</v>
      </c>
      <c r="D11073" t="inlineStr">
        <is>
          <t>GÄVLEBORGS LÄN</t>
        </is>
      </c>
      <c r="E11073" t="inlineStr">
        <is>
          <t>OVANÅKER</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25271-2024</t>
        </is>
      </c>
      <c r="B11074" s="1" t="n">
        <v>45462</v>
      </c>
      <c r="C11074" s="1" t="n">
        <v>45677</v>
      </c>
      <c r="D11074" t="inlineStr">
        <is>
          <t>GÄVLEBORGS LÄN</t>
        </is>
      </c>
      <c r="E11074" t="inlineStr">
        <is>
          <t>NORDANSTIG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25266-2024</t>
        </is>
      </c>
      <c r="B11075" s="1" t="n">
        <v>45462</v>
      </c>
      <c r="C11075" s="1" t="n">
        <v>45677</v>
      </c>
      <c r="D11075" t="inlineStr">
        <is>
          <t>GÄVLEBORGS LÄN</t>
        </is>
      </c>
      <c r="E11075" t="inlineStr">
        <is>
          <t>GÄVLE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25250-2024</t>
        </is>
      </c>
      <c r="B11076" s="1" t="n">
        <v>45462</v>
      </c>
      <c r="C11076" s="1" t="n">
        <v>45677</v>
      </c>
      <c r="D11076" t="inlineStr">
        <is>
          <t>GÄVLEBORGS LÄN</t>
        </is>
      </c>
      <c r="E11076" t="inlineStr">
        <is>
          <t>OVANÅKER</t>
        </is>
      </c>
      <c r="F11076" t="inlineStr">
        <is>
          <t>Bergvik skog öst AB</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25182-2024</t>
        </is>
      </c>
      <c r="B11077" s="1" t="n">
        <v>45462</v>
      </c>
      <c r="C11077" s="1" t="n">
        <v>45677</v>
      </c>
      <c r="D11077" t="inlineStr">
        <is>
          <t>GÄVLEBORGS LÄN</t>
        </is>
      </c>
      <c r="E11077" t="inlineStr">
        <is>
          <t>HUDIKSVALL</t>
        </is>
      </c>
      <c r="F11077" t="inlineStr">
        <is>
          <t>Holmen skog AB</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25154-2024</t>
        </is>
      </c>
      <c r="B11078" s="1" t="n">
        <v>45462</v>
      </c>
      <c r="C11078" s="1" t="n">
        <v>45677</v>
      </c>
      <c r="D11078" t="inlineStr">
        <is>
          <t>GÄVLEBORGS LÄN</t>
        </is>
      </c>
      <c r="E11078" t="inlineStr">
        <is>
          <t>NORDANSTIG</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25091-2024</t>
        </is>
      </c>
      <c r="B11079" s="1" t="n">
        <v>45462</v>
      </c>
      <c r="C11079" s="1" t="n">
        <v>45677</v>
      </c>
      <c r="D11079" t="inlineStr">
        <is>
          <t>GÄVLEBORGS LÄN</t>
        </is>
      </c>
      <c r="E11079" t="inlineStr">
        <is>
          <t>LJUSDAL</t>
        </is>
      </c>
      <c r="F11079" t="inlineStr">
        <is>
          <t>Bergvik skog väst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25328-2024</t>
        </is>
      </c>
      <c r="B11080" s="1" t="n">
        <v>45462</v>
      </c>
      <c r="C11080" s="1" t="n">
        <v>45677</v>
      </c>
      <c r="D11080" t="inlineStr">
        <is>
          <t>GÄVLEBORGS LÄN</t>
        </is>
      </c>
      <c r="E11080" t="inlineStr">
        <is>
          <t>LJUSDAL</t>
        </is>
      </c>
      <c r="F11080" t="inlineStr">
        <is>
          <t>Sveaskog</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25276-2024</t>
        </is>
      </c>
      <c r="B11081" s="1" t="n">
        <v>45462</v>
      </c>
      <c r="C11081" s="1" t="n">
        <v>45677</v>
      </c>
      <c r="D11081" t="inlineStr">
        <is>
          <t>GÄVLEBORGS LÄN</t>
        </is>
      </c>
      <c r="E11081" t="inlineStr">
        <is>
          <t>GÄVLE</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25268-2024</t>
        </is>
      </c>
      <c r="B11082" s="1" t="n">
        <v>45462</v>
      </c>
      <c r="C11082" s="1" t="n">
        <v>45677</v>
      </c>
      <c r="D11082" t="inlineStr">
        <is>
          <t>GÄVLEBORGS LÄN</t>
        </is>
      </c>
      <c r="E11082" t="inlineStr">
        <is>
          <t>HUDIKSVALL</t>
        </is>
      </c>
      <c r="F11082" t="inlineStr">
        <is>
          <t>Holmen skog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25255-2024</t>
        </is>
      </c>
      <c r="B11083" s="1" t="n">
        <v>45462</v>
      </c>
      <c r="C11083" s="1" t="n">
        <v>45677</v>
      </c>
      <c r="D11083" t="inlineStr">
        <is>
          <t>GÄVLEBORGS LÄN</t>
        </is>
      </c>
      <c r="E11083" t="inlineStr">
        <is>
          <t>HUDIKSVALL</t>
        </is>
      </c>
      <c r="F11083" t="inlineStr">
        <is>
          <t>Holmen skog AB</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25235-2024</t>
        </is>
      </c>
      <c r="B11084" s="1" t="n">
        <v>45462</v>
      </c>
      <c r="C11084" s="1" t="n">
        <v>45677</v>
      </c>
      <c r="D11084" t="inlineStr">
        <is>
          <t>GÄVLEBORGS LÄN</t>
        </is>
      </c>
      <c r="E11084" t="inlineStr">
        <is>
          <t>GÄVLE</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25345-2024</t>
        </is>
      </c>
      <c r="B11085" s="1" t="n">
        <v>45463</v>
      </c>
      <c r="C11085" s="1" t="n">
        <v>45677</v>
      </c>
      <c r="D11085" t="inlineStr">
        <is>
          <t>GÄVLEBORGS LÄN</t>
        </is>
      </c>
      <c r="E11085" t="inlineStr">
        <is>
          <t>OVANÅKER</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25199-2024</t>
        </is>
      </c>
      <c r="B11086" s="1" t="n">
        <v>45462</v>
      </c>
      <c r="C11086" s="1" t="n">
        <v>45677</v>
      </c>
      <c r="D11086" t="inlineStr">
        <is>
          <t>GÄVLEBORGS LÄN</t>
        </is>
      </c>
      <c r="E11086" t="inlineStr">
        <is>
          <t>LJUSDAL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25398-2024</t>
        </is>
      </c>
      <c r="B11087" s="1" t="n">
        <v>45463</v>
      </c>
      <c r="C11087" s="1" t="n">
        <v>45677</v>
      </c>
      <c r="D11087" t="inlineStr">
        <is>
          <t>GÄVLEBORGS LÄN</t>
        </is>
      </c>
      <c r="E11087" t="inlineStr">
        <is>
          <t>OCKELBO</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25648-2024</t>
        </is>
      </c>
      <c r="B11088" s="1" t="n">
        <v>45463</v>
      </c>
      <c r="C11088" s="1" t="n">
        <v>45677</v>
      </c>
      <c r="D11088" t="inlineStr">
        <is>
          <t>GÄVLEBORGS LÄN</t>
        </is>
      </c>
      <c r="E11088" t="inlineStr">
        <is>
          <t>HUDIKSVALL</t>
        </is>
      </c>
      <c r="F11088" t="inlineStr">
        <is>
          <t>Sveaskog</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25724-2024</t>
        </is>
      </c>
      <c r="B11089" s="1" t="n">
        <v>45464</v>
      </c>
      <c r="C11089" s="1" t="n">
        <v>45677</v>
      </c>
      <c r="D11089" t="inlineStr">
        <is>
          <t>GÄVLEBORGS LÄN</t>
        </is>
      </c>
      <c r="E11089" t="inlineStr">
        <is>
          <t>NORDANSTIG</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25622-2024</t>
        </is>
      </c>
      <c r="B11090" s="1" t="n">
        <v>45463</v>
      </c>
      <c r="C11090" s="1" t="n">
        <v>45677</v>
      </c>
      <c r="D11090" t="inlineStr">
        <is>
          <t>GÄVLEBORGS LÄN</t>
        </is>
      </c>
      <c r="E11090" t="inlineStr">
        <is>
          <t>SANDVIKEN</t>
        </is>
      </c>
      <c r="G11090" t="n">
        <v>13.6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25596-2024</t>
        </is>
      </c>
      <c r="B11091" s="1" t="n">
        <v>45463</v>
      </c>
      <c r="C11091" s="1" t="n">
        <v>45677</v>
      </c>
      <c r="D11091" t="inlineStr">
        <is>
          <t>GÄVLEBORGS LÄN</t>
        </is>
      </c>
      <c r="E11091" t="inlineStr">
        <is>
          <t>HUDIKSVALL</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25570-2024</t>
        </is>
      </c>
      <c r="B11092" s="1" t="n">
        <v>45463</v>
      </c>
      <c r="C11092" s="1" t="n">
        <v>45677</v>
      </c>
      <c r="D11092" t="inlineStr">
        <is>
          <t>GÄVLEBORGS LÄN</t>
        </is>
      </c>
      <c r="E11092" t="inlineStr">
        <is>
          <t>LJUSDAL</t>
        </is>
      </c>
      <c r="F11092" t="inlineStr">
        <is>
          <t>Sveaskog</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25723-2024</t>
        </is>
      </c>
      <c r="B11093" s="1" t="n">
        <v>45464</v>
      </c>
      <c r="C11093" s="1" t="n">
        <v>45677</v>
      </c>
      <c r="D11093" t="inlineStr">
        <is>
          <t>GÄVLEBORGS LÄN</t>
        </is>
      </c>
      <c r="E11093" t="inlineStr">
        <is>
          <t>NORDANSTIG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25823-2024</t>
        </is>
      </c>
      <c r="B11094" s="1" t="n">
        <v>45463</v>
      </c>
      <c r="C11094" s="1" t="n">
        <v>45677</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25655-2024</t>
        </is>
      </c>
      <c r="B11095" s="1" t="n">
        <v>45463</v>
      </c>
      <c r="C11095" s="1" t="n">
        <v>45677</v>
      </c>
      <c r="D11095" t="inlineStr">
        <is>
          <t>GÄVLEBORGS LÄN</t>
        </is>
      </c>
      <c r="E11095" t="inlineStr">
        <is>
          <t>GÄVLE</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25647-2024</t>
        </is>
      </c>
      <c r="B11096" s="1" t="n">
        <v>45463</v>
      </c>
      <c r="C11096" s="1" t="n">
        <v>45677</v>
      </c>
      <c r="D11096" t="inlineStr">
        <is>
          <t>GÄVLEBORGS LÄN</t>
        </is>
      </c>
      <c r="E11096" t="inlineStr">
        <is>
          <t>HUDIKSVALL</t>
        </is>
      </c>
      <c r="F11096" t="inlineStr">
        <is>
          <t>Sveaskog</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25527-2024</t>
        </is>
      </c>
      <c r="B11097" s="1" t="n">
        <v>45463</v>
      </c>
      <c r="C11097" s="1" t="n">
        <v>45677</v>
      </c>
      <c r="D11097" t="inlineStr">
        <is>
          <t>GÄVLEBORGS LÄN</t>
        </is>
      </c>
      <c r="E11097" t="inlineStr">
        <is>
          <t>BOLLNÄS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25523-2024</t>
        </is>
      </c>
      <c r="B11098" s="1" t="n">
        <v>45463</v>
      </c>
      <c r="C11098" s="1" t="n">
        <v>45677</v>
      </c>
      <c r="D11098" t="inlineStr">
        <is>
          <t>GÄVLEBORGS LÄN</t>
        </is>
      </c>
      <c r="E11098" t="inlineStr">
        <is>
          <t>BOLLNÄS</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25725-2024</t>
        </is>
      </c>
      <c r="B11099" s="1" t="n">
        <v>45464</v>
      </c>
      <c r="C11099" s="1" t="n">
        <v>45677</v>
      </c>
      <c r="D11099" t="inlineStr">
        <is>
          <t>GÄVLEBORGS LÄN</t>
        </is>
      </c>
      <c r="E11099" t="inlineStr">
        <is>
          <t>NORDANSTIG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25649-2024</t>
        </is>
      </c>
      <c r="B11100" s="1" t="n">
        <v>45463</v>
      </c>
      <c r="C11100" s="1" t="n">
        <v>45677</v>
      </c>
      <c r="D11100" t="inlineStr">
        <is>
          <t>GÄVLEBORGS LÄN</t>
        </is>
      </c>
      <c r="E11100" t="inlineStr">
        <is>
          <t>HUDIKSVALL</t>
        </is>
      </c>
      <c r="F11100" t="inlineStr">
        <is>
          <t>Sveaskog</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25593-2024</t>
        </is>
      </c>
      <c r="B11101" s="1" t="n">
        <v>45463</v>
      </c>
      <c r="C11101" s="1" t="n">
        <v>45677</v>
      </c>
      <c r="D11101" t="inlineStr">
        <is>
          <t>GÄVLEBORGS LÄN</t>
        </is>
      </c>
      <c r="E11101" t="inlineStr">
        <is>
          <t>GÄVLE</t>
        </is>
      </c>
      <c r="F11101" t="inlineStr">
        <is>
          <t>Bergvik skog öst AB</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25529-2024</t>
        </is>
      </c>
      <c r="B11102" s="1" t="n">
        <v>45463</v>
      </c>
      <c r="C11102" s="1" t="n">
        <v>45677</v>
      </c>
      <c r="D11102" t="inlineStr">
        <is>
          <t>GÄVLEBORGS LÄN</t>
        </is>
      </c>
      <c r="E11102" t="inlineStr">
        <is>
          <t>OVANÅKER</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25476-2024</t>
        </is>
      </c>
      <c r="B11103" s="1" t="n">
        <v>45463</v>
      </c>
      <c r="C11103" s="1" t="n">
        <v>45677</v>
      </c>
      <c r="D11103" t="inlineStr">
        <is>
          <t>GÄVLEBORGS LÄN</t>
        </is>
      </c>
      <c r="E11103" t="inlineStr">
        <is>
          <t>HOFORS</t>
        </is>
      </c>
      <c r="F11103" t="inlineStr">
        <is>
          <t>Sveaskog</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25472-2024</t>
        </is>
      </c>
      <c r="B11104" s="1" t="n">
        <v>45463</v>
      </c>
      <c r="C11104" s="1" t="n">
        <v>45677</v>
      </c>
      <c r="D11104" t="inlineStr">
        <is>
          <t>GÄVLEBORGS LÄN</t>
        </is>
      </c>
      <c r="E11104" t="inlineStr">
        <is>
          <t>SANDVIKEN</t>
        </is>
      </c>
      <c r="F11104" t="inlineStr">
        <is>
          <t>Sveaskog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25556-2024</t>
        </is>
      </c>
      <c r="B11105" s="1" t="n">
        <v>45463</v>
      </c>
      <c r="C11105" s="1" t="n">
        <v>45677</v>
      </c>
      <c r="D11105" t="inlineStr">
        <is>
          <t>GÄVLEBORGS LÄN</t>
        </is>
      </c>
      <c r="E11105" t="inlineStr">
        <is>
          <t>LJUSDAL</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25544-2024</t>
        </is>
      </c>
      <c r="B11106" s="1" t="n">
        <v>45463</v>
      </c>
      <c r="C11106" s="1" t="n">
        <v>45677</v>
      </c>
      <c r="D11106" t="inlineStr">
        <is>
          <t>GÄVLEBORGS LÄN</t>
        </is>
      </c>
      <c r="E11106" t="inlineStr">
        <is>
          <t>SANDVIKEN</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25831-2024</t>
        </is>
      </c>
      <c r="B11107" s="1" t="n">
        <v>45463</v>
      </c>
      <c r="C11107" s="1" t="n">
        <v>45677</v>
      </c>
      <c r="D11107" t="inlineStr">
        <is>
          <t>GÄVLEBORGS LÄN</t>
        </is>
      </c>
      <c r="E11107" t="inlineStr">
        <is>
          <t>OVANÅKER</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25474-2024</t>
        </is>
      </c>
      <c r="B11108" s="1" t="n">
        <v>45463</v>
      </c>
      <c r="C11108" s="1" t="n">
        <v>45677</v>
      </c>
      <c r="D11108" t="inlineStr">
        <is>
          <t>GÄVLEBORGS LÄN</t>
        </is>
      </c>
      <c r="E11108" t="inlineStr">
        <is>
          <t>HOFORS</t>
        </is>
      </c>
      <c r="F11108" t="inlineStr">
        <is>
          <t>Sveaskog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25454-2024</t>
        </is>
      </c>
      <c r="B11109" s="1" t="n">
        <v>45463</v>
      </c>
      <c r="C11109" s="1" t="n">
        <v>45677</v>
      </c>
      <c r="D11109" t="inlineStr">
        <is>
          <t>GÄVLEBORGS LÄN</t>
        </is>
      </c>
      <c r="E11109" t="inlineStr">
        <is>
          <t>HUDIKSVALL</t>
        </is>
      </c>
      <c r="F11109" t="inlineStr">
        <is>
          <t>Holmen skog AB</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25411-2024</t>
        </is>
      </c>
      <c r="B11110" s="1" t="n">
        <v>45463</v>
      </c>
      <c r="C11110" s="1" t="n">
        <v>45677</v>
      </c>
      <c r="D11110" t="inlineStr">
        <is>
          <t>GÄVLEBORGS LÄN</t>
        </is>
      </c>
      <c r="E11110" t="inlineStr">
        <is>
          <t>OVANÅKER</t>
        </is>
      </c>
      <c r="F11110" t="inlineStr">
        <is>
          <t>Bergvik skog öst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25402-2024</t>
        </is>
      </c>
      <c r="B11111" s="1" t="n">
        <v>45463</v>
      </c>
      <c r="C11111" s="1" t="n">
        <v>45677</v>
      </c>
      <c r="D11111" t="inlineStr">
        <is>
          <t>GÄVLEBORGS LÄN</t>
        </is>
      </c>
      <c r="E11111" t="inlineStr">
        <is>
          <t>NORDANSTIG</t>
        </is>
      </c>
      <c r="F11111" t="inlineStr">
        <is>
          <t>Holmen skog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25477-2024</t>
        </is>
      </c>
      <c r="B11112" s="1" t="n">
        <v>45463</v>
      </c>
      <c r="C11112" s="1" t="n">
        <v>45677</v>
      </c>
      <c r="D11112" t="inlineStr">
        <is>
          <t>GÄVLEBORGS LÄN</t>
        </is>
      </c>
      <c r="E11112" t="inlineStr">
        <is>
          <t>HOFORS</t>
        </is>
      </c>
      <c r="F11112" t="inlineStr">
        <is>
          <t>Sveaskog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25465-2024</t>
        </is>
      </c>
      <c r="B11113" s="1" t="n">
        <v>45463</v>
      </c>
      <c r="C11113" s="1" t="n">
        <v>45677</v>
      </c>
      <c r="D11113" t="inlineStr">
        <is>
          <t>GÄVLEBORGS LÄN</t>
        </is>
      </c>
      <c r="E11113" t="inlineStr">
        <is>
          <t>HOFORS</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25461-2024</t>
        </is>
      </c>
      <c r="B11114" s="1" t="n">
        <v>45463</v>
      </c>
      <c r="C11114" s="1" t="n">
        <v>45677</v>
      </c>
      <c r="D11114" t="inlineStr">
        <is>
          <t>GÄVLEBORGS LÄN</t>
        </is>
      </c>
      <c r="E11114" t="inlineStr">
        <is>
          <t>LJUSDAL</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25782-2024</t>
        </is>
      </c>
      <c r="B11115" s="1" t="n">
        <v>45466</v>
      </c>
      <c r="C11115" s="1" t="n">
        <v>45677</v>
      </c>
      <c r="D11115" t="inlineStr">
        <is>
          <t>GÄVLEBORGS LÄN</t>
        </is>
      </c>
      <c r="E11115" t="inlineStr">
        <is>
          <t>NORDANSTIG</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25828-2024</t>
        </is>
      </c>
      <c r="B11116" s="1" t="n">
        <v>45467</v>
      </c>
      <c r="C11116" s="1" t="n">
        <v>45677</v>
      </c>
      <c r="D11116" t="inlineStr">
        <is>
          <t>GÄVLEBORGS LÄN</t>
        </is>
      </c>
      <c r="E11116" t="inlineStr">
        <is>
          <t>SANDVIKEN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25829-2024</t>
        </is>
      </c>
      <c r="B11117" s="1" t="n">
        <v>45467</v>
      </c>
      <c r="C11117" s="1" t="n">
        <v>45677</v>
      </c>
      <c r="D11117" t="inlineStr">
        <is>
          <t>GÄVLEBORGS LÄN</t>
        </is>
      </c>
      <c r="E11117" t="inlineStr">
        <is>
          <t>GÄVLE</t>
        </is>
      </c>
      <c r="F11117" t="inlineStr">
        <is>
          <t>Bergvik skog öst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25793-2024</t>
        </is>
      </c>
      <c r="B11118" s="1" t="n">
        <v>45467</v>
      </c>
      <c r="C11118" s="1" t="n">
        <v>45677</v>
      </c>
      <c r="D11118" t="inlineStr">
        <is>
          <t>GÄVLEBORGS LÄN</t>
        </is>
      </c>
      <c r="E11118" t="inlineStr">
        <is>
          <t>LJUSDAL</t>
        </is>
      </c>
      <c r="G11118" t="n">
        <v>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25844-2024</t>
        </is>
      </c>
      <c r="B11119" s="1" t="n">
        <v>45467</v>
      </c>
      <c r="C11119" s="1" t="n">
        <v>45677</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25837-2024</t>
        </is>
      </c>
      <c r="B11120" s="1" t="n">
        <v>45467</v>
      </c>
      <c r="C11120" s="1" t="n">
        <v>45677</v>
      </c>
      <c r="D11120" t="inlineStr">
        <is>
          <t>GÄVLEBORGS LÄN</t>
        </is>
      </c>
      <c r="E11120" t="inlineStr">
        <is>
          <t>SANDVIKEN</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25857-2024</t>
        </is>
      </c>
      <c r="B11121" s="1" t="n">
        <v>45467</v>
      </c>
      <c r="C11121" s="1" t="n">
        <v>45677</v>
      </c>
      <c r="D11121" t="inlineStr">
        <is>
          <t>GÄVLEBORGS LÄN</t>
        </is>
      </c>
      <c r="E11121" t="inlineStr">
        <is>
          <t>GÄVLE</t>
        </is>
      </c>
      <c r="F11121" t="inlineStr">
        <is>
          <t>Bergvik skog öst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25910-2024</t>
        </is>
      </c>
      <c r="B11122" s="1" t="n">
        <v>45467</v>
      </c>
      <c r="C11122" s="1" t="n">
        <v>45677</v>
      </c>
      <c r="D11122" t="inlineStr">
        <is>
          <t>GÄVLEBORGS LÄN</t>
        </is>
      </c>
      <c r="E11122" t="inlineStr">
        <is>
          <t>BOLLNÄS</t>
        </is>
      </c>
      <c r="G11122" t="n">
        <v>8.1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25900-2024</t>
        </is>
      </c>
      <c r="B11123" s="1" t="n">
        <v>45467</v>
      </c>
      <c r="C11123" s="1" t="n">
        <v>45677</v>
      </c>
      <c r="D11123" t="inlineStr">
        <is>
          <t>GÄVLEBORGS LÄN</t>
        </is>
      </c>
      <c r="E11123" t="inlineStr">
        <is>
          <t>SÖDERHAMN</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25904-2024</t>
        </is>
      </c>
      <c r="B11124" s="1" t="n">
        <v>45467</v>
      </c>
      <c r="C11124" s="1" t="n">
        <v>45677</v>
      </c>
      <c r="D11124" t="inlineStr">
        <is>
          <t>GÄVLEBORGS LÄN</t>
        </is>
      </c>
      <c r="E11124" t="inlineStr">
        <is>
          <t>SÖDERHAMN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25962-2024</t>
        </is>
      </c>
      <c r="B11125" s="1" t="n">
        <v>45467</v>
      </c>
      <c r="C11125" s="1" t="n">
        <v>45677</v>
      </c>
      <c r="D11125" t="inlineStr">
        <is>
          <t>GÄVLEBORGS LÄN</t>
        </is>
      </c>
      <c r="E11125" t="inlineStr">
        <is>
          <t>NORDANSTIG</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26028-2024</t>
        </is>
      </c>
      <c r="B11126" s="1" t="n">
        <v>45468</v>
      </c>
      <c r="C11126" s="1" t="n">
        <v>45677</v>
      </c>
      <c r="D11126" t="inlineStr">
        <is>
          <t>GÄVLEBORGS LÄN</t>
        </is>
      </c>
      <c r="E11126" t="inlineStr">
        <is>
          <t>OVANÅKER</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26027-2024</t>
        </is>
      </c>
      <c r="B11127" s="1" t="n">
        <v>45468</v>
      </c>
      <c r="C11127" s="1" t="n">
        <v>45677</v>
      </c>
      <c r="D11127" t="inlineStr">
        <is>
          <t>GÄVLEBORGS LÄN</t>
        </is>
      </c>
      <c r="E11127" t="inlineStr">
        <is>
          <t>OVANÅKER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26306-2024</t>
        </is>
      </c>
      <c r="B11128" s="1" t="n">
        <v>45469</v>
      </c>
      <c r="C11128" s="1" t="n">
        <v>45677</v>
      </c>
      <c r="D11128" t="inlineStr">
        <is>
          <t>GÄVLEBORGS LÄN</t>
        </is>
      </c>
      <c r="E11128" t="inlineStr">
        <is>
          <t>HOFORS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26307-2024</t>
        </is>
      </c>
      <c r="B11129" s="1" t="n">
        <v>45469</v>
      </c>
      <c r="C11129" s="1" t="n">
        <v>45677</v>
      </c>
      <c r="D11129" t="inlineStr">
        <is>
          <t>GÄVLEBORGS LÄN</t>
        </is>
      </c>
      <c r="E11129" t="inlineStr">
        <is>
          <t>HOFORS</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26246-2024</t>
        </is>
      </c>
      <c r="B11130" s="1" t="n">
        <v>45468</v>
      </c>
      <c r="C11130" s="1" t="n">
        <v>45677</v>
      </c>
      <c r="D11130" t="inlineStr">
        <is>
          <t>GÄVLEBORGS LÄN</t>
        </is>
      </c>
      <c r="E11130" t="inlineStr">
        <is>
          <t>BOLLNÄS</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26485-2024</t>
        </is>
      </c>
      <c r="B11131" s="1" t="n">
        <v>45468</v>
      </c>
      <c r="C11131" s="1" t="n">
        <v>45677</v>
      </c>
      <c r="D11131" t="inlineStr">
        <is>
          <t>GÄVLEBORGS LÄN</t>
        </is>
      </c>
      <c r="E11131" t="inlineStr">
        <is>
          <t>LJUSDAL</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26289-2024</t>
        </is>
      </c>
      <c r="B11132" s="1" t="n">
        <v>45468</v>
      </c>
      <c r="C11132" s="1" t="n">
        <v>45677</v>
      </c>
      <c r="D11132" t="inlineStr">
        <is>
          <t>GÄVLEBORGS LÄN</t>
        </is>
      </c>
      <c r="E11132" t="inlineStr">
        <is>
          <t>GÄVLE</t>
        </is>
      </c>
      <c r="F11132" t="inlineStr">
        <is>
          <t>Bergvik skog väst AB</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26191-2024</t>
        </is>
      </c>
      <c r="B11133" s="1" t="n">
        <v>45468</v>
      </c>
      <c r="C11133" s="1" t="n">
        <v>45677</v>
      </c>
      <c r="D11133" t="inlineStr">
        <is>
          <t>GÄVLEBORGS LÄN</t>
        </is>
      </c>
      <c r="E11133" t="inlineStr">
        <is>
          <t>HUDIKSVALL</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26269-2024</t>
        </is>
      </c>
      <c r="B11134" s="1" t="n">
        <v>45468</v>
      </c>
      <c r="C11134" s="1" t="n">
        <v>45677</v>
      </c>
      <c r="D11134" t="inlineStr">
        <is>
          <t>GÄVLEBORGS LÄN</t>
        </is>
      </c>
      <c r="E11134" t="inlineStr">
        <is>
          <t>BOLLNÄS</t>
        </is>
      </c>
      <c r="F11134" t="inlineStr">
        <is>
          <t>Bergvik skog väst AB</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26193-2024</t>
        </is>
      </c>
      <c r="B11135" s="1" t="n">
        <v>45468</v>
      </c>
      <c r="C11135" s="1" t="n">
        <v>45677</v>
      </c>
      <c r="D11135" t="inlineStr">
        <is>
          <t>GÄVLEBORGS LÄN</t>
        </is>
      </c>
      <c r="E11135" t="inlineStr">
        <is>
          <t>HUDIKSVALL</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26149-2024</t>
        </is>
      </c>
      <c r="B11136" s="1" t="n">
        <v>45468</v>
      </c>
      <c r="C11136" s="1" t="n">
        <v>45677</v>
      </c>
      <c r="D11136" t="inlineStr">
        <is>
          <t>GÄVLEBORGS LÄN</t>
        </is>
      </c>
      <c r="E11136" t="inlineStr">
        <is>
          <t>SANDVIKEN</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26136-2024</t>
        </is>
      </c>
      <c r="B11137" s="1" t="n">
        <v>45468</v>
      </c>
      <c r="C11137" s="1" t="n">
        <v>45677</v>
      </c>
      <c r="D11137" t="inlineStr">
        <is>
          <t>GÄVLEBORGS LÄN</t>
        </is>
      </c>
      <c r="E11137" t="inlineStr">
        <is>
          <t>GÄVLE</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26130-2024</t>
        </is>
      </c>
      <c r="B11138" s="1" t="n">
        <v>45468</v>
      </c>
      <c r="C11138" s="1" t="n">
        <v>45677</v>
      </c>
      <c r="D11138" t="inlineStr">
        <is>
          <t>GÄVLEBORGS LÄN</t>
        </is>
      </c>
      <c r="E11138" t="inlineStr">
        <is>
          <t>LJUSDAL</t>
        </is>
      </c>
      <c r="G11138" t="n">
        <v>11.7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26119-2024</t>
        </is>
      </c>
      <c r="B11139" s="1" t="n">
        <v>45468</v>
      </c>
      <c r="C11139" s="1" t="n">
        <v>45677</v>
      </c>
      <c r="D11139" t="inlineStr">
        <is>
          <t>GÄVLEBORGS LÄN</t>
        </is>
      </c>
      <c r="E11139" t="inlineStr">
        <is>
          <t>OCKELBO</t>
        </is>
      </c>
      <c r="F11139" t="inlineStr">
        <is>
          <t>Bergvik skog väst AB</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26114-2024</t>
        </is>
      </c>
      <c r="B11140" s="1" t="n">
        <v>45468</v>
      </c>
      <c r="C11140" s="1" t="n">
        <v>45677</v>
      </c>
      <c r="D11140" t="inlineStr">
        <is>
          <t>GÄVLEBORGS LÄN</t>
        </is>
      </c>
      <c r="E11140" t="inlineStr">
        <is>
          <t>LJUSDAL</t>
        </is>
      </c>
      <c r="G11140" t="n">
        <v>22.6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26135-2024</t>
        </is>
      </c>
      <c r="B11141" s="1" t="n">
        <v>45468</v>
      </c>
      <c r="C11141" s="1" t="n">
        <v>45677</v>
      </c>
      <c r="D11141" t="inlineStr">
        <is>
          <t>GÄVLEBORGS LÄN</t>
        </is>
      </c>
      <c r="E11141" t="inlineStr">
        <is>
          <t>LJUSDAL</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26131-2024</t>
        </is>
      </c>
      <c r="B11142" s="1" t="n">
        <v>45468</v>
      </c>
      <c r="C11142" s="1" t="n">
        <v>45677</v>
      </c>
      <c r="D11142" t="inlineStr">
        <is>
          <t>GÄVLEBORGS LÄN</t>
        </is>
      </c>
      <c r="E11142" t="inlineStr">
        <is>
          <t>GÄVLE</t>
        </is>
      </c>
      <c r="F11142" t="inlineStr">
        <is>
          <t>Bergvik skog väst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26111-2024</t>
        </is>
      </c>
      <c r="B11143" s="1" t="n">
        <v>45468</v>
      </c>
      <c r="C11143" s="1" t="n">
        <v>45677</v>
      </c>
      <c r="D11143" t="inlineStr">
        <is>
          <t>GÄVLEBORGS LÄN</t>
        </is>
      </c>
      <c r="E11143" t="inlineStr">
        <is>
          <t>GÄVLE</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26106-2024</t>
        </is>
      </c>
      <c r="B11144" s="1" t="n">
        <v>45468</v>
      </c>
      <c r="C11144" s="1" t="n">
        <v>45677</v>
      </c>
      <c r="D11144" t="inlineStr">
        <is>
          <t>GÄVLEBORGS LÄN</t>
        </is>
      </c>
      <c r="E11144" t="inlineStr">
        <is>
          <t>LJUSDAL</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26092-2024</t>
        </is>
      </c>
      <c r="B11145" s="1" t="n">
        <v>45468</v>
      </c>
      <c r="C11145" s="1" t="n">
        <v>45677</v>
      </c>
      <c r="D11145" t="inlineStr">
        <is>
          <t>GÄVLEBORGS LÄN</t>
        </is>
      </c>
      <c r="E11145" t="inlineStr">
        <is>
          <t>OCKELBO</t>
        </is>
      </c>
      <c r="F11145" t="inlineStr">
        <is>
          <t>Bergvik skog väst AB</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26078-2024</t>
        </is>
      </c>
      <c r="B11146" s="1" t="n">
        <v>45468</v>
      </c>
      <c r="C11146" s="1" t="n">
        <v>45677</v>
      </c>
      <c r="D11146" t="inlineStr">
        <is>
          <t>GÄVLEBORGS LÄN</t>
        </is>
      </c>
      <c r="E11146" t="inlineStr">
        <is>
          <t>LJUSDAL</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26054-2024</t>
        </is>
      </c>
      <c r="B11147" s="1" t="n">
        <v>45468</v>
      </c>
      <c r="C11147" s="1" t="n">
        <v>45677</v>
      </c>
      <c r="D11147" t="inlineStr">
        <is>
          <t>GÄVLEBORGS LÄN</t>
        </is>
      </c>
      <c r="E11147" t="inlineStr">
        <is>
          <t>BOLLNÄS</t>
        </is>
      </c>
      <c r="F11147" t="inlineStr">
        <is>
          <t>Bergvik skog väst AB</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26039-2024</t>
        </is>
      </c>
      <c r="B11148" s="1" t="n">
        <v>45468</v>
      </c>
      <c r="C11148" s="1" t="n">
        <v>45677</v>
      </c>
      <c r="D11148" t="inlineStr">
        <is>
          <t>GÄVLEBORGS LÄN</t>
        </is>
      </c>
      <c r="E11148" t="inlineStr">
        <is>
          <t>BOLLNÄS</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26040-2024</t>
        </is>
      </c>
      <c r="B11149" s="1" t="n">
        <v>45468</v>
      </c>
      <c r="C11149" s="1" t="n">
        <v>45677</v>
      </c>
      <c r="D11149" t="inlineStr">
        <is>
          <t>GÄVLEBORGS LÄN</t>
        </is>
      </c>
      <c r="E11149" t="inlineStr">
        <is>
          <t>BOLLNÄS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26308-2024</t>
        </is>
      </c>
      <c r="B11150" s="1" t="n">
        <v>45469</v>
      </c>
      <c r="C11150" s="1" t="n">
        <v>45677</v>
      </c>
      <c r="D11150" t="inlineStr">
        <is>
          <t>GÄVLEBORGS LÄN</t>
        </is>
      </c>
      <c r="E11150" t="inlineStr">
        <is>
          <t>HOFORS</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26211-2024</t>
        </is>
      </c>
      <c r="B11151" s="1" t="n">
        <v>45468</v>
      </c>
      <c r="C11151" s="1" t="n">
        <v>45677</v>
      </c>
      <c r="D11151" t="inlineStr">
        <is>
          <t>GÄVLEBORGS LÄN</t>
        </is>
      </c>
      <c r="E11151" t="inlineStr">
        <is>
          <t>BOLLNÄS</t>
        </is>
      </c>
      <c r="F11151" t="inlineStr">
        <is>
          <t>Bergvik skog väst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26196-2024</t>
        </is>
      </c>
      <c r="B11152" s="1" t="n">
        <v>45468</v>
      </c>
      <c r="C11152" s="1" t="n">
        <v>45677</v>
      </c>
      <c r="D11152" t="inlineStr">
        <is>
          <t>GÄVLEBORGS LÄN</t>
        </is>
      </c>
      <c r="E11152" t="inlineStr">
        <is>
          <t>HUDIKSVALL</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26133-2024</t>
        </is>
      </c>
      <c r="B11153" s="1" t="n">
        <v>45468</v>
      </c>
      <c r="C11153" s="1" t="n">
        <v>45677</v>
      </c>
      <c r="D11153" t="inlineStr">
        <is>
          <t>GÄVLEBORGS LÄN</t>
        </is>
      </c>
      <c r="E11153" t="inlineStr">
        <is>
          <t>LJUSDAL</t>
        </is>
      </c>
      <c r="G11153" t="n">
        <v>30.2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26129-2024</t>
        </is>
      </c>
      <c r="B11154" s="1" t="n">
        <v>45468</v>
      </c>
      <c r="C11154" s="1" t="n">
        <v>45677</v>
      </c>
      <c r="D11154" t="inlineStr">
        <is>
          <t>GÄVLEBORGS LÄN</t>
        </is>
      </c>
      <c r="E11154" t="inlineStr">
        <is>
          <t>GÄVLE</t>
        </is>
      </c>
      <c r="F11154" t="inlineStr">
        <is>
          <t>Bergvik skog väst AB</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26104-2024</t>
        </is>
      </c>
      <c r="B11155" s="1" t="n">
        <v>45468</v>
      </c>
      <c r="C11155" s="1" t="n">
        <v>45677</v>
      </c>
      <c r="D11155" t="inlineStr">
        <is>
          <t>GÄVLEBORGS LÄN</t>
        </is>
      </c>
      <c r="E11155" t="inlineStr">
        <is>
          <t>OCKELBO</t>
        </is>
      </c>
      <c r="F11155" t="inlineStr">
        <is>
          <t>Bergvik skog väst AB</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26085-2024</t>
        </is>
      </c>
      <c r="B11156" s="1" t="n">
        <v>45468</v>
      </c>
      <c r="C11156" s="1" t="n">
        <v>45677</v>
      </c>
      <c r="D11156" t="inlineStr">
        <is>
          <t>GÄVLEBORGS LÄN</t>
        </is>
      </c>
      <c r="E11156" t="inlineStr">
        <is>
          <t>OCKELBO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26073-2024</t>
        </is>
      </c>
      <c r="B11157" s="1" t="n">
        <v>45468</v>
      </c>
      <c r="C11157" s="1" t="n">
        <v>45677</v>
      </c>
      <c r="D11157" t="inlineStr">
        <is>
          <t>GÄVLEBORGS LÄN</t>
        </is>
      </c>
      <c r="E11157" t="inlineStr">
        <is>
          <t>LJUSDAL</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26041-2024</t>
        </is>
      </c>
      <c r="B11158" s="1" t="n">
        <v>45468</v>
      </c>
      <c r="C11158" s="1" t="n">
        <v>45677</v>
      </c>
      <c r="D11158" t="inlineStr">
        <is>
          <t>GÄVLEBORGS LÄN</t>
        </is>
      </c>
      <c r="E11158" t="inlineStr">
        <is>
          <t>BOLLNÄS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26075-2024</t>
        </is>
      </c>
      <c r="B11159" s="1" t="n">
        <v>45468</v>
      </c>
      <c r="C11159" s="1" t="n">
        <v>45677</v>
      </c>
      <c r="D11159" t="inlineStr">
        <is>
          <t>GÄVLEBORGS LÄN</t>
        </is>
      </c>
      <c r="E11159" t="inlineStr">
        <is>
          <t>BOLLNÄS</t>
        </is>
      </c>
      <c r="F11159" t="inlineStr">
        <is>
          <t>Bergvik skog väst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26038-2024</t>
        </is>
      </c>
      <c r="B11160" s="1" t="n">
        <v>45468</v>
      </c>
      <c r="C11160" s="1" t="n">
        <v>45677</v>
      </c>
      <c r="D11160" t="inlineStr">
        <is>
          <t>GÄVLEBORGS LÄN</t>
        </is>
      </c>
      <c r="E11160" t="inlineStr">
        <is>
          <t>BOLLNÄS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26367-2024</t>
        </is>
      </c>
      <c r="B11161" s="1" t="n">
        <v>45469</v>
      </c>
      <c r="C11161" s="1" t="n">
        <v>45677</v>
      </c>
      <c r="D11161" t="inlineStr">
        <is>
          <t>GÄVLEBORGS LÄN</t>
        </is>
      </c>
      <c r="E11161" t="inlineStr">
        <is>
          <t>OCKELBO</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26416-2024</t>
        </is>
      </c>
      <c r="B11162" s="1" t="n">
        <v>45469</v>
      </c>
      <c r="C11162" s="1" t="n">
        <v>45677</v>
      </c>
      <c r="D11162" t="inlineStr">
        <is>
          <t>GÄVLEBORGS LÄN</t>
        </is>
      </c>
      <c r="E11162" t="inlineStr">
        <is>
          <t>BOLLNÄS</t>
        </is>
      </c>
      <c r="F11162" t="inlineStr">
        <is>
          <t>Sveaskog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26437-2024</t>
        </is>
      </c>
      <c r="B11163" s="1" t="n">
        <v>45469</v>
      </c>
      <c r="C11163" s="1" t="n">
        <v>45677</v>
      </c>
      <c r="D11163" t="inlineStr">
        <is>
          <t>GÄVLEBORGS LÄN</t>
        </is>
      </c>
      <c r="E11163" t="inlineStr">
        <is>
          <t>BOLLNÄS</t>
        </is>
      </c>
      <c r="F11163" t="inlineStr">
        <is>
          <t>Bergvik skog väst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26441-2024</t>
        </is>
      </c>
      <c r="B11164" s="1" t="n">
        <v>45469</v>
      </c>
      <c r="C11164" s="1" t="n">
        <v>45677</v>
      </c>
      <c r="D11164" t="inlineStr">
        <is>
          <t>GÄVLEBORGS LÄN</t>
        </is>
      </c>
      <c r="E11164" t="inlineStr">
        <is>
          <t>BOLLNÄS</t>
        </is>
      </c>
      <c r="F11164" t="inlineStr">
        <is>
          <t>Bergvik skog väst AB</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26339-2024</t>
        </is>
      </c>
      <c r="B11165" s="1" t="n">
        <v>45469</v>
      </c>
      <c r="C11165" s="1" t="n">
        <v>45677</v>
      </c>
      <c r="D11165" t="inlineStr">
        <is>
          <t>GÄVLEBORGS LÄN</t>
        </is>
      </c>
      <c r="E11165" t="inlineStr">
        <is>
          <t>NORDANSTIG</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26384-2024</t>
        </is>
      </c>
      <c r="B11166" s="1" t="n">
        <v>45469</v>
      </c>
      <c r="C11166" s="1" t="n">
        <v>45677</v>
      </c>
      <c r="D11166" t="inlineStr">
        <is>
          <t>GÄVLEBORGS LÄN</t>
        </is>
      </c>
      <c r="E11166" t="inlineStr">
        <is>
          <t>LJUSDAL</t>
        </is>
      </c>
      <c r="F11166" t="inlineStr">
        <is>
          <t>Sveaskog</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26422-2024</t>
        </is>
      </c>
      <c r="B11167" s="1" t="n">
        <v>45469</v>
      </c>
      <c r="C11167" s="1" t="n">
        <v>45677</v>
      </c>
      <c r="D11167" t="inlineStr">
        <is>
          <t>GÄVLEBORGS LÄN</t>
        </is>
      </c>
      <c r="E11167" t="inlineStr">
        <is>
          <t>LJUSDAL</t>
        </is>
      </c>
      <c r="F11167" t="inlineStr">
        <is>
          <t>Sveaskog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26502-2024</t>
        </is>
      </c>
      <c r="B11168" s="1" t="n">
        <v>45469</v>
      </c>
      <c r="C11168" s="1" t="n">
        <v>45677</v>
      </c>
      <c r="D11168" t="inlineStr">
        <is>
          <t>GÄVLEBORGS LÄN</t>
        </is>
      </c>
      <c r="E11168" t="inlineStr">
        <is>
          <t>BOLLNÄS</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26448-2024</t>
        </is>
      </c>
      <c r="B11169" s="1" t="n">
        <v>45469</v>
      </c>
      <c r="C11169" s="1" t="n">
        <v>45677</v>
      </c>
      <c r="D11169" t="inlineStr">
        <is>
          <t>GÄVLEBORGS LÄN</t>
        </is>
      </c>
      <c r="E11169" t="inlineStr">
        <is>
          <t>OCKELBO</t>
        </is>
      </c>
      <c r="F11169" t="inlineStr">
        <is>
          <t>Bergvik skog väst AB</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26618-2024</t>
        </is>
      </c>
      <c r="B11170" s="1" t="n">
        <v>45469</v>
      </c>
      <c r="C11170" s="1" t="n">
        <v>45677</v>
      </c>
      <c r="D11170" t="inlineStr">
        <is>
          <t>GÄVLEBORGS LÄN</t>
        </is>
      </c>
      <c r="E11170" t="inlineStr">
        <is>
          <t>HUDIKSVALL</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26474-2024</t>
        </is>
      </c>
      <c r="B11171" s="1" t="n">
        <v>45469</v>
      </c>
      <c r="C11171" s="1" t="n">
        <v>45677</v>
      </c>
      <c r="D11171" t="inlineStr">
        <is>
          <t>GÄVLEBORGS LÄN</t>
        </is>
      </c>
      <c r="E11171" t="inlineStr">
        <is>
          <t>BOLLNÄS</t>
        </is>
      </c>
      <c r="F11171" t="inlineStr">
        <is>
          <t>Bergvik skog väst AB</t>
        </is>
      </c>
      <c r="G11171" t="n">
        <v>15.4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26631-2024</t>
        </is>
      </c>
      <c r="B11172" s="1" t="n">
        <v>45469</v>
      </c>
      <c r="C11172" s="1" t="n">
        <v>45677</v>
      </c>
      <c r="D11172" t="inlineStr">
        <is>
          <t>GÄVLEBORGS LÄN</t>
        </is>
      </c>
      <c r="E11172" t="inlineStr">
        <is>
          <t>LJUSDAL</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26547-2024</t>
        </is>
      </c>
      <c r="B11173" s="1" t="n">
        <v>45469</v>
      </c>
      <c r="C11173" s="1" t="n">
        <v>45677</v>
      </c>
      <c r="D11173" t="inlineStr">
        <is>
          <t>GÄVLEBORGS LÄN</t>
        </is>
      </c>
      <c r="E11173" t="inlineStr">
        <is>
          <t>HUDIKSVALL</t>
        </is>
      </c>
      <c r="F11173" t="inlineStr">
        <is>
          <t>Holmen skog AB</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26503-2024</t>
        </is>
      </c>
      <c r="B11174" s="1" t="n">
        <v>45469</v>
      </c>
      <c r="C11174" s="1" t="n">
        <v>45677</v>
      </c>
      <c r="D11174" t="inlineStr">
        <is>
          <t>GÄVLEBORGS LÄN</t>
        </is>
      </c>
      <c r="E11174" t="inlineStr">
        <is>
          <t>BOLLNÄS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26413-2024</t>
        </is>
      </c>
      <c r="B11175" s="1" t="n">
        <v>45469</v>
      </c>
      <c r="C11175" s="1" t="n">
        <v>45677</v>
      </c>
      <c r="D11175" t="inlineStr">
        <is>
          <t>GÄVLEBORGS LÄN</t>
        </is>
      </c>
      <c r="E11175" t="inlineStr">
        <is>
          <t>BOLLNÄS</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26409-2024</t>
        </is>
      </c>
      <c r="B11176" s="1" t="n">
        <v>45469</v>
      </c>
      <c r="C11176" s="1" t="n">
        <v>45677</v>
      </c>
      <c r="D11176" t="inlineStr">
        <is>
          <t>GÄVLEBORGS LÄN</t>
        </is>
      </c>
      <c r="E11176" t="inlineStr">
        <is>
          <t>BOLLNÄS</t>
        </is>
      </c>
      <c r="F11176" t="inlineStr">
        <is>
          <t>Sveaskog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26396-2024</t>
        </is>
      </c>
      <c r="B11177" s="1" t="n">
        <v>45469</v>
      </c>
      <c r="C11177" s="1" t="n">
        <v>45677</v>
      </c>
      <c r="D11177" t="inlineStr">
        <is>
          <t>GÄVLEBORGS LÄN</t>
        </is>
      </c>
      <c r="E11177" t="inlineStr">
        <is>
          <t>HUDIKSVALL</t>
        </is>
      </c>
      <c r="F11177" t="inlineStr">
        <is>
          <t>Holmen skog AB</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26387-2024</t>
        </is>
      </c>
      <c r="B11178" s="1" t="n">
        <v>45469</v>
      </c>
      <c r="C11178" s="1" t="n">
        <v>45677</v>
      </c>
      <c r="D11178" t="inlineStr">
        <is>
          <t>GÄVLEBORGS LÄN</t>
        </is>
      </c>
      <c r="E11178" t="inlineStr">
        <is>
          <t>LJUSDAL</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26633-2024</t>
        </is>
      </c>
      <c r="B11179" s="1" t="n">
        <v>45469</v>
      </c>
      <c r="C11179" s="1" t="n">
        <v>45677</v>
      </c>
      <c r="D11179" t="inlineStr">
        <is>
          <t>GÄVLEBORGS LÄN</t>
        </is>
      </c>
      <c r="E11179" t="inlineStr">
        <is>
          <t>LJUSDAL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26440-2024</t>
        </is>
      </c>
      <c r="B11180" s="1" t="n">
        <v>45469</v>
      </c>
      <c r="C11180" s="1" t="n">
        <v>45677</v>
      </c>
      <c r="D11180" t="inlineStr">
        <is>
          <t>GÄVLEBORGS LÄN</t>
        </is>
      </c>
      <c r="E11180" t="inlineStr">
        <is>
          <t>BOLLNÄS</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26346-2024</t>
        </is>
      </c>
      <c r="B11181" s="1" t="n">
        <v>45469</v>
      </c>
      <c r="C11181" s="1" t="n">
        <v>45677</v>
      </c>
      <c r="D11181" t="inlineStr">
        <is>
          <t>GÄVLEBORGS LÄN</t>
        </is>
      </c>
      <c r="E11181" t="inlineStr">
        <is>
          <t>NORDANSTIG</t>
        </is>
      </c>
      <c r="F11181" t="inlineStr">
        <is>
          <t>Holmen skog AB</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26335-2024</t>
        </is>
      </c>
      <c r="B11182" s="1" t="n">
        <v>45469</v>
      </c>
      <c r="C11182" s="1" t="n">
        <v>45677</v>
      </c>
      <c r="D11182" t="inlineStr">
        <is>
          <t>GÄVLEBORGS LÄN</t>
        </is>
      </c>
      <c r="E11182" t="inlineStr">
        <is>
          <t>GÄVLE</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26331-2024</t>
        </is>
      </c>
      <c r="B11183" s="1" t="n">
        <v>45469</v>
      </c>
      <c r="C11183" s="1" t="n">
        <v>45677</v>
      </c>
      <c r="D11183" t="inlineStr">
        <is>
          <t>GÄVLEBORGS LÄN</t>
        </is>
      </c>
      <c r="E11183" t="inlineStr">
        <is>
          <t>BOLLNÄS</t>
        </is>
      </c>
      <c r="F11183" t="inlineStr">
        <is>
          <t>Bergvik skog väst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26632-2024</t>
        </is>
      </c>
      <c r="B11184" s="1" t="n">
        <v>45469</v>
      </c>
      <c r="C11184" s="1" t="n">
        <v>45677</v>
      </c>
      <c r="D11184" t="inlineStr">
        <is>
          <t>GÄVLEBORGS LÄN</t>
        </is>
      </c>
      <c r="E11184" t="inlineStr">
        <is>
          <t>LJUSDAL</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26922-2024</t>
        </is>
      </c>
      <c r="B11185" s="1" t="n">
        <v>45471</v>
      </c>
      <c r="C11185" s="1" t="n">
        <v>45677</v>
      </c>
      <c r="D11185" t="inlineStr">
        <is>
          <t>GÄVLEBORGS LÄN</t>
        </is>
      </c>
      <c r="E11185" t="inlineStr">
        <is>
          <t>BOLLNÄS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26915-2024</t>
        </is>
      </c>
      <c r="B11186" s="1" t="n">
        <v>45470</v>
      </c>
      <c r="C11186" s="1" t="n">
        <v>45677</v>
      </c>
      <c r="D11186" t="inlineStr">
        <is>
          <t>GÄVLEBORGS LÄN</t>
        </is>
      </c>
      <c r="E11186" t="inlineStr">
        <is>
          <t>LJUSDAL</t>
        </is>
      </c>
      <c r="F11186" t="inlineStr">
        <is>
          <t>Naturvårdsverket</t>
        </is>
      </c>
      <c r="G11186" t="n">
        <v>11.3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26874-2024</t>
        </is>
      </c>
      <c r="B11187" s="1" t="n">
        <v>45470</v>
      </c>
      <c r="C11187" s="1" t="n">
        <v>45677</v>
      </c>
      <c r="D11187" t="inlineStr">
        <is>
          <t>GÄVLEBORGS LÄN</t>
        </is>
      </c>
      <c r="E11187" t="inlineStr">
        <is>
          <t>LJUSDAL</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26814-2024</t>
        </is>
      </c>
      <c r="B11188" s="1" t="n">
        <v>45470</v>
      </c>
      <c r="C11188" s="1" t="n">
        <v>45677</v>
      </c>
      <c r="D11188" t="inlineStr">
        <is>
          <t>GÄVLEBORGS LÄN</t>
        </is>
      </c>
      <c r="E11188" t="inlineStr">
        <is>
          <t>OVANÅKER</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26916-2024</t>
        </is>
      </c>
      <c r="B11189" s="1" t="n">
        <v>45470</v>
      </c>
      <c r="C11189" s="1" t="n">
        <v>45677</v>
      </c>
      <c r="D11189" t="inlineStr">
        <is>
          <t>GÄVLEBORGS LÄN</t>
        </is>
      </c>
      <c r="E11189" t="inlineStr">
        <is>
          <t>LJUSDAL</t>
        </is>
      </c>
      <c r="F11189" t="inlineStr">
        <is>
          <t>Naturvårdsverket</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26832-2024</t>
        </is>
      </c>
      <c r="B11190" s="1" t="n">
        <v>45470</v>
      </c>
      <c r="C11190" s="1" t="n">
        <v>45677</v>
      </c>
      <c r="D11190" t="inlineStr">
        <is>
          <t>GÄVLEBORGS LÄN</t>
        </is>
      </c>
      <c r="E11190" t="inlineStr">
        <is>
          <t>SÖDERHAMN</t>
        </is>
      </c>
      <c r="F11190" t="inlineStr">
        <is>
          <t>Bergvik skog väst AB</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26824-2024</t>
        </is>
      </c>
      <c r="B11191" s="1" t="n">
        <v>45470</v>
      </c>
      <c r="C11191" s="1" t="n">
        <v>45677</v>
      </c>
      <c r="D11191" t="inlineStr">
        <is>
          <t>GÄVLEBORGS LÄN</t>
        </is>
      </c>
      <c r="E11191" t="inlineStr">
        <is>
          <t>LJUSDAL</t>
        </is>
      </c>
      <c r="F11191" t="inlineStr">
        <is>
          <t>Kommuner</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26735-2024</t>
        </is>
      </c>
      <c r="B11192" s="1" t="n">
        <v>45470</v>
      </c>
      <c r="C11192" s="1" t="n">
        <v>45677</v>
      </c>
      <c r="D11192" t="inlineStr">
        <is>
          <t>GÄVLEBORGS LÄN</t>
        </is>
      </c>
      <c r="E11192" t="inlineStr">
        <is>
          <t>OVANÅKER</t>
        </is>
      </c>
      <c r="F11192" t="inlineStr">
        <is>
          <t>Bergvik skog väst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26722-2024</t>
        </is>
      </c>
      <c r="B11193" s="1" t="n">
        <v>45470</v>
      </c>
      <c r="C11193" s="1" t="n">
        <v>45677</v>
      </c>
      <c r="D11193" t="inlineStr">
        <is>
          <t>GÄVLEBORGS LÄN</t>
        </is>
      </c>
      <c r="E11193" t="inlineStr">
        <is>
          <t>LJUSDAL</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26693-2024</t>
        </is>
      </c>
      <c r="B11194" s="1" t="n">
        <v>45470</v>
      </c>
      <c r="C11194" s="1" t="n">
        <v>45677</v>
      </c>
      <c r="D11194" t="inlineStr">
        <is>
          <t>GÄVLEBORGS LÄN</t>
        </is>
      </c>
      <c r="E11194" t="inlineStr">
        <is>
          <t>SÖDERHAMN</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26871-2024</t>
        </is>
      </c>
      <c r="B11195" s="1" t="n">
        <v>45470</v>
      </c>
      <c r="C11195" s="1" t="n">
        <v>45677</v>
      </c>
      <c r="D11195" t="inlineStr">
        <is>
          <t>GÄVLEBORGS LÄN</t>
        </is>
      </c>
      <c r="E11195" t="inlineStr">
        <is>
          <t>SÖDERHAMN</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26839-2024</t>
        </is>
      </c>
      <c r="B11196" s="1" t="n">
        <v>45470</v>
      </c>
      <c r="C11196" s="1" t="n">
        <v>45677</v>
      </c>
      <c r="D11196" t="inlineStr">
        <is>
          <t>GÄVLEBORGS LÄN</t>
        </is>
      </c>
      <c r="E11196" t="inlineStr">
        <is>
          <t>SÖDERHAMN</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26767-2024</t>
        </is>
      </c>
      <c r="B11197" s="1" t="n">
        <v>45470</v>
      </c>
      <c r="C11197" s="1" t="n">
        <v>45677</v>
      </c>
      <c r="D11197" t="inlineStr">
        <is>
          <t>GÄVLEBORGS LÄN</t>
        </is>
      </c>
      <c r="E11197" t="inlineStr">
        <is>
          <t>OVANÅKER</t>
        </is>
      </c>
      <c r="F11197" t="inlineStr">
        <is>
          <t>Bergvik skog väst AB</t>
        </is>
      </c>
      <c r="G11197" t="n">
        <v>11.8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26744-2024</t>
        </is>
      </c>
      <c r="B11198" s="1" t="n">
        <v>45470</v>
      </c>
      <c r="C11198" s="1" t="n">
        <v>45677</v>
      </c>
      <c r="D11198" t="inlineStr">
        <is>
          <t>GÄVLEBORGS LÄN</t>
        </is>
      </c>
      <c r="E11198" t="inlineStr">
        <is>
          <t>OVANÅKER</t>
        </is>
      </c>
      <c r="F11198" t="inlineStr">
        <is>
          <t>Bergvik skog väst AB</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26721-2024</t>
        </is>
      </c>
      <c r="B11199" s="1" t="n">
        <v>45470</v>
      </c>
      <c r="C11199" s="1" t="n">
        <v>45677</v>
      </c>
      <c r="D11199" t="inlineStr">
        <is>
          <t>GÄVLEBORGS LÄN</t>
        </is>
      </c>
      <c r="E11199" t="inlineStr">
        <is>
          <t>LJUSDAL</t>
        </is>
      </c>
      <c r="F11199" t="inlineStr">
        <is>
          <t>Bergvik skog väst AB</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26681-2024</t>
        </is>
      </c>
      <c r="B11200" s="1" t="n">
        <v>45470</v>
      </c>
      <c r="C11200" s="1" t="n">
        <v>45677</v>
      </c>
      <c r="D11200" t="inlineStr">
        <is>
          <t>GÄVLEBORGS LÄN</t>
        </is>
      </c>
      <c r="E11200" t="inlineStr">
        <is>
          <t>LJUSDAL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26889-2024</t>
        </is>
      </c>
      <c r="B11201" s="1" t="n">
        <v>45470</v>
      </c>
      <c r="C11201" s="1" t="n">
        <v>45677</v>
      </c>
      <c r="D11201" t="inlineStr">
        <is>
          <t>GÄVLEBORGS LÄN</t>
        </is>
      </c>
      <c r="E11201" t="inlineStr">
        <is>
          <t>LJUSDAL</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26849-2024</t>
        </is>
      </c>
      <c r="B11202" s="1" t="n">
        <v>45470</v>
      </c>
      <c r="C11202" s="1" t="n">
        <v>45677</v>
      </c>
      <c r="D11202" t="inlineStr">
        <is>
          <t>GÄVLEBORGS LÄN</t>
        </is>
      </c>
      <c r="E11202" t="inlineStr">
        <is>
          <t>LJUSDAL</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26829-2024</t>
        </is>
      </c>
      <c r="B11203" s="1" t="n">
        <v>45470</v>
      </c>
      <c r="C11203" s="1" t="n">
        <v>45677</v>
      </c>
      <c r="D11203" t="inlineStr">
        <is>
          <t>GÄVLEBORGS LÄN</t>
        </is>
      </c>
      <c r="E11203" t="inlineStr">
        <is>
          <t>OVANÅKER</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26821-2024</t>
        </is>
      </c>
      <c r="B11204" s="1" t="n">
        <v>45470</v>
      </c>
      <c r="C11204" s="1" t="n">
        <v>45677</v>
      </c>
      <c r="D11204" t="inlineStr">
        <is>
          <t>GÄVLEBORGS LÄN</t>
        </is>
      </c>
      <c r="E11204" t="inlineStr">
        <is>
          <t>SÖDERHAMN</t>
        </is>
      </c>
      <c r="F11204" t="inlineStr">
        <is>
          <t>Bergvik skog väst AB</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27037-2024</t>
        </is>
      </c>
      <c r="B11205" s="1" t="n">
        <v>45471</v>
      </c>
      <c r="C11205" s="1" t="n">
        <v>45677</v>
      </c>
      <c r="D11205" t="inlineStr">
        <is>
          <t>GÄVLEBORGS LÄN</t>
        </is>
      </c>
      <c r="E11205" t="inlineStr">
        <is>
          <t>BOLLNÄS</t>
        </is>
      </c>
      <c r="F11205" t="inlineStr">
        <is>
          <t>Sveaskog</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27050-2024</t>
        </is>
      </c>
      <c r="B11206" s="1" t="n">
        <v>45471</v>
      </c>
      <c r="C11206" s="1" t="n">
        <v>45677</v>
      </c>
      <c r="D11206" t="inlineStr">
        <is>
          <t>GÄVLEBORGS LÄN</t>
        </is>
      </c>
      <c r="E11206" t="inlineStr">
        <is>
          <t>SÖDERHAMN</t>
        </is>
      </c>
      <c r="F11206" t="inlineStr">
        <is>
          <t>Kommuner</t>
        </is>
      </c>
      <c r="G11206" t="n">
        <v>10.8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26985-2024</t>
        </is>
      </c>
      <c r="B11207" s="1" t="n">
        <v>45471</v>
      </c>
      <c r="C11207" s="1" t="n">
        <v>45677</v>
      </c>
      <c r="D11207" t="inlineStr">
        <is>
          <t>GÄVLEBORGS LÄN</t>
        </is>
      </c>
      <c r="E11207" t="inlineStr">
        <is>
          <t>OCKELBO</t>
        </is>
      </c>
      <c r="F11207" t="inlineStr">
        <is>
          <t>Bergvik skog väst AB</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26989-2024</t>
        </is>
      </c>
      <c r="B11208" s="1" t="n">
        <v>45471</v>
      </c>
      <c r="C11208" s="1" t="n">
        <v>45677</v>
      </c>
      <c r="D11208" t="inlineStr">
        <is>
          <t>GÄVLEBORGS LÄN</t>
        </is>
      </c>
      <c r="E11208" t="inlineStr">
        <is>
          <t>OCKELBO</t>
        </is>
      </c>
      <c r="F11208" t="inlineStr">
        <is>
          <t>Bergvik skog väst AB</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27015-2024</t>
        </is>
      </c>
      <c r="B11209" s="1" t="n">
        <v>45471</v>
      </c>
      <c r="C11209" s="1" t="n">
        <v>45677</v>
      </c>
      <c r="D11209" t="inlineStr">
        <is>
          <t>GÄVLEBORGS LÄN</t>
        </is>
      </c>
      <c r="E11209" t="inlineStr">
        <is>
          <t>BOLLNÄS</t>
        </is>
      </c>
      <c r="F11209" t="inlineStr">
        <is>
          <t>Sveaskog</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27152-2024</t>
        </is>
      </c>
      <c r="B11210" s="1" t="n">
        <v>45471</v>
      </c>
      <c r="C11210" s="1" t="n">
        <v>45677</v>
      </c>
      <c r="D11210" t="inlineStr">
        <is>
          <t>GÄVLEBORGS LÄN</t>
        </is>
      </c>
      <c r="E11210" t="inlineStr">
        <is>
          <t>BOLLNÄS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27202-2024</t>
        </is>
      </c>
      <c r="B11211" s="1" t="n">
        <v>45471</v>
      </c>
      <c r="C11211" s="1" t="n">
        <v>45677</v>
      </c>
      <c r="D11211" t="inlineStr">
        <is>
          <t>GÄVLEBORGS LÄN</t>
        </is>
      </c>
      <c r="E11211" t="inlineStr">
        <is>
          <t>BOLLNÄS</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27207-2024</t>
        </is>
      </c>
      <c r="B11212" s="1" t="n">
        <v>45471</v>
      </c>
      <c r="C11212" s="1" t="n">
        <v>45677</v>
      </c>
      <c r="D11212" t="inlineStr">
        <is>
          <t>GÄVLEBORGS LÄN</t>
        </is>
      </c>
      <c r="E11212" t="inlineStr">
        <is>
          <t>HUDIKSVALL</t>
        </is>
      </c>
      <c r="G11212" t="n">
        <v>11.1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27215-2024</t>
        </is>
      </c>
      <c r="B11213" s="1" t="n">
        <v>45471</v>
      </c>
      <c r="C11213" s="1" t="n">
        <v>45677</v>
      </c>
      <c r="D11213" t="inlineStr">
        <is>
          <t>GÄVLEBORGS LÄN</t>
        </is>
      </c>
      <c r="E11213" t="inlineStr">
        <is>
          <t>OVANÅKER</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27216-2024</t>
        </is>
      </c>
      <c r="B11214" s="1" t="n">
        <v>45471</v>
      </c>
      <c r="C11214" s="1" t="n">
        <v>45677</v>
      </c>
      <c r="D11214" t="inlineStr">
        <is>
          <t>GÄVLEBORGS LÄN</t>
        </is>
      </c>
      <c r="E11214" t="inlineStr">
        <is>
          <t>LJUSDAL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27220-2024</t>
        </is>
      </c>
      <c r="B11215" s="1" t="n">
        <v>45471</v>
      </c>
      <c r="C11215" s="1" t="n">
        <v>45677</v>
      </c>
      <c r="D11215" t="inlineStr">
        <is>
          <t>GÄVLEBORGS LÄN</t>
        </is>
      </c>
      <c r="E11215" t="inlineStr">
        <is>
          <t>LJUSDAL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27223-2024</t>
        </is>
      </c>
      <c r="B11216" s="1" t="n">
        <v>45471</v>
      </c>
      <c r="C11216" s="1" t="n">
        <v>45677</v>
      </c>
      <c r="D11216" t="inlineStr">
        <is>
          <t>GÄVLEBORGS LÄN</t>
        </is>
      </c>
      <c r="E11216" t="inlineStr">
        <is>
          <t>BOLLNÄS</t>
        </is>
      </c>
      <c r="F11216" t="inlineStr">
        <is>
          <t>Bergvik skog väst AB</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26984-2024</t>
        </is>
      </c>
      <c r="B11217" s="1" t="n">
        <v>45471</v>
      </c>
      <c r="C11217" s="1" t="n">
        <v>45677</v>
      </c>
      <c r="D11217" t="inlineStr">
        <is>
          <t>GÄVLEBORGS LÄN</t>
        </is>
      </c>
      <c r="E11217" t="inlineStr">
        <is>
          <t>OVANÅKER</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27331-2024</t>
        </is>
      </c>
      <c r="B11218" s="1" t="n">
        <v>45472</v>
      </c>
      <c r="C11218" s="1" t="n">
        <v>45677</v>
      </c>
      <c r="D11218" t="inlineStr">
        <is>
          <t>GÄVLEBORGS LÄN</t>
        </is>
      </c>
      <c r="E11218" t="inlineStr">
        <is>
          <t>HUDIKSVALL</t>
        </is>
      </c>
      <c r="F11218" t="inlineStr">
        <is>
          <t>Holmen skog AB</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27418-2024</t>
        </is>
      </c>
      <c r="B11219" s="1" t="n">
        <v>45474</v>
      </c>
      <c r="C11219" s="1" t="n">
        <v>45677</v>
      </c>
      <c r="D11219" t="inlineStr">
        <is>
          <t>GÄVLEBORGS LÄN</t>
        </is>
      </c>
      <c r="E11219" t="inlineStr">
        <is>
          <t>HUDIKSVALL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27422-2024</t>
        </is>
      </c>
      <c r="B11220" s="1" t="n">
        <v>45474</v>
      </c>
      <c r="C11220" s="1" t="n">
        <v>45677</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27480-2024</t>
        </is>
      </c>
      <c r="B11221" s="1" t="n">
        <v>45474</v>
      </c>
      <c r="C11221" s="1" t="n">
        <v>45677</v>
      </c>
      <c r="D11221" t="inlineStr">
        <is>
          <t>GÄVLEBORGS LÄN</t>
        </is>
      </c>
      <c r="E11221" t="inlineStr">
        <is>
          <t>SANDVIKEN</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27528-2024</t>
        </is>
      </c>
      <c r="B11222" s="1" t="n">
        <v>45474</v>
      </c>
      <c r="C11222" s="1" t="n">
        <v>45677</v>
      </c>
      <c r="D11222" t="inlineStr">
        <is>
          <t>GÄVLEBORGS LÄN</t>
        </is>
      </c>
      <c r="E11222" t="inlineStr">
        <is>
          <t>BOLLNÄS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27401-2024</t>
        </is>
      </c>
      <c r="B11223" s="1" t="n">
        <v>45474</v>
      </c>
      <c r="C11223" s="1" t="n">
        <v>45677</v>
      </c>
      <c r="D11223" t="inlineStr">
        <is>
          <t>GÄVLEBORGS LÄN</t>
        </is>
      </c>
      <c r="E11223" t="inlineStr">
        <is>
          <t>LJUSDAL</t>
        </is>
      </c>
      <c r="F11223" t="inlineStr">
        <is>
          <t>Bergvik skog väst AB</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27477-2024</t>
        </is>
      </c>
      <c r="B11224" s="1" t="n">
        <v>45474</v>
      </c>
      <c r="C11224" s="1" t="n">
        <v>45677</v>
      </c>
      <c r="D11224" t="inlineStr">
        <is>
          <t>GÄVLEBORGS LÄN</t>
        </is>
      </c>
      <c r="E11224" t="inlineStr">
        <is>
          <t>HUDIKSVALL</t>
        </is>
      </c>
      <c r="F11224" t="inlineStr">
        <is>
          <t>Holmen skog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27412-2024</t>
        </is>
      </c>
      <c r="B11225" s="1" t="n">
        <v>45474</v>
      </c>
      <c r="C11225" s="1" t="n">
        <v>45677</v>
      </c>
      <c r="D11225" t="inlineStr">
        <is>
          <t>GÄVLEBORGS LÄN</t>
        </is>
      </c>
      <c r="E11225" t="inlineStr">
        <is>
          <t>HUDIKSVALL</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27450-2024</t>
        </is>
      </c>
      <c r="B11226" s="1" t="n">
        <v>45474</v>
      </c>
      <c r="C11226" s="1" t="n">
        <v>45677</v>
      </c>
      <c r="D11226" t="inlineStr">
        <is>
          <t>GÄVLEBORGS LÄN</t>
        </is>
      </c>
      <c r="E11226" t="inlineStr">
        <is>
          <t>LJUSDAL</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27467-2024</t>
        </is>
      </c>
      <c r="B11227" s="1" t="n">
        <v>45474</v>
      </c>
      <c r="C11227" s="1" t="n">
        <v>45677</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27479-2024</t>
        </is>
      </c>
      <c r="B11228" s="1" t="n">
        <v>45474</v>
      </c>
      <c r="C11228" s="1" t="n">
        <v>45677</v>
      </c>
      <c r="D11228" t="inlineStr">
        <is>
          <t>GÄVLEBORGS LÄN</t>
        </is>
      </c>
      <c r="E11228" t="inlineStr">
        <is>
          <t>SANDVIKEN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27555-2024</t>
        </is>
      </c>
      <c r="B11229" s="1" t="n">
        <v>45474</v>
      </c>
      <c r="C11229" s="1" t="n">
        <v>45677</v>
      </c>
      <c r="D11229" t="inlineStr">
        <is>
          <t>GÄVLEBORGS LÄN</t>
        </is>
      </c>
      <c r="E11229" t="inlineStr">
        <is>
          <t>SANDVIKEN</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27571-2024</t>
        </is>
      </c>
      <c r="B11230" s="1" t="n">
        <v>45474</v>
      </c>
      <c r="C11230" s="1" t="n">
        <v>45677</v>
      </c>
      <c r="D11230" t="inlineStr">
        <is>
          <t>GÄVLEBORGS LÄN</t>
        </is>
      </c>
      <c r="E11230" t="inlineStr">
        <is>
          <t>HUDIKSVALL</t>
        </is>
      </c>
      <c r="F11230" t="inlineStr">
        <is>
          <t>Holmen skog AB</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27441-2024</t>
        </is>
      </c>
      <c r="B11231" s="1" t="n">
        <v>45474</v>
      </c>
      <c r="C11231" s="1" t="n">
        <v>45677</v>
      </c>
      <c r="D11231" t="inlineStr">
        <is>
          <t>GÄVLEBORGS LÄN</t>
        </is>
      </c>
      <c r="E11231" t="inlineStr">
        <is>
          <t>SÖDERHAMN</t>
        </is>
      </c>
      <c r="F11231" t="inlineStr">
        <is>
          <t>Bergvik skog väst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27453-2024</t>
        </is>
      </c>
      <c r="B11232" s="1" t="n">
        <v>45474</v>
      </c>
      <c r="C11232" s="1" t="n">
        <v>45677</v>
      </c>
      <c r="D11232" t="inlineStr">
        <is>
          <t>GÄVLEBORGS LÄN</t>
        </is>
      </c>
      <c r="E11232" t="inlineStr">
        <is>
          <t>OCKELBO</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27482-2024</t>
        </is>
      </c>
      <c r="B11233" s="1" t="n">
        <v>45474</v>
      </c>
      <c r="C11233" s="1" t="n">
        <v>45677</v>
      </c>
      <c r="D11233" t="inlineStr">
        <is>
          <t>GÄVLEBORGS LÄN</t>
        </is>
      </c>
      <c r="E11233" t="inlineStr">
        <is>
          <t>BOLLNÄS</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27612-2024</t>
        </is>
      </c>
      <c r="B11234" s="1" t="n">
        <v>45474</v>
      </c>
      <c r="C11234" s="1" t="n">
        <v>45677</v>
      </c>
      <c r="D11234" t="inlineStr">
        <is>
          <t>GÄVLEBORGS LÄN</t>
        </is>
      </c>
      <c r="E11234" t="inlineStr">
        <is>
          <t>BOLLNÄS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27620-2024</t>
        </is>
      </c>
      <c r="B11235" s="1" t="n">
        <v>45474</v>
      </c>
      <c r="C11235" s="1" t="n">
        <v>45677</v>
      </c>
      <c r="D11235" t="inlineStr">
        <is>
          <t>GÄVLEBORGS LÄN</t>
        </is>
      </c>
      <c r="E11235" t="inlineStr">
        <is>
          <t>HUDIKSVALL</t>
        </is>
      </c>
      <c r="F11235" t="inlineStr">
        <is>
          <t>Holmen skog AB</t>
        </is>
      </c>
      <c r="G11235" t="n">
        <v>11.7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27626-2024</t>
        </is>
      </c>
      <c r="B11236" s="1" t="n">
        <v>45475</v>
      </c>
      <c r="C11236" s="1" t="n">
        <v>45677</v>
      </c>
      <c r="D11236" t="inlineStr">
        <is>
          <t>GÄVLEBORGS LÄN</t>
        </is>
      </c>
      <c r="E11236" t="inlineStr">
        <is>
          <t>BOLLNÄS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27545-2024</t>
        </is>
      </c>
      <c r="B11237" s="1" t="n">
        <v>45474</v>
      </c>
      <c r="C11237" s="1" t="n">
        <v>45677</v>
      </c>
      <c r="D11237" t="inlineStr">
        <is>
          <t>GÄVLEBORGS LÄN</t>
        </is>
      </c>
      <c r="E11237" t="inlineStr">
        <is>
          <t>HUDIKSVALL</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27601-2024</t>
        </is>
      </c>
      <c r="B11238" s="1" t="n">
        <v>45474</v>
      </c>
      <c r="C11238" s="1" t="n">
        <v>45677</v>
      </c>
      <c r="D11238" t="inlineStr">
        <is>
          <t>GÄVLEBORGS LÄN</t>
        </is>
      </c>
      <c r="E11238" t="inlineStr">
        <is>
          <t>OVANÅKER</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27723-2024</t>
        </is>
      </c>
      <c r="B11239" s="1" t="n">
        <v>45475</v>
      </c>
      <c r="C11239" s="1" t="n">
        <v>45677</v>
      </c>
      <c r="D11239" t="inlineStr">
        <is>
          <t>GÄVLEBORGS LÄN</t>
        </is>
      </c>
      <c r="E11239" t="inlineStr">
        <is>
          <t>LJUSDAL</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27731-2024</t>
        </is>
      </c>
      <c r="B11240" s="1" t="n">
        <v>45475</v>
      </c>
      <c r="C11240" s="1" t="n">
        <v>45677</v>
      </c>
      <c r="D11240" t="inlineStr">
        <is>
          <t>GÄVLEBORGS LÄN</t>
        </is>
      </c>
      <c r="E11240" t="inlineStr">
        <is>
          <t>HOFORS</t>
        </is>
      </c>
      <c r="F11240" t="inlineStr">
        <is>
          <t>Bergvik skog öst AB</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27867-2024</t>
        </is>
      </c>
      <c r="B11241" s="1" t="n">
        <v>45475</v>
      </c>
      <c r="C11241" s="1" t="n">
        <v>45677</v>
      </c>
      <c r="D11241" t="inlineStr">
        <is>
          <t>GÄVLEBORGS LÄN</t>
        </is>
      </c>
      <c r="E11241" t="inlineStr">
        <is>
          <t>LJUSDAL</t>
        </is>
      </c>
      <c r="F11241" t="inlineStr">
        <is>
          <t>Allmännings- och besparingsskogar</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27842-2024</t>
        </is>
      </c>
      <c r="B11242" s="1" t="n">
        <v>45475</v>
      </c>
      <c r="C11242" s="1" t="n">
        <v>45677</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27822-2024</t>
        </is>
      </c>
      <c r="B11243" s="1" t="n">
        <v>45475</v>
      </c>
      <c r="C11243" s="1" t="n">
        <v>45677</v>
      </c>
      <c r="D11243" t="inlineStr">
        <is>
          <t>GÄVLEBORGS LÄN</t>
        </is>
      </c>
      <c r="E11243" t="inlineStr">
        <is>
          <t>SÖDERHAMN</t>
        </is>
      </c>
      <c r="G11243" t="n">
        <v>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27738-2024</t>
        </is>
      </c>
      <c r="B11244" s="1" t="n">
        <v>45475</v>
      </c>
      <c r="C11244" s="1" t="n">
        <v>45677</v>
      </c>
      <c r="D11244" t="inlineStr">
        <is>
          <t>GÄVLEBORGS LÄN</t>
        </is>
      </c>
      <c r="E11244" t="inlineStr">
        <is>
          <t>HOFORS</t>
        </is>
      </c>
      <c r="F11244" t="inlineStr">
        <is>
          <t>Bergvik skog öst AB</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27734-2024</t>
        </is>
      </c>
      <c r="B11245" s="1" t="n">
        <v>45475</v>
      </c>
      <c r="C11245" s="1" t="n">
        <v>45677</v>
      </c>
      <c r="D11245" t="inlineStr">
        <is>
          <t>GÄVLEBORGS LÄN</t>
        </is>
      </c>
      <c r="E11245" t="inlineStr">
        <is>
          <t>HOFORS</t>
        </is>
      </c>
      <c r="F11245" t="inlineStr">
        <is>
          <t>Bergvik skog öst AB</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27732-2024</t>
        </is>
      </c>
      <c r="B11246" s="1" t="n">
        <v>45475</v>
      </c>
      <c r="C11246" s="1" t="n">
        <v>45677</v>
      </c>
      <c r="D11246" t="inlineStr">
        <is>
          <t>GÄVLEBORGS LÄN</t>
        </is>
      </c>
      <c r="E11246" t="inlineStr">
        <is>
          <t>BOLLNÄS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27788-2024</t>
        </is>
      </c>
      <c r="B11247" s="1" t="n">
        <v>45475</v>
      </c>
      <c r="C11247" s="1" t="n">
        <v>45677</v>
      </c>
      <c r="D11247" t="inlineStr">
        <is>
          <t>GÄVLEBORGS LÄN</t>
        </is>
      </c>
      <c r="E11247" t="inlineStr">
        <is>
          <t>BOLLNÄS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27804-2024</t>
        </is>
      </c>
      <c r="B11248" s="1" t="n">
        <v>45475</v>
      </c>
      <c r="C11248" s="1" t="n">
        <v>45677</v>
      </c>
      <c r="D11248" t="inlineStr">
        <is>
          <t>GÄVLEBORGS LÄN</t>
        </is>
      </c>
      <c r="E11248" t="inlineStr">
        <is>
          <t>BOLLNÄS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27808-2024</t>
        </is>
      </c>
      <c r="B11249" s="1" t="n">
        <v>45475</v>
      </c>
      <c r="C11249" s="1" t="n">
        <v>45677</v>
      </c>
      <c r="D11249" t="inlineStr">
        <is>
          <t>GÄVLEBORGS LÄN</t>
        </is>
      </c>
      <c r="E11249" t="inlineStr">
        <is>
          <t>GÄVLE</t>
        </is>
      </c>
      <c r="F11249" t="inlineStr">
        <is>
          <t>Bergvik skog öst AB</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27828-2024</t>
        </is>
      </c>
      <c r="B11250" s="1" t="n">
        <v>45475</v>
      </c>
      <c r="C11250" s="1" t="n">
        <v>45677</v>
      </c>
      <c r="D11250" t="inlineStr">
        <is>
          <t>GÄVLEBORGS LÄN</t>
        </is>
      </c>
      <c r="E11250" t="inlineStr">
        <is>
          <t>SÖDERHAMN</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27872-2024</t>
        </is>
      </c>
      <c r="B11251" s="1" t="n">
        <v>45475</v>
      </c>
      <c r="C11251" s="1" t="n">
        <v>45677</v>
      </c>
      <c r="D11251" t="inlineStr">
        <is>
          <t>GÄVLEBORGS LÄN</t>
        </is>
      </c>
      <c r="E11251" t="inlineStr">
        <is>
          <t>SANDVIKEN</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27880-2024</t>
        </is>
      </c>
      <c r="B11252" s="1" t="n">
        <v>45475</v>
      </c>
      <c r="C11252" s="1" t="n">
        <v>45677</v>
      </c>
      <c r="D11252" t="inlineStr">
        <is>
          <t>GÄVLEBORGS LÄN</t>
        </is>
      </c>
      <c r="E11252" t="inlineStr">
        <is>
          <t>HOFORS</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27805-2024</t>
        </is>
      </c>
      <c r="B11253" s="1" t="n">
        <v>45475</v>
      </c>
      <c r="C11253" s="1" t="n">
        <v>45677</v>
      </c>
      <c r="D11253" t="inlineStr">
        <is>
          <t>GÄVLEBORGS LÄN</t>
        </is>
      </c>
      <c r="E11253" t="inlineStr">
        <is>
          <t>GÄVLE</t>
        </is>
      </c>
      <c r="F11253" t="inlineStr">
        <is>
          <t>Bergvik skog öst AB</t>
        </is>
      </c>
      <c r="G11253" t="n">
        <v>15.9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27801-2024</t>
        </is>
      </c>
      <c r="B11254" s="1" t="n">
        <v>45475</v>
      </c>
      <c r="C11254" s="1" t="n">
        <v>45677</v>
      </c>
      <c r="D11254" t="inlineStr">
        <is>
          <t>GÄVLEBORGS LÄN</t>
        </is>
      </c>
      <c r="E11254" t="inlineStr">
        <is>
          <t>GÄVLE</t>
        </is>
      </c>
      <c r="F11254" t="inlineStr">
        <is>
          <t>Bergvik skog öst AB</t>
        </is>
      </c>
      <c r="G11254" t="n">
        <v>23.1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27793-2024</t>
        </is>
      </c>
      <c r="B11255" s="1" t="n">
        <v>45475</v>
      </c>
      <c r="C11255" s="1" t="n">
        <v>45677</v>
      </c>
      <c r="D11255" t="inlineStr">
        <is>
          <t>GÄVLEBORGS LÄN</t>
        </is>
      </c>
      <c r="E11255" t="inlineStr">
        <is>
          <t>GÄVLE</t>
        </is>
      </c>
      <c r="F11255" t="inlineStr">
        <is>
          <t>Bergvik skog öst AB</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27757-2024</t>
        </is>
      </c>
      <c r="B11256" s="1" t="n">
        <v>45475</v>
      </c>
      <c r="C11256" s="1" t="n">
        <v>45677</v>
      </c>
      <c r="D11256" t="inlineStr">
        <is>
          <t>GÄVLEBORGS LÄN</t>
        </is>
      </c>
      <c r="E11256" t="inlineStr">
        <is>
          <t>HUDIKSVALL</t>
        </is>
      </c>
      <c r="F11256" t="inlineStr">
        <is>
          <t>Holmen skog AB</t>
        </is>
      </c>
      <c r="G11256" t="n">
        <v>14.2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27787-2024</t>
        </is>
      </c>
      <c r="B11257" s="1" t="n">
        <v>45475</v>
      </c>
      <c r="C11257" s="1" t="n">
        <v>45677</v>
      </c>
      <c r="D11257" t="inlineStr">
        <is>
          <t>GÄVLEBORGS LÄN</t>
        </is>
      </c>
      <c r="E11257" t="inlineStr">
        <is>
          <t>GÄVLE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27835-2024</t>
        </is>
      </c>
      <c r="B11258" s="1" t="n">
        <v>45475</v>
      </c>
      <c r="C11258" s="1" t="n">
        <v>45677</v>
      </c>
      <c r="D11258" t="inlineStr">
        <is>
          <t>GÄVLEBORGS LÄN</t>
        </is>
      </c>
      <c r="E11258" t="inlineStr">
        <is>
          <t>SÖDERHAMN</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27847-2024</t>
        </is>
      </c>
      <c r="B11259" s="1" t="n">
        <v>45475</v>
      </c>
      <c r="C11259" s="1" t="n">
        <v>45677</v>
      </c>
      <c r="D11259" t="inlineStr">
        <is>
          <t>GÄVLEBORGS LÄN</t>
        </is>
      </c>
      <c r="E11259" t="inlineStr">
        <is>
          <t>LJUSDAL</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28070-2024</t>
        </is>
      </c>
      <c r="B11260" s="1" t="n">
        <v>45476</v>
      </c>
      <c r="C11260" s="1" t="n">
        <v>45677</v>
      </c>
      <c r="D11260" t="inlineStr">
        <is>
          <t>GÄVLEBORGS LÄN</t>
        </is>
      </c>
      <c r="E11260" t="inlineStr">
        <is>
          <t>SÖDERHAMN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28094-2024</t>
        </is>
      </c>
      <c r="B11261" s="1" t="n">
        <v>45476</v>
      </c>
      <c r="C11261" s="1" t="n">
        <v>45677</v>
      </c>
      <c r="D11261" t="inlineStr">
        <is>
          <t>GÄVLEBORGS LÄN</t>
        </is>
      </c>
      <c r="E11261" t="inlineStr">
        <is>
          <t>BOLLNÄS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28018-2024</t>
        </is>
      </c>
      <c r="B11262" s="1" t="n">
        <v>45476</v>
      </c>
      <c r="C11262" s="1" t="n">
        <v>45677</v>
      </c>
      <c r="D11262" t="inlineStr">
        <is>
          <t>GÄVLEBORGS LÄN</t>
        </is>
      </c>
      <c r="E11262" t="inlineStr">
        <is>
          <t>HOFORS</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28176-2024</t>
        </is>
      </c>
      <c r="B11263" s="1" t="n">
        <v>45477</v>
      </c>
      <c r="C11263" s="1" t="n">
        <v>45677</v>
      </c>
      <c r="D11263" t="inlineStr">
        <is>
          <t>GÄVLEBORGS LÄN</t>
        </is>
      </c>
      <c r="E11263" t="inlineStr">
        <is>
          <t>NORDANSTIG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28156-2024</t>
        </is>
      </c>
      <c r="B11264" s="1" t="n">
        <v>45476</v>
      </c>
      <c r="C11264" s="1" t="n">
        <v>45677</v>
      </c>
      <c r="D11264" t="inlineStr">
        <is>
          <t>GÄVLEBORGS LÄN</t>
        </is>
      </c>
      <c r="E11264" t="inlineStr">
        <is>
          <t>NORDANSTIG</t>
        </is>
      </c>
      <c r="G11264" t="n">
        <v>15.3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28133-2024</t>
        </is>
      </c>
      <c r="B11265" s="1" t="n">
        <v>45476</v>
      </c>
      <c r="C11265" s="1" t="n">
        <v>45677</v>
      </c>
      <c r="D11265" t="inlineStr">
        <is>
          <t>GÄVLEBORGS LÄN</t>
        </is>
      </c>
      <c r="E11265" t="inlineStr">
        <is>
          <t>HOFORS</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28105-2024</t>
        </is>
      </c>
      <c r="B11266" s="1" t="n">
        <v>45476</v>
      </c>
      <c r="C11266" s="1" t="n">
        <v>45677</v>
      </c>
      <c r="D11266" t="inlineStr">
        <is>
          <t>GÄVLEBORGS LÄN</t>
        </is>
      </c>
      <c r="E11266" t="inlineStr">
        <is>
          <t>OCKELBO</t>
        </is>
      </c>
      <c r="G11266" t="n">
        <v>18.8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28097-2024</t>
        </is>
      </c>
      <c r="B11267" s="1" t="n">
        <v>45476</v>
      </c>
      <c r="C11267" s="1" t="n">
        <v>45677</v>
      </c>
      <c r="D11267" t="inlineStr">
        <is>
          <t>GÄVLEBORGS LÄN</t>
        </is>
      </c>
      <c r="E11267" t="inlineStr">
        <is>
          <t>BOLLNÄS</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28081-2024</t>
        </is>
      </c>
      <c r="B11268" s="1" t="n">
        <v>45476</v>
      </c>
      <c r="C11268" s="1" t="n">
        <v>45677</v>
      </c>
      <c r="D11268" t="inlineStr">
        <is>
          <t>GÄVLEBORGS LÄN</t>
        </is>
      </c>
      <c r="E11268" t="inlineStr">
        <is>
          <t>BOLLNÄS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28002-2024</t>
        </is>
      </c>
      <c r="B11269" s="1" t="n">
        <v>45476</v>
      </c>
      <c r="C11269" s="1" t="n">
        <v>45677</v>
      </c>
      <c r="D11269" t="inlineStr">
        <is>
          <t>GÄVLEBORGS LÄN</t>
        </is>
      </c>
      <c r="E11269" t="inlineStr">
        <is>
          <t>SANDVIKEN</t>
        </is>
      </c>
      <c r="F11269" t="inlineStr">
        <is>
          <t>Kommuner</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28080-2024</t>
        </is>
      </c>
      <c r="B11270" s="1" t="n">
        <v>45476</v>
      </c>
      <c r="C11270" s="1" t="n">
        <v>45677</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28076-2024</t>
        </is>
      </c>
      <c r="B11271" s="1" t="n">
        <v>45476</v>
      </c>
      <c r="C11271" s="1" t="n">
        <v>45677</v>
      </c>
      <c r="D11271" t="inlineStr">
        <is>
          <t>GÄVLEBORGS LÄN</t>
        </is>
      </c>
      <c r="E11271" t="inlineStr">
        <is>
          <t>BOLLNÄS</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28024-2024</t>
        </is>
      </c>
      <c r="B11272" s="1" t="n">
        <v>45476</v>
      </c>
      <c r="C11272" s="1" t="n">
        <v>45677</v>
      </c>
      <c r="D11272" t="inlineStr">
        <is>
          <t>GÄVLEBORGS LÄN</t>
        </is>
      </c>
      <c r="E11272" t="inlineStr">
        <is>
          <t>LJUSDAL</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28000-2024</t>
        </is>
      </c>
      <c r="B11273" s="1" t="n">
        <v>45476</v>
      </c>
      <c r="C11273" s="1" t="n">
        <v>45677</v>
      </c>
      <c r="D11273" t="inlineStr">
        <is>
          <t>GÄVLEBORGS LÄN</t>
        </is>
      </c>
      <c r="E11273" t="inlineStr">
        <is>
          <t>LJUSDAL</t>
        </is>
      </c>
      <c r="F11273" t="inlineStr">
        <is>
          <t>Allmännings- och besparingsskogar</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28091-2024</t>
        </is>
      </c>
      <c r="B11274" s="1" t="n">
        <v>45476</v>
      </c>
      <c r="C11274" s="1" t="n">
        <v>45677</v>
      </c>
      <c r="D11274" t="inlineStr">
        <is>
          <t>GÄVLEBORGS LÄN</t>
        </is>
      </c>
      <c r="E11274" t="inlineStr">
        <is>
          <t>BOLLNÄS</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28083-2024</t>
        </is>
      </c>
      <c r="B11275" s="1" t="n">
        <v>45476</v>
      </c>
      <c r="C11275" s="1" t="n">
        <v>45677</v>
      </c>
      <c r="D11275" t="inlineStr">
        <is>
          <t>GÄVLEBORGS LÄN</t>
        </is>
      </c>
      <c r="E11275" t="inlineStr">
        <is>
          <t>BOLLNÄS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28023-2024</t>
        </is>
      </c>
      <c r="B11276" s="1" t="n">
        <v>45476</v>
      </c>
      <c r="C11276" s="1" t="n">
        <v>45677</v>
      </c>
      <c r="D11276" t="inlineStr">
        <is>
          <t>GÄVLEBORGS LÄN</t>
        </is>
      </c>
      <c r="E11276" t="inlineStr">
        <is>
          <t>HOFORS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28003-2024</t>
        </is>
      </c>
      <c r="B11277" s="1" t="n">
        <v>45476</v>
      </c>
      <c r="C11277" s="1" t="n">
        <v>45677</v>
      </c>
      <c r="D11277" t="inlineStr">
        <is>
          <t>GÄVLEBORGS LÄN</t>
        </is>
      </c>
      <c r="E11277" t="inlineStr">
        <is>
          <t>LJUSDAL</t>
        </is>
      </c>
      <c r="F11277" t="inlineStr">
        <is>
          <t>Allmännings- och besparingsskogar</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27987-2024</t>
        </is>
      </c>
      <c r="B11278" s="1" t="n">
        <v>45476</v>
      </c>
      <c r="C11278" s="1" t="n">
        <v>45677</v>
      </c>
      <c r="D11278" t="inlineStr">
        <is>
          <t>GÄVLEBORGS LÄN</t>
        </is>
      </c>
      <c r="E11278" t="inlineStr">
        <is>
          <t>SANDVIKEN</t>
        </is>
      </c>
      <c r="F11278" t="inlineStr">
        <is>
          <t>Kommuner</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27971-2024</t>
        </is>
      </c>
      <c r="B11279" s="1" t="n">
        <v>45476</v>
      </c>
      <c r="C11279" s="1" t="n">
        <v>45677</v>
      </c>
      <c r="D11279" t="inlineStr">
        <is>
          <t>GÄVLEBORGS LÄN</t>
        </is>
      </c>
      <c r="E11279" t="inlineStr">
        <is>
          <t>OVANÅKER</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27955-2024</t>
        </is>
      </c>
      <c r="B11280" s="1" t="n">
        <v>45476</v>
      </c>
      <c r="C11280" s="1" t="n">
        <v>45677</v>
      </c>
      <c r="D11280" t="inlineStr">
        <is>
          <t>GÄVLEBORGS LÄN</t>
        </is>
      </c>
      <c r="E11280" t="inlineStr">
        <is>
          <t>HUDIKSVALL</t>
        </is>
      </c>
      <c r="F11280" t="inlineStr">
        <is>
          <t>Holmen skog AB</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27956-2024</t>
        </is>
      </c>
      <c r="B11281" s="1" t="n">
        <v>45476</v>
      </c>
      <c r="C11281" s="1" t="n">
        <v>45677</v>
      </c>
      <c r="D11281" t="inlineStr">
        <is>
          <t>GÄVLEBORGS LÄN</t>
        </is>
      </c>
      <c r="E11281" t="inlineStr">
        <is>
          <t>HUDIKSVALL</t>
        </is>
      </c>
      <c r="F11281" t="inlineStr">
        <is>
          <t>Holmen skog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28021-2024</t>
        </is>
      </c>
      <c r="B11282" s="1" t="n">
        <v>45476</v>
      </c>
      <c r="C11282" s="1" t="n">
        <v>45677</v>
      </c>
      <c r="D11282" t="inlineStr">
        <is>
          <t>GÄVLEBORGS LÄN</t>
        </is>
      </c>
      <c r="E11282" t="inlineStr">
        <is>
          <t>HOFORS</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28001-2024</t>
        </is>
      </c>
      <c r="B11283" s="1" t="n">
        <v>45476</v>
      </c>
      <c r="C11283" s="1" t="n">
        <v>45677</v>
      </c>
      <c r="D11283" t="inlineStr">
        <is>
          <t>GÄVLEBORGS LÄN</t>
        </is>
      </c>
      <c r="E11283" t="inlineStr">
        <is>
          <t>OVANÅKER</t>
        </is>
      </c>
      <c r="F11283" t="inlineStr">
        <is>
          <t>Bergvik skog väst AB</t>
        </is>
      </c>
      <c r="G11283" t="n">
        <v>22.9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27969-2024</t>
        </is>
      </c>
      <c r="B11284" s="1" t="n">
        <v>45476</v>
      </c>
      <c r="C11284" s="1" t="n">
        <v>45677</v>
      </c>
      <c r="D11284" t="inlineStr">
        <is>
          <t>GÄVLEBORGS LÄN</t>
        </is>
      </c>
      <c r="E11284" t="inlineStr">
        <is>
          <t>SANDVIKEN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28381-2024</t>
        </is>
      </c>
      <c r="B11285" s="1" t="n">
        <v>45477</v>
      </c>
      <c r="C11285" s="1" t="n">
        <v>45677</v>
      </c>
      <c r="D11285" t="inlineStr">
        <is>
          <t>GÄVLEBORGS LÄN</t>
        </is>
      </c>
      <c r="E11285" t="inlineStr">
        <is>
          <t>SÖDERHAMN</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28369-2024</t>
        </is>
      </c>
      <c r="B11286" s="1" t="n">
        <v>45477</v>
      </c>
      <c r="C11286" s="1" t="n">
        <v>45677</v>
      </c>
      <c r="D11286" t="inlineStr">
        <is>
          <t>GÄVLEBORGS LÄN</t>
        </is>
      </c>
      <c r="E11286" t="inlineStr">
        <is>
          <t>SÖDERHAMN</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28448-2024</t>
        </is>
      </c>
      <c r="B11287" s="1" t="n">
        <v>45477</v>
      </c>
      <c r="C11287" s="1" t="n">
        <v>45677</v>
      </c>
      <c r="D11287" t="inlineStr">
        <is>
          <t>GÄVLEBORGS LÄN</t>
        </is>
      </c>
      <c r="E11287" t="inlineStr">
        <is>
          <t>OVANÅKER</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28391-2024</t>
        </is>
      </c>
      <c r="B11288" s="1" t="n">
        <v>45477</v>
      </c>
      <c r="C11288" s="1" t="n">
        <v>45677</v>
      </c>
      <c r="D11288" t="inlineStr">
        <is>
          <t>GÄVLEBORGS LÄN</t>
        </is>
      </c>
      <c r="E11288" t="inlineStr">
        <is>
          <t>HOFORS</t>
        </is>
      </c>
      <c r="F11288" t="inlineStr">
        <is>
          <t>Sveaskog</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28371-2024</t>
        </is>
      </c>
      <c r="B11289" s="1" t="n">
        <v>45477</v>
      </c>
      <c r="C11289" s="1" t="n">
        <v>45677</v>
      </c>
      <c r="D11289" t="inlineStr">
        <is>
          <t>GÄVLEBORGS LÄN</t>
        </is>
      </c>
      <c r="E11289" t="inlineStr">
        <is>
          <t>OVANÅKER</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28367-2024</t>
        </is>
      </c>
      <c r="B11290" s="1" t="n">
        <v>45477</v>
      </c>
      <c r="C11290" s="1" t="n">
        <v>45677</v>
      </c>
      <c r="D11290" t="inlineStr">
        <is>
          <t>GÄVLEBORGS LÄN</t>
        </is>
      </c>
      <c r="E11290" t="inlineStr">
        <is>
          <t>HUDIKSVALL</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28445-2024</t>
        </is>
      </c>
      <c r="B11291" s="1" t="n">
        <v>45477</v>
      </c>
      <c r="C11291" s="1" t="n">
        <v>45677</v>
      </c>
      <c r="D11291" t="inlineStr">
        <is>
          <t>GÄVLEBORGS LÄN</t>
        </is>
      </c>
      <c r="E11291" t="inlineStr">
        <is>
          <t>OVANÅKER</t>
        </is>
      </c>
      <c r="G11291" t="n">
        <v>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28441-2024</t>
        </is>
      </c>
      <c r="B11292" s="1" t="n">
        <v>45477</v>
      </c>
      <c r="C11292" s="1" t="n">
        <v>45677</v>
      </c>
      <c r="D11292" t="inlineStr">
        <is>
          <t>GÄVLEBORGS LÄN</t>
        </is>
      </c>
      <c r="E11292" t="inlineStr">
        <is>
          <t>BOLLNÄS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28437-2024</t>
        </is>
      </c>
      <c r="B11293" s="1" t="n">
        <v>45477</v>
      </c>
      <c r="C11293" s="1" t="n">
        <v>45677</v>
      </c>
      <c r="D11293" t="inlineStr">
        <is>
          <t>GÄVLEBORGS LÄN</t>
        </is>
      </c>
      <c r="E11293" t="inlineStr">
        <is>
          <t>BOLLNÄS</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28343-2024</t>
        </is>
      </c>
      <c r="B11294" s="1" t="n">
        <v>45477</v>
      </c>
      <c r="C11294" s="1" t="n">
        <v>45677</v>
      </c>
      <c r="D11294" t="inlineStr">
        <is>
          <t>GÄVLEBORGS LÄN</t>
        </is>
      </c>
      <c r="E11294" t="inlineStr">
        <is>
          <t>BOLLNÄS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28206-2024</t>
        </is>
      </c>
      <c r="B11295" s="1" t="n">
        <v>45477</v>
      </c>
      <c r="C11295" s="1" t="n">
        <v>45677</v>
      </c>
      <c r="D11295" t="inlineStr">
        <is>
          <t>GÄVLEBORGS LÄN</t>
        </is>
      </c>
      <c r="E11295" t="inlineStr">
        <is>
          <t>SANDVIKEN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28345-2024</t>
        </is>
      </c>
      <c r="B11296" s="1" t="n">
        <v>45477</v>
      </c>
      <c r="C11296" s="1" t="n">
        <v>45677</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28450-2024</t>
        </is>
      </c>
      <c r="B11297" s="1" t="n">
        <v>45477</v>
      </c>
      <c r="C11297" s="1" t="n">
        <v>45677</v>
      </c>
      <c r="D11297" t="inlineStr">
        <is>
          <t>GÄVLEBORGS LÄN</t>
        </is>
      </c>
      <c r="E11297" t="inlineStr">
        <is>
          <t>OVANÅKER</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28446-2024</t>
        </is>
      </c>
      <c r="B11298" s="1" t="n">
        <v>45477</v>
      </c>
      <c r="C11298" s="1" t="n">
        <v>45677</v>
      </c>
      <c r="D11298" t="inlineStr">
        <is>
          <t>GÄVLEBORGS LÄN</t>
        </is>
      </c>
      <c r="E11298" t="inlineStr">
        <is>
          <t>OVANÅKER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28213-2024</t>
        </is>
      </c>
      <c r="B11299" s="1" t="n">
        <v>45477</v>
      </c>
      <c r="C11299" s="1" t="n">
        <v>45677</v>
      </c>
      <c r="D11299" t="inlineStr">
        <is>
          <t>GÄVLEBORGS LÄN</t>
        </is>
      </c>
      <c r="E11299" t="inlineStr">
        <is>
          <t>BOLLNÄS</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28492-2024</t>
        </is>
      </c>
      <c r="B11300" s="1" t="n">
        <v>45477</v>
      </c>
      <c r="C11300" s="1" t="n">
        <v>45677</v>
      </c>
      <c r="D11300" t="inlineStr">
        <is>
          <t>GÄVLEBORGS LÄN</t>
        </is>
      </c>
      <c r="E11300" t="inlineStr">
        <is>
          <t>OCKELBO</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28340-2024</t>
        </is>
      </c>
      <c r="B11301" s="1" t="n">
        <v>45477</v>
      </c>
      <c r="C11301" s="1" t="n">
        <v>45677</v>
      </c>
      <c r="D11301" t="inlineStr">
        <is>
          <t>GÄVLEBORGS LÄN</t>
        </is>
      </c>
      <c r="E11301" t="inlineStr">
        <is>
          <t>SÖDERHAMN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28296-2024</t>
        </is>
      </c>
      <c r="B11302" s="1" t="n">
        <v>45477</v>
      </c>
      <c r="C11302" s="1" t="n">
        <v>45677</v>
      </c>
      <c r="D11302" t="inlineStr">
        <is>
          <t>GÄVLEBORGS LÄN</t>
        </is>
      </c>
      <c r="E11302" t="inlineStr">
        <is>
          <t>HUDIKSVALL</t>
        </is>
      </c>
      <c r="F11302" t="inlineStr">
        <is>
          <t>Holmen skog AB</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28231-2024</t>
        </is>
      </c>
      <c r="B11303" s="1" t="n">
        <v>45477</v>
      </c>
      <c r="C11303" s="1" t="n">
        <v>45677</v>
      </c>
      <c r="D11303" t="inlineStr">
        <is>
          <t>GÄVLEBORGS LÄN</t>
        </is>
      </c>
      <c r="E11303" t="inlineStr">
        <is>
          <t>OCKELBO</t>
        </is>
      </c>
      <c r="F11303" t="inlineStr">
        <is>
          <t>Bergvik skog väst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28523-2024</t>
        </is>
      </c>
      <c r="B11304" s="1" t="n">
        <v>45478</v>
      </c>
      <c r="C11304" s="1" t="n">
        <v>45677</v>
      </c>
      <c r="D11304" t="inlineStr">
        <is>
          <t>GÄVLEBORGS LÄN</t>
        </is>
      </c>
      <c r="E11304" t="inlineStr">
        <is>
          <t>SANDVIKEN</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28587-2024</t>
        </is>
      </c>
      <c r="B11305" s="1" t="n">
        <v>45478</v>
      </c>
      <c r="C11305" s="1" t="n">
        <v>45677</v>
      </c>
      <c r="D11305" t="inlineStr">
        <is>
          <t>GÄVLEBORGS LÄN</t>
        </is>
      </c>
      <c r="E11305" t="inlineStr">
        <is>
          <t>NORDANSTIG</t>
        </is>
      </c>
      <c r="G11305" t="n">
        <v>26.3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28534-2024</t>
        </is>
      </c>
      <c r="B11306" s="1" t="n">
        <v>45478</v>
      </c>
      <c r="C11306" s="1" t="n">
        <v>45677</v>
      </c>
      <c r="D11306" t="inlineStr">
        <is>
          <t>GÄVLEBORGS LÄN</t>
        </is>
      </c>
      <c r="E11306" t="inlineStr">
        <is>
          <t>HOFORS</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28516-2024</t>
        </is>
      </c>
      <c r="B11307" s="1" t="n">
        <v>45478</v>
      </c>
      <c r="C11307" s="1" t="n">
        <v>45677</v>
      </c>
      <c r="D11307" t="inlineStr">
        <is>
          <t>GÄVLEBORGS LÄN</t>
        </is>
      </c>
      <c r="E11307" t="inlineStr">
        <is>
          <t>SANDVIKEN</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28525-2024</t>
        </is>
      </c>
      <c r="B11308" s="1" t="n">
        <v>45478</v>
      </c>
      <c r="C11308" s="1" t="n">
        <v>45677</v>
      </c>
      <c r="D11308" t="inlineStr">
        <is>
          <t>GÄVLEBORGS LÄN</t>
        </is>
      </c>
      <c r="E11308" t="inlineStr">
        <is>
          <t>OCKELBO</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28524-2024</t>
        </is>
      </c>
      <c r="B11309" s="1" t="n">
        <v>45478</v>
      </c>
      <c r="C11309" s="1" t="n">
        <v>45677</v>
      </c>
      <c r="D11309" t="inlineStr">
        <is>
          <t>GÄVLEBORGS LÄN</t>
        </is>
      </c>
      <c r="E11309" t="inlineStr">
        <is>
          <t>LJUSDAL</t>
        </is>
      </c>
      <c r="F11309" t="inlineStr">
        <is>
          <t>Allmännings- och besparingsskogar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28532-2024</t>
        </is>
      </c>
      <c r="B11310" s="1" t="n">
        <v>45478</v>
      </c>
      <c r="C11310" s="1" t="n">
        <v>45677</v>
      </c>
      <c r="D11310" t="inlineStr">
        <is>
          <t>GÄVLEBORGS LÄN</t>
        </is>
      </c>
      <c r="E11310" t="inlineStr">
        <is>
          <t>SANDVIKEN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28536-2024</t>
        </is>
      </c>
      <c r="B11311" s="1" t="n">
        <v>45478</v>
      </c>
      <c r="C11311" s="1" t="n">
        <v>45677</v>
      </c>
      <c r="D11311" t="inlineStr">
        <is>
          <t>GÄVLEBORGS LÄN</t>
        </is>
      </c>
      <c r="E11311" t="inlineStr">
        <is>
          <t>HOFORS</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28586-2024</t>
        </is>
      </c>
      <c r="B11312" s="1" t="n">
        <v>45478</v>
      </c>
      <c r="C11312" s="1" t="n">
        <v>45677</v>
      </c>
      <c r="D11312" t="inlineStr">
        <is>
          <t>GÄVLEBORGS LÄN</t>
        </is>
      </c>
      <c r="E11312" t="inlineStr">
        <is>
          <t>OCKELBO</t>
        </is>
      </c>
      <c r="F11312" t="inlineStr">
        <is>
          <t>Bergvik skog väst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28744-2024</t>
        </is>
      </c>
      <c r="B11313" s="1" t="n">
        <v>45478</v>
      </c>
      <c r="C11313" s="1" t="n">
        <v>45677</v>
      </c>
      <c r="D11313" t="inlineStr">
        <is>
          <t>GÄVLEBORGS LÄN</t>
        </is>
      </c>
      <c r="E11313" t="inlineStr">
        <is>
          <t>OVANÅKER</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28853-2024</t>
        </is>
      </c>
      <c r="B11314" s="1" t="n">
        <v>45478</v>
      </c>
      <c r="C11314" s="1" t="n">
        <v>45677</v>
      </c>
      <c r="D11314" t="inlineStr">
        <is>
          <t>GÄVLEBORGS LÄN</t>
        </is>
      </c>
      <c r="E11314" t="inlineStr">
        <is>
          <t>HUDIKSVALL</t>
        </is>
      </c>
      <c r="F11314" t="inlineStr">
        <is>
          <t>Holmen skog AB</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28737-2024</t>
        </is>
      </c>
      <c r="B11315" s="1" t="n">
        <v>45478</v>
      </c>
      <c r="C11315" s="1" t="n">
        <v>45677</v>
      </c>
      <c r="D11315" t="inlineStr">
        <is>
          <t>GÄVLEBORGS LÄN</t>
        </is>
      </c>
      <c r="E11315" t="inlineStr">
        <is>
          <t>OCKELBO</t>
        </is>
      </c>
      <c r="F11315" t="inlineStr">
        <is>
          <t>Bergvik skog väst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28584-2024</t>
        </is>
      </c>
      <c r="B11316" s="1" t="n">
        <v>45478</v>
      </c>
      <c r="C11316" s="1" t="n">
        <v>45677</v>
      </c>
      <c r="D11316" t="inlineStr">
        <is>
          <t>GÄVLEBORGS LÄN</t>
        </is>
      </c>
      <c r="E11316" t="inlineStr">
        <is>
          <t>OCKELBO</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28793-2024</t>
        </is>
      </c>
      <c r="B11317" s="1" t="n">
        <v>45478</v>
      </c>
      <c r="C11317" s="1" t="n">
        <v>45677</v>
      </c>
      <c r="D11317" t="inlineStr">
        <is>
          <t>GÄVLEBORGS LÄN</t>
        </is>
      </c>
      <c r="E11317" t="inlineStr">
        <is>
          <t>BOLLNÄS</t>
        </is>
      </c>
      <c r="F11317" t="inlineStr">
        <is>
          <t>Bergvik skog väst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28801-2024</t>
        </is>
      </c>
      <c r="B11318" s="1" t="n">
        <v>45478</v>
      </c>
      <c r="C11318" s="1" t="n">
        <v>45677</v>
      </c>
      <c r="D11318" t="inlineStr">
        <is>
          <t>GÄVLEBORGS LÄN</t>
        </is>
      </c>
      <c r="E11318" t="inlineStr">
        <is>
          <t>BOLLNÄS</t>
        </is>
      </c>
      <c r="F11318" t="inlineStr">
        <is>
          <t>Bergvik skog väst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28818-2024</t>
        </is>
      </c>
      <c r="B11319" s="1" t="n">
        <v>45478</v>
      </c>
      <c r="C11319" s="1" t="n">
        <v>45677</v>
      </c>
      <c r="D11319" t="inlineStr">
        <is>
          <t>GÄVLEBORGS LÄN</t>
        </is>
      </c>
      <c r="E11319" t="inlineStr">
        <is>
          <t>HUDIKSVALL</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28822-2024</t>
        </is>
      </c>
      <c r="B11320" s="1" t="n">
        <v>45478</v>
      </c>
      <c r="C11320" s="1" t="n">
        <v>45677</v>
      </c>
      <c r="D11320" t="inlineStr">
        <is>
          <t>GÄVLEBORGS LÄN</t>
        </is>
      </c>
      <c r="E11320" t="inlineStr">
        <is>
          <t>NORDANSTIG</t>
        </is>
      </c>
      <c r="G11320" t="n">
        <v>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28730-2024</t>
        </is>
      </c>
      <c r="B11321" s="1" t="n">
        <v>45478</v>
      </c>
      <c r="C11321" s="1" t="n">
        <v>45677</v>
      </c>
      <c r="D11321" t="inlineStr">
        <is>
          <t>GÄVLEBORGS LÄN</t>
        </is>
      </c>
      <c r="E11321" t="inlineStr">
        <is>
          <t>OCKELBO</t>
        </is>
      </c>
      <c r="F11321" t="inlineStr">
        <is>
          <t>Bergvik skog väst AB</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28810-2024</t>
        </is>
      </c>
      <c r="B11322" s="1" t="n">
        <v>45478</v>
      </c>
      <c r="C11322" s="1" t="n">
        <v>45677</v>
      </c>
      <c r="D11322" t="inlineStr">
        <is>
          <t>GÄVLEBORGS LÄN</t>
        </is>
      </c>
      <c r="E11322" t="inlineStr">
        <is>
          <t>BOLLNÄS</t>
        </is>
      </c>
      <c r="F11322" t="inlineStr">
        <is>
          <t>Bergvik skog väst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28593-2024</t>
        </is>
      </c>
      <c r="B11323" s="1" t="n">
        <v>45478</v>
      </c>
      <c r="C11323" s="1" t="n">
        <v>45677</v>
      </c>
      <c r="D11323" t="inlineStr">
        <is>
          <t>GÄVLEBORGS LÄN</t>
        </is>
      </c>
      <c r="E11323" t="inlineStr">
        <is>
          <t>GÄVLE</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28645-2024</t>
        </is>
      </c>
      <c r="B11324" s="1" t="n">
        <v>45478</v>
      </c>
      <c r="C11324" s="1" t="n">
        <v>45677</v>
      </c>
      <c r="D11324" t="inlineStr">
        <is>
          <t>GÄVLEBORGS LÄN</t>
        </is>
      </c>
      <c r="E11324" t="inlineStr">
        <is>
          <t>BOLLNÄS</t>
        </is>
      </c>
      <c r="F11324" t="inlineStr">
        <is>
          <t>Bergvik skog väst AB</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28658-2024</t>
        </is>
      </c>
      <c r="B11325" s="1" t="n">
        <v>45478</v>
      </c>
      <c r="C11325" s="1" t="n">
        <v>45677</v>
      </c>
      <c r="D11325" t="inlineStr">
        <is>
          <t>GÄVLEBORGS LÄN</t>
        </is>
      </c>
      <c r="E11325" t="inlineStr">
        <is>
          <t>BOLLNÄS</t>
        </is>
      </c>
      <c r="F11325" t="inlineStr">
        <is>
          <t>Bergvik skog väst AB</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28694-2024</t>
        </is>
      </c>
      <c r="B11326" s="1" t="n">
        <v>45478</v>
      </c>
      <c r="C11326" s="1" t="n">
        <v>45677</v>
      </c>
      <c r="D11326" t="inlineStr">
        <is>
          <t>GÄVLEBORGS LÄN</t>
        </is>
      </c>
      <c r="E11326" t="inlineStr">
        <is>
          <t>GÄVLE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28759-2024</t>
        </is>
      </c>
      <c r="B11327" s="1" t="n">
        <v>45478</v>
      </c>
      <c r="C11327" s="1" t="n">
        <v>45677</v>
      </c>
      <c r="D11327" t="inlineStr">
        <is>
          <t>GÄVLEBORGS LÄN</t>
        </is>
      </c>
      <c r="E11327" t="inlineStr">
        <is>
          <t>SÖDERHAMN</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28795-2024</t>
        </is>
      </c>
      <c r="B11328" s="1" t="n">
        <v>45478</v>
      </c>
      <c r="C11328" s="1" t="n">
        <v>45677</v>
      </c>
      <c r="D11328" t="inlineStr">
        <is>
          <t>GÄVLEBORGS LÄN</t>
        </is>
      </c>
      <c r="E11328" t="inlineStr">
        <is>
          <t>BOLLNÄS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28852-2024</t>
        </is>
      </c>
      <c r="B11329" s="1" t="n">
        <v>45478</v>
      </c>
      <c r="C11329" s="1" t="n">
        <v>45677</v>
      </c>
      <c r="D11329" t="inlineStr">
        <is>
          <t>GÄVLEBORGS LÄN</t>
        </is>
      </c>
      <c r="E11329" t="inlineStr">
        <is>
          <t>BOLLNÄS</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28897-2024</t>
        </is>
      </c>
      <c r="B11330" s="1" t="n">
        <v>45480</v>
      </c>
      <c r="C11330" s="1" t="n">
        <v>45677</v>
      </c>
      <c r="D11330" t="inlineStr">
        <is>
          <t>GÄVLEBORGS LÄN</t>
        </is>
      </c>
      <c r="E11330" t="inlineStr">
        <is>
          <t>SANDVIKEN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29024-2024</t>
        </is>
      </c>
      <c r="B11331" s="1" t="n">
        <v>45481</v>
      </c>
      <c r="C11331" s="1" t="n">
        <v>45677</v>
      </c>
      <c r="D11331" t="inlineStr">
        <is>
          <t>GÄVLEBORGS LÄN</t>
        </is>
      </c>
      <c r="E11331" t="inlineStr">
        <is>
          <t>HUDIKSVALL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29075-2024</t>
        </is>
      </c>
      <c r="B11332" s="1" t="n">
        <v>45481</v>
      </c>
      <c r="C11332" s="1" t="n">
        <v>45677</v>
      </c>
      <c r="D11332" t="inlineStr">
        <is>
          <t>GÄVLEBORGS LÄN</t>
        </is>
      </c>
      <c r="E11332" t="inlineStr">
        <is>
          <t>LJUSDAL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29061-2024</t>
        </is>
      </c>
      <c r="B11333" s="1" t="n">
        <v>45481</v>
      </c>
      <c r="C11333" s="1" t="n">
        <v>45677</v>
      </c>
      <c r="D11333" t="inlineStr">
        <is>
          <t>GÄVLEBORGS LÄN</t>
        </is>
      </c>
      <c r="E11333" t="inlineStr">
        <is>
          <t>BOLLNÄS</t>
        </is>
      </c>
      <c r="F11333" t="inlineStr">
        <is>
          <t>Bergvik skog väst AB</t>
        </is>
      </c>
      <c r="G11333" t="n">
        <v>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28965-2024</t>
        </is>
      </c>
      <c r="B11334" s="1" t="n">
        <v>45481</v>
      </c>
      <c r="C11334" s="1" t="n">
        <v>45677</v>
      </c>
      <c r="D11334" t="inlineStr">
        <is>
          <t>GÄVLEBORGS LÄN</t>
        </is>
      </c>
      <c r="E11334" t="inlineStr">
        <is>
          <t>OCKELBO</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29074-2024</t>
        </is>
      </c>
      <c r="B11335" s="1" t="n">
        <v>45481</v>
      </c>
      <c r="C11335" s="1" t="n">
        <v>45677</v>
      </c>
      <c r="D11335" t="inlineStr">
        <is>
          <t>GÄVLEBORGS LÄN</t>
        </is>
      </c>
      <c r="E11335" t="inlineStr">
        <is>
          <t>LJUSDAL</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29046-2024</t>
        </is>
      </c>
      <c r="B11336" s="1" t="n">
        <v>45481</v>
      </c>
      <c r="C11336" s="1" t="n">
        <v>45677</v>
      </c>
      <c r="D11336" t="inlineStr">
        <is>
          <t>GÄVLEBORGS LÄN</t>
        </is>
      </c>
      <c r="E11336" t="inlineStr">
        <is>
          <t>BOLLNÄS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29005-2024</t>
        </is>
      </c>
      <c r="B11337" s="1" t="n">
        <v>45481</v>
      </c>
      <c r="C11337" s="1" t="n">
        <v>45677</v>
      </c>
      <c r="D11337" t="inlineStr">
        <is>
          <t>GÄVLEBORGS LÄN</t>
        </is>
      </c>
      <c r="E11337" t="inlineStr">
        <is>
          <t>OCKELBO</t>
        </is>
      </c>
      <c r="F11337" t="inlineStr">
        <is>
          <t>Bergvik skog väst AB</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28933-2024</t>
        </is>
      </c>
      <c r="B11338" s="1" t="n">
        <v>45481</v>
      </c>
      <c r="C11338" s="1" t="n">
        <v>45677</v>
      </c>
      <c r="D11338" t="inlineStr">
        <is>
          <t>GÄVLEBORGS LÄN</t>
        </is>
      </c>
      <c r="E11338" t="inlineStr">
        <is>
          <t>GÄVLE</t>
        </is>
      </c>
      <c r="F11338" t="inlineStr">
        <is>
          <t>Bergvik skog väst AB</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29025-2024</t>
        </is>
      </c>
      <c r="B11339" s="1" t="n">
        <v>45481</v>
      </c>
      <c r="C11339" s="1" t="n">
        <v>45677</v>
      </c>
      <c r="D11339" t="inlineStr">
        <is>
          <t>GÄVLEBORGS LÄN</t>
        </is>
      </c>
      <c r="E11339" t="inlineStr">
        <is>
          <t>GÄVLE</t>
        </is>
      </c>
      <c r="F11339" t="inlineStr">
        <is>
          <t>Bergvik skog väst AB</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29004-2024</t>
        </is>
      </c>
      <c r="B11340" s="1" t="n">
        <v>45481</v>
      </c>
      <c r="C11340" s="1" t="n">
        <v>45677</v>
      </c>
      <c r="D11340" t="inlineStr">
        <is>
          <t>GÄVLEBORGS LÄN</t>
        </is>
      </c>
      <c r="E11340" t="inlineStr">
        <is>
          <t>HUDIKSVALL</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28966-2024</t>
        </is>
      </c>
      <c r="B11341" s="1" t="n">
        <v>45481</v>
      </c>
      <c r="C11341" s="1" t="n">
        <v>45677</v>
      </c>
      <c r="D11341" t="inlineStr">
        <is>
          <t>GÄVLEBORGS LÄN</t>
        </is>
      </c>
      <c r="E11341" t="inlineStr">
        <is>
          <t>OCKELBO</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28942-2024</t>
        </is>
      </c>
      <c r="B11342" s="1" t="n">
        <v>45481</v>
      </c>
      <c r="C11342" s="1" t="n">
        <v>45677</v>
      </c>
      <c r="D11342" t="inlineStr">
        <is>
          <t>GÄVLEBORGS LÄN</t>
        </is>
      </c>
      <c r="E11342" t="inlineStr">
        <is>
          <t>GÄVLE</t>
        </is>
      </c>
      <c r="F11342" t="inlineStr">
        <is>
          <t>Bergvik skog väst AB</t>
        </is>
      </c>
      <c r="G11342" t="n">
        <v>8</v>
      </c>
      <c r="H11342" t="n">
        <v>0</v>
      </c>
      <c r="I11342" t="n">
        <v>0</v>
      </c>
      <c r="J11342" t="n">
        <v>0</v>
      </c>
      <c r="K11342" t="n">
        <v>0</v>
      </c>
      <c r="L11342" t="n">
        <v>0</v>
      </c>
      <c r="M11342" t="n">
        <v>0</v>
      </c>
      <c r="N11342" t="n">
        <v>0</v>
      </c>
      <c r="O11342" t="n">
        <v>0</v>
      </c>
      <c r="P11342" t="n">
        <v>0</v>
      </c>
      <c r="Q11342" t="n">
        <v>0</v>
      </c>
      <c r="R11342" s="2" t="inlineStr"/>
      <c r="U11342">
        <f>HYPERLINK("https://klasma.github.io/Logging_2180/knärot/A 28942-2024 karta knärot.png", "A 28942-2024")</f>
        <v/>
      </c>
      <c r="V11342">
        <f>HYPERLINK("https://klasma.github.io/Logging_2180/klagomål/A 28942-2024 FSC-klagomål.docx", "A 28942-2024")</f>
        <v/>
      </c>
      <c r="W11342">
        <f>HYPERLINK("https://klasma.github.io/Logging_2180/klagomålsmail/A 28942-2024 FSC-klagomål mail.docx", "A 28942-2024")</f>
        <v/>
      </c>
      <c r="X11342">
        <f>HYPERLINK("https://klasma.github.io/Logging_2180/tillsyn/A 28942-2024 tillsynsbegäran.docx", "A 28942-2024")</f>
        <v/>
      </c>
      <c r="Y11342">
        <f>HYPERLINK("https://klasma.github.io/Logging_2180/tillsynsmail/A 28942-2024 tillsynsbegäran mail.docx", "A 28942-2024")</f>
        <v/>
      </c>
    </row>
    <row r="11343" ht="15" customHeight="1">
      <c r="A11343" t="inlineStr">
        <is>
          <t>A 28935-2024</t>
        </is>
      </c>
      <c r="B11343" s="1" t="n">
        <v>45481</v>
      </c>
      <c r="C11343" s="1" t="n">
        <v>45677</v>
      </c>
      <c r="D11343" t="inlineStr">
        <is>
          <t>GÄVLEBORGS LÄN</t>
        </is>
      </c>
      <c r="E11343" t="inlineStr">
        <is>
          <t>GÄVLE</t>
        </is>
      </c>
      <c r="F11343" t="inlineStr">
        <is>
          <t>Bergvik skog väst AB</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29134-2024</t>
        </is>
      </c>
      <c r="B11344" s="1" t="n">
        <v>45482</v>
      </c>
      <c r="C11344" s="1" t="n">
        <v>45677</v>
      </c>
      <c r="D11344" t="inlineStr">
        <is>
          <t>GÄVLEBORGS LÄN</t>
        </is>
      </c>
      <c r="E11344" t="inlineStr">
        <is>
          <t>SÖDERHAMN</t>
        </is>
      </c>
      <c r="F11344" t="inlineStr">
        <is>
          <t>Kommuner</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29219-2024</t>
        </is>
      </c>
      <c r="B11345" s="1" t="n">
        <v>45482</v>
      </c>
      <c r="C11345" s="1" t="n">
        <v>45677</v>
      </c>
      <c r="D11345" t="inlineStr">
        <is>
          <t>GÄVLEBORGS LÄN</t>
        </is>
      </c>
      <c r="E11345" t="inlineStr">
        <is>
          <t>BOLLNÄS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29202-2024</t>
        </is>
      </c>
      <c r="B11346" s="1" t="n">
        <v>45482</v>
      </c>
      <c r="C11346" s="1" t="n">
        <v>45677</v>
      </c>
      <c r="D11346" t="inlineStr">
        <is>
          <t>GÄVLEBORGS LÄN</t>
        </is>
      </c>
      <c r="E11346" t="inlineStr">
        <is>
          <t>LJUSDAL</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29128-2024</t>
        </is>
      </c>
      <c r="B11347" s="1" t="n">
        <v>45482</v>
      </c>
      <c r="C11347" s="1" t="n">
        <v>45677</v>
      </c>
      <c r="D11347" t="inlineStr">
        <is>
          <t>GÄVLEBORGS LÄN</t>
        </is>
      </c>
      <c r="E11347" t="inlineStr">
        <is>
          <t>LJUSDAL</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29362-2024</t>
        </is>
      </c>
      <c r="B11348" s="1" t="n">
        <v>45483</v>
      </c>
      <c r="C11348" s="1" t="n">
        <v>45677</v>
      </c>
      <c r="D11348" t="inlineStr">
        <is>
          <t>GÄVLEBORGS LÄN</t>
        </is>
      </c>
      <c r="E11348" t="inlineStr">
        <is>
          <t>LJUSDAL</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29331-2024</t>
        </is>
      </c>
      <c r="B11349" s="1" t="n">
        <v>45483</v>
      </c>
      <c r="C11349" s="1" t="n">
        <v>45677</v>
      </c>
      <c r="D11349" t="inlineStr">
        <is>
          <t>GÄVLEBORGS LÄN</t>
        </is>
      </c>
      <c r="E11349" t="inlineStr">
        <is>
          <t>HUDIKSVALL</t>
        </is>
      </c>
      <c r="F11349" t="inlineStr">
        <is>
          <t>Holmen skog AB</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29314-2024</t>
        </is>
      </c>
      <c r="B11350" s="1" t="n">
        <v>45483</v>
      </c>
      <c r="C11350" s="1" t="n">
        <v>45677</v>
      </c>
      <c r="D11350" t="inlineStr">
        <is>
          <t>GÄVLEBORGS LÄN</t>
        </is>
      </c>
      <c r="E11350" t="inlineStr">
        <is>
          <t>LJUSDAL</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29310-2024</t>
        </is>
      </c>
      <c r="B11351" s="1" t="n">
        <v>45483</v>
      </c>
      <c r="C11351" s="1" t="n">
        <v>45677</v>
      </c>
      <c r="D11351" t="inlineStr">
        <is>
          <t>GÄVLEBORGS LÄN</t>
        </is>
      </c>
      <c r="E11351" t="inlineStr">
        <is>
          <t>BOLLNÄS</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29294-2024</t>
        </is>
      </c>
      <c r="B11352" s="1" t="n">
        <v>45483</v>
      </c>
      <c r="C11352" s="1" t="n">
        <v>45677</v>
      </c>
      <c r="D11352" t="inlineStr">
        <is>
          <t>GÄVLEBORGS LÄN</t>
        </is>
      </c>
      <c r="E11352" t="inlineStr">
        <is>
          <t>OVANÅKER</t>
        </is>
      </c>
      <c r="F11352" t="inlineStr">
        <is>
          <t>Bergvik skog väst AB</t>
        </is>
      </c>
      <c r="G11352" t="n">
        <v>15.6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29289-2024</t>
        </is>
      </c>
      <c r="B11353" s="1" t="n">
        <v>45483</v>
      </c>
      <c r="C11353" s="1" t="n">
        <v>45677</v>
      </c>
      <c r="D11353" t="inlineStr">
        <is>
          <t>GÄVLEBORGS LÄN</t>
        </is>
      </c>
      <c r="E11353" t="inlineStr">
        <is>
          <t>SANDVIKEN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29284-2024</t>
        </is>
      </c>
      <c r="B11354" s="1" t="n">
        <v>45483</v>
      </c>
      <c r="C11354" s="1" t="n">
        <v>45677</v>
      </c>
      <c r="D11354" t="inlineStr">
        <is>
          <t>GÄVLEBORGS LÄN</t>
        </is>
      </c>
      <c r="E11354" t="inlineStr">
        <is>
          <t>SANDVIKEN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29363-2024</t>
        </is>
      </c>
      <c r="B11355" s="1" t="n">
        <v>45483</v>
      </c>
      <c r="C11355" s="1" t="n">
        <v>45677</v>
      </c>
      <c r="D11355" t="inlineStr">
        <is>
          <t>GÄVLEBORGS LÄN</t>
        </is>
      </c>
      <c r="E11355" t="inlineStr">
        <is>
          <t>LJUSDAL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29380-2024</t>
        </is>
      </c>
      <c r="B11356" s="1" t="n">
        <v>45483</v>
      </c>
      <c r="C11356" s="1" t="n">
        <v>45677</v>
      </c>
      <c r="D11356" t="inlineStr">
        <is>
          <t>GÄVLEBORGS LÄN</t>
        </is>
      </c>
      <c r="E11356" t="inlineStr">
        <is>
          <t>NORDANSTIG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29297-2024</t>
        </is>
      </c>
      <c r="B11357" s="1" t="n">
        <v>45483</v>
      </c>
      <c r="C11357" s="1" t="n">
        <v>45677</v>
      </c>
      <c r="D11357" t="inlineStr">
        <is>
          <t>GÄVLEBORGS LÄN</t>
        </is>
      </c>
      <c r="E11357" t="inlineStr">
        <is>
          <t>SANDVIKEN</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29388-2024</t>
        </is>
      </c>
      <c r="B11358" s="1" t="n">
        <v>45483</v>
      </c>
      <c r="C11358" s="1" t="n">
        <v>45677</v>
      </c>
      <c r="D11358" t="inlineStr">
        <is>
          <t>GÄVLEBORGS LÄN</t>
        </is>
      </c>
      <c r="E11358" t="inlineStr">
        <is>
          <t>NORDANSTIG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29337-2024</t>
        </is>
      </c>
      <c r="B11359" s="1" t="n">
        <v>45483</v>
      </c>
      <c r="C11359" s="1" t="n">
        <v>45677</v>
      </c>
      <c r="D11359" t="inlineStr">
        <is>
          <t>GÄVLEBORGS LÄN</t>
        </is>
      </c>
      <c r="E11359" t="inlineStr">
        <is>
          <t>HUDIKSVALL</t>
        </is>
      </c>
      <c r="F11359" t="inlineStr">
        <is>
          <t>Holmen skog AB</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29452-2024</t>
        </is>
      </c>
      <c r="B11360" s="1" t="n">
        <v>45484</v>
      </c>
      <c r="C11360" s="1" t="n">
        <v>45677</v>
      </c>
      <c r="D11360" t="inlineStr">
        <is>
          <t>GÄVLEBORGS LÄN</t>
        </is>
      </c>
      <c r="E11360" t="inlineStr">
        <is>
          <t>HUDIKSVALL</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29296-2024</t>
        </is>
      </c>
      <c r="B11361" s="1" t="n">
        <v>45483</v>
      </c>
      <c r="C11361" s="1" t="n">
        <v>45677</v>
      </c>
      <c r="D11361" t="inlineStr">
        <is>
          <t>GÄVLEBORGS LÄN</t>
        </is>
      </c>
      <c r="E11361" t="inlineStr">
        <is>
          <t>SANDVIKEN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29500-2024</t>
        </is>
      </c>
      <c r="B11362" s="1" t="n">
        <v>45484</v>
      </c>
      <c r="C11362" s="1" t="n">
        <v>45677</v>
      </c>
      <c r="D11362" t="inlineStr">
        <is>
          <t>GÄVLEBORGS LÄN</t>
        </is>
      </c>
      <c r="E11362" t="inlineStr">
        <is>
          <t>NORDANSTIG</t>
        </is>
      </c>
      <c r="F11362" t="inlineStr">
        <is>
          <t>Holmen skog AB</t>
        </is>
      </c>
      <c r="G11362" t="n">
        <v>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29532-2024</t>
        </is>
      </c>
      <c r="B11363" s="1" t="n">
        <v>45484</v>
      </c>
      <c r="C11363" s="1" t="n">
        <v>45677</v>
      </c>
      <c r="D11363" t="inlineStr">
        <is>
          <t>GÄVLEBORGS LÄN</t>
        </is>
      </c>
      <c r="E11363" t="inlineStr">
        <is>
          <t>NORDANSTIG</t>
        </is>
      </c>
      <c r="F11363" t="inlineStr">
        <is>
          <t>Holmen skog AB</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29553-2024</t>
        </is>
      </c>
      <c r="B11364" s="1" t="n">
        <v>45484</v>
      </c>
      <c r="C11364" s="1" t="n">
        <v>45677</v>
      </c>
      <c r="D11364" t="inlineStr">
        <is>
          <t>GÄVLEBORGS LÄN</t>
        </is>
      </c>
      <c r="E11364" t="inlineStr">
        <is>
          <t>LJUSDAL</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29548-2024</t>
        </is>
      </c>
      <c r="B11365" s="1" t="n">
        <v>45484</v>
      </c>
      <c r="C11365" s="1" t="n">
        <v>45677</v>
      </c>
      <c r="D11365" t="inlineStr">
        <is>
          <t>GÄVLEBORGS LÄN</t>
        </is>
      </c>
      <c r="E11365" t="inlineStr">
        <is>
          <t>LJUSDAL</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29567-2024</t>
        </is>
      </c>
      <c r="B11366" s="1" t="n">
        <v>45484</v>
      </c>
      <c r="C11366" s="1" t="n">
        <v>45677</v>
      </c>
      <c r="D11366" t="inlineStr">
        <is>
          <t>GÄVLEBORGS LÄN</t>
        </is>
      </c>
      <c r="E11366" t="inlineStr">
        <is>
          <t>OCKELBO</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29547-2024</t>
        </is>
      </c>
      <c r="B11367" s="1" t="n">
        <v>45484</v>
      </c>
      <c r="C11367" s="1" t="n">
        <v>45677</v>
      </c>
      <c r="D11367" t="inlineStr">
        <is>
          <t>GÄVLEBORGS LÄN</t>
        </is>
      </c>
      <c r="E11367" t="inlineStr">
        <is>
          <t>LJUSDAL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29498-2024</t>
        </is>
      </c>
      <c r="B11368" s="1" t="n">
        <v>45484</v>
      </c>
      <c r="C11368" s="1" t="n">
        <v>45677</v>
      </c>
      <c r="D11368" t="inlineStr">
        <is>
          <t>GÄVLEBORGS LÄN</t>
        </is>
      </c>
      <c r="E11368" t="inlineStr">
        <is>
          <t>SÖDERHAMN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29562-2024</t>
        </is>
      </c>
      <c r="B11369" s="1" t="n">
        <v>45484</v>
      </c>
      <c r="C11369" s="1" t="n">
        <v>45677</v>
      </c>
      <c r="D11369" t="inlineStr">
        <is>
          <t>GÄVLEBORGS LÄN</t>
        </is>
      </c>
      <c r="E11369" t="inlineStr">
        <is>
          <t>LJUSDAL</t>
        </is>
      </c>
      <c r="F11369" t="inlineStr">
        <is>
          <t>Bergvik skog väst AB</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29554-2024</t>
        </is>
      </c>
      <c r="B11370" s="1" t="n">
        <v>45484</v>
      </c>
      <c r="C11370" s="1" t="n">
        <v>45677</v>
      </c>
      <c r="D11370" t="inlineStr">
        <is>
          <t>GÄVLEBORGS LÄN</t>
        </is>
      </c>
      <c r="E11370" t="inlineStr">
        <is>
          <t>LJUSDAL</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29482-2024</t>
        </is>
      </c>
      <c r="B11371" s="1" t="n">
        <v>45484</v>
      </c>
      <c r="C11371" s="1" t="n">
        <v>45677</v>
      </c>
      <c r="D11371" t="inlineStr">
        <is>
          <t>GÄVLEBORGS LÄN</t>
        </is>
      </c>
      <c r="E11371" t="inlineStr">
        <is>
          <t>LJUSDAL</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29863-2024</t>
        </is>
      </c>
      <c r="B11372" s="1" t="n">
        <v>45486</v>
      </c>
      <c r="C11372" s="1" t="n">
        <v>45677</v>
      </c>
      <c r="D11372" t="inlineStr">
        <is>
          <t>GÄVLEBORGS LÄN</t>
        </is>
      </c>
      <c r="E11372" t="inlineStr">
        <is>
          <t>SÖDERHAMN</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29855-2024</t>
        </is>
      </c>
      <c r="B11373" s="1" t="n">
        <v>45485</v>
      </c>
      <c r="C11373" s="1" t="n">
        <v>45677</v>
      </c>
      <c r="D11373" t="inlineStr">
        <is>
          <t>GÄVLEBORGS LÄN</t>
        </is>
      </c>
      <c r="E11373" t="inlineStr">
        <is>
          <t>GÄVLE</t>
        </is>
      </c>
      <c r="F11373" t="inlineStr">
        <is>
          <t>Bergvik skog väst AB</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29835-2024</t>
        </is>
      </c>
      <c r="B11374" s="1" t="n">
        <v>45485</v>
      </c>
      <c r="C11374" s="1" t="n">
        <v>45677</v>
      </c>
      <c r="D11374" t="inlineStr">
        <is>
          <t>GÄVLEBORGS LÄN</t>
        </is>
      </c>
      <c r="E11374" t="inlineStr">
        <is>
          <t>OCKELBO</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29795-2024</t>
        </is>
      </c>
      <c r="B11375" s="1" t="n">
        <v>45485</v>
      </c>
      <c r="C11375" s="1" t="n">
        <v>45677</v>
      </c>
      <c r="D11375" t="inlineStr">
        <is>
          <t>GÄVLEBORGS LÄN</t>
        </is>
      </c>
      <c r="E11375" t="inlineStr">
        <is>
          <t>BOLLNÄS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29742-2024</t>
        </is>
      </c>
      <c r="B11376" s="1" t="n">
        <v>45485</v>
      </c>
      <c r="C11376" s="1" t="n">
        <v>45677</v>
      </c>
      <c r="D11376" t="inlineStr">
        <is>
          <t>GÄVLEBORGS LÄN</t>
        </is>
      </c>
      <c r="E11376" t="inlineStr">
        <is>
          <t>BOLLNÄS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29802-2024</t>
        </is>
      </c>
      <c r="B11377" s="1" t="n">
        <v>45485</v>
      </c>
      <c r="C11377" s="1" t="n">
        <v>45677</v>
      </c>
      <c r="D11377" t="inlineStr">
        <is>
          <t>GÄVLEBORGS LÄN</t>
        </is>
      </c>
      <c r="E11377" t="inlineStr">
        <is>
          <t>BOLLNÄS</t>
        </is>
      </c>
      <c r="F11377" t="inlineStr">
        <is>
          <t>Bergvik skog väst AB</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29763-2024</t>
        </is>
      </c>
      <c r="B11378" s="1" t="n">
        <v>45485</v>
      </c>
      <c r="C11378" s="1" t="n">
        <v>45677</v>
      </c>
      <c r="D11378" t="inlineStr">
        <is>
          <t>GÄVLEBORGS LÄN</t>
        </is>
      </c>
      <c r="E11378" t="inlineStr">
        <is>
          <t>SANDVIKEN</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29747-2024</t>
        </is>
      </c>
      <c r="B11379" s="1" t="n">
        <v>45485</v>
      </c>
      <c r="C11379" s="1" t="n">
        <v>45677</v>
      </c>
      <c r="D11379" t="inlineStr">
        <is>
          <t>GÄVLEBORGS LÄN</t>
        </is>
      </c>
      <c r="E11379" t="inlineStr">
        <is>
          <t>BOLLNÄS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29700-2024</t>
        </is>
      </c>
      <c r="B11380" s="1" t="n">
        <v>45485</v>
      </c>
      <c r="C11380" s="1" t="n">
        <v>45677</v>
      </c>
      <c r="D11380" t="inlineStr">
        <is>
          <t>GÄVLEBORGS LÄN</t>
        </is>
      </c>
      <c r="E11380" t="inlineStr">
        <is>
          <t>BOLLNÄS</t>
        </is>
      </c>
      <c r="F11380" t="inlineStr">
        <is>
          <t>Bergvik skog väst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29720-2024</t>
        </is>
      </c>
      <c r="B11381" s="1" t="n">
        <v>45485</v>
      </c>
      <c r="C11381" s="1" t="n">
        <v>45677</v>
      </c>
      <c r="D11381" t="inlineStr">
        <is>
          <t>GÄVLEBORGS LÄN</t>
        </is>
      </c>
      <c r="E11381" t="inlineStr">
        <is>
          <t>BOLLNÄS</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29701-2024</t>
        </is>
      </c>
      <c r="B11382" s="1" t="n">
        <v>45485</v>
      </c>
      <c r="C11382" s="1" t="n">
        <v>45677</v>
      </c>
      <c r="D11382" t="inlineStr">
        <is>
          <t>GÄVLEBORGS LÄN</t>
        </is>
      </c>
      <c r="E11382" t="inlineStr">
        <is>
          <t>BOLLNÄS</t>
        </is>
      </c>
      <c r="F11382" t="inlineStr">
        <is>
          <t>Bergvik skog väst AB</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29713-2024</t>
        </is>
      </c>
      <c r="B11383" s="1" t="n">
        <v>45485</v>
      </c>
      <c r="C11383" s="1" t="n">
        <v>45677</v>
      </c>
      <c r="D11383" t="inlineStr">
        <is>
          <t>GÄVLEBORGS LÄN</t>
        </is>
      </c>
      <c r="E11383" t="inlineStr">
        <is>
          <t>SÖDERHAMN</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29796-2024</t>
        </is>
      </c>
      <c r="B11384" s="1" t="n">
        <v>45485</v>
      </c>
      <c r="C11384" s="1" t="n">
        <v>45677</v>
      </c>
      <c r="D11384" t="inlineStr">
        <is>
          <t>GÄVLEBORGS LÄN</t>
        </is>
      </c>
      <c r="E11384" t="inlineStr">
        <is>
          <t>BOLLNÄS</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29812-2024</t>
        </is>
      </c>
      <c r="B11385" s="1" t="n">
        <v>45485</v>
      </c>
      <c r="C11385" s="1" t="n">
        <v>45677</v>
      </c>
      <c r="D11385" t="inlineStr">
        <is>
          <t>GÄVLEBORGS LÄN</t>
        </is>
      </c>
      <c r="E11385" t="inlineStr">
        <is>
          <t>LJUSDAL</t>
        </is>
      </c>
      <c r="F11385" t="inlineStr">
        <is>
          <t>Allmännings- och besparingsskogar</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29821-2024</t>
        </is>
      </c>
      <c r="B11386" s="1" t="n">
        <v>45485</v>
      </c>
      <c r="C11386" s="1" t="n">
        <v>45677</v>
      </c>
      <c r="D11386" t="inlineStr">
        <is>
          <t>GÄVLEBORGS LÄN</t>
        </is>
      </c>
      <c r="E11386" t="inlineStr">
        <is>
          <t>SÖDERHAMN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30104-2024</t>
        </is>
      </c>
      <c r="B11387" s="1" t="n">
        <v>45485</v>
      </c>
      <c r="C11387" s="1" t="n">
        <v>45677</v>
      </c>
      <c r="D11387" t="inlineStr">
        <is>
          <t>GÄVLEBORGS LÄN</t>
        </is>
      </c>
      <c r="E11387" t="inlineStr">
        <is>
          <t>GÄVLE</t>
        </is>
      </c>
      <c r="F11387" t="inlineStr">
        <is>
          <t>Bergvik skog väst AB</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29862-2024</t>
        </is>
      </c>
      <c r="B11388" s="1" t="n">
        <v>45486</v>
      </c>
      <c r="C11388" s="1" t="n">
        <v>45677</v>
      </c>
      <c r="D11388" t="inlineStr">
        <is>
          <t>GÄVLEBORGS LÄN</t>
        </is>
      </c>
      <c r="E11388" t="inlineStr">
        <is>
          <t>SÖDERHAMN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29735-2024</t>
        </is>
      </c>
      <c r="B11389" s="1" t="n">
        <v>45485</v>
      </c>
      <c r="C11389" s="1" t="n">
        <v>45677</v>
      </c>
      <c r="D11389" t="inlineStr">
        <is>
          <t>GÄVLEBORGS LÄN</t>
        </is>
      </c>
      <c r="E11389" t="inlineStr">
        <is>
          <t>SÖDERHAMN</t>
        </is>
      </c>
      <c r="G11389" t="n">
        <v>20.4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29723-2024</t>
        </is>
      </c>
      <c r="B11390" s="1" t="n">
        <v>45485</v>
      </c>
      <c r="C11390" s="1" t="n">
        <v>45677</v>
      </c>
      <c r="D11390" t="inlineStr">
        <is>
          <t>GÄVLEBORGS LÄN</t>
        </is>
      </c>
      <c r="E11390" t="inlineStr">
        <is>
          <t>BOLLNÄS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29715-2024</t>
        </is>
      </c>
      <c r="B11391" s="1" t="n">
        <v>45485</v>
      </c>
      <c r="C11391" s="1" t="n">
        <v>45677</v>
      </c>
      <c r="D11391" t="inlineStr">
        <is>
          <t>GÄVLEBORGS LÄN</t>
        </is>
      </c>
      <c r="E11391" t="inlineStr">
        <is>
          <t>BOLLNÄS</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29881-2024</t>
        </is>
      </c>
      <c r="B11392" s="1" t="n">
        <v>45486</v>
      </c>
      <c r="C11392" s="1" t="n">
        <v>45677</v>
      </c>
      <c r="D11392" t="inlineStr">
        <is>
          <t>GÄVLEBORGS LÄN</t>
        </is>
      </c>
      <c r="E11392" t="inlineStr">
        <is>
          <t>BOLLNÄS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29884-2024</t>
        </is>
      </c>
      <c r="B11393" s="1" t="n">
        <v>45486</v>
      </c>
      <c r="C11393" s="1" t="n">
        <v>45677</v>
      </c>
      <c r="D11393" t="inlineStr">
        <is>
          <t>GÄVLEBORGS LÄN</t>
        </is>
      </c>
      <c r="E11393" t="inlineStr">
        <is>
          <t>GÄVLE</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29905-2024</t>
        </is>
      </c>
      <c r="B11394" s="1" t="n">
        <v>45487</v>
      </c>
      <c r="C11394" s="1" t="n">
        <v>45677</v>
      </c>
      <c r="D11394" t="inlineStr">
        <is>
          <t>GÄVLEBORGS LÄN</t>
        </is>
      </c>
      <c r="E11394" t="inlineStr">
        <is>
          <t>HUDIKSVALL</t>
        </is>
      </c>
      <c r="F11394" t="inlineStr">
        <is>
          <t>Holmen skog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29909-2024</t>
        </is>
      </c>
      <c r="B11395" s="1" t="n">
        <v>45487</v>
      </c>
      <c r="C11395" s="1" t="n">
        <v>45677</v>
      </c>
      <c r="D11395" t="inlineStr">
        <is>
          <t>GÄVLEBORGS LÄN</t>
        </is>
      </c>
      <c r="E11395" t="inlineStr">
        <is>
          <t>NORDANSTIG</t>
        </is>
      </c>
      <c r="F11395" t="inlineStr">
        <is>
          <t>Holmen skog AB</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29904-2024</t>
        </is>
      </c>
      <c r="B11396" s="1" t="n">
        <v>45487</v>
      </c>
      <c r="C11396" s="1" t="n">
        <v>45677</v>
      </c>
      <c r="D11396" t="inlineStr">
        <is>
          <t>GÄVLEBORGS LÄN</t>
        </is>
      </c>
      <c r="E11396" t="inlineStr">
        <is>
          <t>HUDIKSVALL</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30018-2024</t>
        </is>
      </c>
      <c r="B11397" s="1" t="n">
        <v>45488</v>
      </c>
      <c r="C11397" s="1" t="n">
        <v>45677</v>
      </c>
      <c r="D11397" t="inlineStr">
        <is>
          <t>GÄVLEBORGS LÄN</t>
        </is>
      </c>
      <c r="E11397" t="inlineStr">
        <is>
          <t>NORDANSTIG</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29953-2024</t>
        </is>
      </c>
      <c r="B11398" s="1" t="n">
        <v>45488</v>
      </c>
      <c r="C11398" s="1" t="n">
        <v>45677</v>
      </c>
      <c r="D11398" t="inlineStr">
        <is>
          <t>GÄVLEBORGS LÄN</t>
        </is>
      </c>
      <c r="E11398" t="inlineStr">
        <is>
          <t>OCKELBO</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29998-2024</t>
        </is>
      </c>
      <c r="B11399" s="1" t="n">
        <v>45488</v>
      </c>
      <c r="C11399" s="1" t="n">
        <v>45677</v>
      </c>
      <c r="D11399" t="inlineStr">
        <is>
          <t>GÄVLEBORGS LÄN</t>
        </is>
      </c>
      <c r="E11399" t="inlineStr">
        <is>
          <t>HUDIKSVALL</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30007-2024</t>
        </is>
      </c>
      <c r="B11400" s="1" t="n">
        <v>45488</v>
      </c>
      <c r="C11400" s="1" t="n">
        <v>45677</v>
      </c>
      <c r="D11400" t="inlineStr">
        <is>
          <t>GÄVLEBORGS LÄN</t>
        </is>
      </c>
      <c r="E11400" t="inlineStr">
        <is>
          <t>HOFORS</t>
        </is>
      </c>
      <c r="F11400" t="inlineStr">
        <is>
          <t>Sveaskog</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29988-2024</t>
        </is>
      </c>
      <c r="B11401" s="1" t="n">
        <v>45488</v>
      </c>
      <c r="C11401" s="1" t="n">
        <v>45677</v>
      </c>
      <c r="D11401" t="inlineStr">
        <is>
          <t>GÄVLEBORGS LÄN</t>
        </is>
      </c>
      <c r="E11401" t="inlineStr">
        <is>
          <t>HUDIKSVALL</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29928-2024</t>
        </is>
      </c>
      <c r="B11402" s="1" t="n">
        <v>45488</v>
      </c>
      <c r="C11402" s="1" t="n">
        <v>45677</v>
      </c>
      <c r="D11402" t="inlineStr">
        <is>
          <t>GÄVLEBORGS LÄN</t>
        </is>
      </c>
      <c r="E11402" t="inlineStr">
        <is>
          <t>SANDVIKEN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29934-2024</t>
        </is>
      </c>
      <c r="B11403" s="1" t="n">
        <v>45488</v>
      </c>
      <c r="C11403" s="1" t="n">
        <v>45677</v>
      </c>
      <c r="D11403" t="inlineStr">
        <is>
          <t>GÄVLEBORGS LÄN</t>
        </is>
      </c>
      <c r="E11403" t="inlineStr">
        <is>
          <t>LJUSDAL</t>
        </is>
      </c>
      <c r="F11403" t="inlineStr">
        <is>
          <t>Bergvik skog väst AB</t>
        </is>
      </c>
      <c r="G11403" t="n">
        <v>13.9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29954-2024</t>
        </is>
      </c>
      <c r="B11404" s="1" t="n">
        <v>45488</v>
      </c>
      <c r="C11404" s="1" t="n">
        <v>45677</v>
      </c>
      <c r="D11404" t="inlineStr">
        <is>
          <t>GÄVLEBORGS LÄN</t>
        </is>
      </c>
      <c r="E11404" t="inlineStr">
        <is>
          <t>OCKELBO</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29927-2024</t>
        </is>
      </c>
      <c r="B11405" s="1" t="n">
        <v>45488</v>
      </c>
      <c r="C11405" s="1" t="n">
        <v>45677</v>
      </c>
      <c r="D11405" t="inlineStr">
        <is>
          <t>GÄVLEBORGS LÄN</t>
        </is>
      </c>
      <c r="E11405" t="inlineStr">
        <is>
          <t>GÄVLE</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29963-2024</t>
        </is>
      </c>
      <c r="B11406" s="1" t="n">
        <v>45488</v>
      </c>
      <c r="C11406" s="1" t="n">
        <v>45677</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29968-2024</t>
        </is>
      </c>
      <c r="B11407" s="1" t="n">
        <v>45488</v>
      </c>
      <c r="C11407" s="1" t="n">
        <v>45677</v>
      </c>
      <c r="D11407" t="inlineStr">
        <is>
          <t>GÄVLEBORGS LÄN</t>
        </is>
      </c>
      <c r="E11407" t="inlineStr">
        <is>
          <t>OCKELBO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30009-2024</t>
        </is>
      </c>
      <c r="B11408" s="1" t="n">
        <v>45488</v>
      </c>
      <c r="C11408" s="1" t="n">
        <v>45677</v>
      </c>
      <c r="D11408" t="inlineStr">
        <is>
          <t>GÄVLEBORGS LÄN</t>
        </is>
      </c>
      <c r="E11408" t="inlineStr">
        <is>
          <t>HOFORS</t>
        </is>
      </c>
      <c r="F11408" t="inlineStr">
        <is>
          <t>Sveaskog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30078-2024</t>
        </is>
      </c>
      <c r="B11409" s="1" t="n">
        <v>45489</v>
      </c>
      <c r="C11409" s="1" t="n">
        <v>45677</v>
      </c>
      <c r="D11409" t="inlineStr">
        <is>
          <t>GÄVLEBORGS LÄN</t>
        </is>
      </c>
      <c r="E11409" t="inlineStr">
        <is>
          <t>NORDANSTIG</t>
        </is>
      </c>
      <c r="F11409" t="inlineStr">
        <is>
          <t>Holmen skog AB</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30132-2024</t>
        </is>
      </c>
      <c r="B11410" s="1" t="n">
        <v>45489</v>
      </c>
      <c r="C11410" s="1" t="n">
        <v>45677</v>
      </c>
      <c r="D11410" t="inlineStr">
        <is>
          <t>GÄVLEBORGS LÄN</t>
        </is>
      </c>
      <c r="E11410" t="inlineStr">
        <is>
          <t>BOLLNÄS</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30070-2024</t>
        </is>
      </c>
      <c r="B11411" s="1" t="n">
        <v>45489</v>
      </c>
      <c r="C11411" s="1" t="n">
        <v>45677</v>
      </c>
      <c r="D11411" t="inlineStr">
        <is>
          <t>GÄVLEBORGS LÄN</t>
        </is>
      </c>
      <c r="E11411" t="inlineStr">
        <is>
          <t>BOLLNÄS</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30071-2024</t>
        </is>
      </c>
      <c r="B11412" s="1" t="n">
        <v>45489</v>
      </c>
      <c r="C11412" s="1" t="n">
        <v>45677</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30134-2024</t>
        </is>
      </c>
      <c r="B11413" s="1" t="n">
        <v>45489</v>
      </c>
      <c r="C11413" s="1" t="n">
        <v>45677</v>
      </c>
      <c r="D11413" t="inlineStr">
        <is>
          <t>GÄVLEBORGS LÄN</t>
        </is>
      </c>
      <c r="E11413" t="inlineStr">
        <is>
          <t>HUDIKSVALL</t>
        </is>
      </c>
      <c r="F11413" t="inlineStr">
        <is>
          <t>Holmen skog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30130-2024</t>
        </is>
      </c>
      <c r="B11414" s="1" t="n">
        <v>45489</v>
      </c>
      <c r="C11414" s="1" t="n">
        <v>45677</v>
      </c>
      <c r="D11414" t="inlineStr">
        <is>
          <t>GÄVLEBORGS LÄN</t>
        </is>
      </c>
      <c r="E11414" t="inlineStr">
        <is>
          <t>NORDANSTIG</t>
        </is>
      </c>
      <c r="F11414" t="inlineStr">
        <is>
          <t>Holmen skog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30077-2024</t>
        </is>
      </c>
      <c r="B11415" s="1" t="n">
        <v>45489</v>
      </c>
      <c r="C11415" s="1" t="n">
        <v>45677</v>
      </c>
      <c r="D11415" t="inlineStr">
        <is>
          <t>GÄVLEBORGS LÄN</t>
        </is>
      </c>
      <c r="E11415" t="inlineStr">
        <is>
          <t>SANDVIKEN</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30150-2024</t>
        </is>
      </c>
      <c r="B11416" s="1" t="n">
        <v>45489</v>
      </c>
      <c r="C11416" s="1" t="n">
        <v>45677</v>
      </c>
      <c r="D11416" t="inlineStr">
        <is>
          <t>GÄVLEBORGS LÄN</t>
        </is>
      </c>
      <c r="E11416" t="inlineStr">
        <is>
          <t>NORDANSTIG</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30116-2024</t>
        </is>
      </c>
      <c r="B11417" s="1" t="n">
        <v>45489</v>
      </c>
      <c r="C11417" s="1" t="n">
        <v>45677</v>
      </c>
      <c r="D11417" t="inlineStr">
        <is>
          <t>GÄVLEBORGS LÄN</t>
        </is>
      </c>
      <c r="E11417" t="inlineStr">
        <is>
          <t>HUDIKSVALL</t>
        </is>
      </c>
      <c r="F11417" t="inlineStr">
        <is>
          <t>Holmen skog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30107-2024</t>
        </is>
      </c>
      <c r="B11418" s="1" t="n">
        <v>45489</v>
      </c>
      <c r="C11418" s="1" t="n">
        <v>45677</v>
      </c>
      <c r="D11418" t="inlineStr">
        <is>
          <t>GÄVLEBORGS LÄN</t>
        </is>
      </c>
      <c r="E11418" t="inlineStr">
        <is>
          <t>HUDIKSVALL</t>
        </is>
      </c>
      <c r="F11418" t="inlineStr">
        <is>
          <t>Holmen skog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30083-2024</t>
        </is>
      </c>
      <c r="B11419" s="1" t="n">
        <v>45489</v>
      </c>
      <c r="C11419" s="1" t="n">
        <v>45677</v>
      </c>
      <c r="D11419" t="inlineStr">
        <is>
          <t>GÄVLEBORGS LÄN</t>
        </is>
      </c>
      <c r="E11419" t="inlineStr">
        <is>
          <t>HUDIKSVALL</t>
        </is>
      </c>
      <c r="F11419" t="inlineStr">
        <is>
          <t>Holmen skog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30072-2024</t>
        </is>
      </c>
      <c r="B11420" s="1" t="n">
        <v>45489</v>
      </c>
      <c r="C11420" s="1" t="n">
        <v>45677</v>
      </c>
      <c r="D11420" t="inlineStr">
        <is>
          <t>GÄVLEBORGS LÄN</t>
        </is>
      </c>
      <c r="E11420" t="inlineStr">
        <is>
          <t>BOLLNÄS</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30216-2024</t>
        </is>
      </c>
      <c r="B11421" s="1" t="n">
        <v>45490</v>
      </c>
      <c r="C11421" s="1" t="n">
        <v>45677</v>
      </c>
      <c r="D11421" t="inlineStr">
        <is>
          <t>GÄVLEBORGS LÄN</t>
        </is>
      </c>
      <c r="E11421" t="inlineStr">
        <is>
          <t>BOLLNÄS</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30224-2024</t>
        </is>
      </c>
      <c r="B11422" s="1" t="n">
        <v>45490</v>
      </c>
      <c r="C11422" s="1" t="n">
        <v>45677</v>
      </c>
      <c r="D11422" t="inlineStr">
        <is>
          <t>GÄVLEBORGS LÄN</t>
        </is>
      </c>
      <c r="E11422" t="inlineStr">
        <is>
          <t>OVANÅKER</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30229-2024</t>
        </is>
      </c>
      <c r="B11423" s="1" t="n">
        <v>45490</v>
      </c>
      <c r="C11423" s="1" t="n">
        <v>45677</v>
      </c>
      <c r="D11423" t="inlineStr">
        <is>
          <t>GÄVLEBORGS LÄN</t>
        </is>
      </c>
      <c r="E11423" t="inlineStr">
        <is>
          <t>HOFORS</t>
        </is>
      </c>
      <c r="F11423" t="inlineStr">
        <is>
          <t>Sveaskog</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30247-2024</t>
        </is>
      </c>
      <c r="B11424" s="1" t="n">
        <v>45490</v>
      </c>
      <c r="C11424" s="1" t="n">
        <v>45677</v>
      </c>
      <c r="D11424" t="inlineStr">
        <is>
          <t>GÄVLEBORGS LÄN</t>
        </is>
      </c>
      <c r="E11424" t="inlineStr">
        <is>
          <t>OCKELBO</t>
        </is>
      </c>
      <c r="F11424" t="inlineStr">
        <is>
          <t>Bergvik skog väst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30242-2024</t>
        </is>
      </c>
      <c r="B11425" s="1" t="n">
        <v>45490</v>
      </c>
      <c r="C11425" s="1" t="n">
        <v>45677</v>
      </c>
      <c r="D11425" t="inlineStr">
        <is>
          <t>GÄVLEBORGS LÄN</t>
        </is>
      </c>
      <c r="E11425" t="inlineStr">
        <is>
          <t>OCKELBO</t>
        </is>
      </c>
      <c r="F11425" t="inlineStr">
        <is>
          <t>Bergvik skog väst AB</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30254-2024</t>
        </is>
      </c>
      <c r="B11426" s="1" t="n">
        <v>45490</v>
      </c>
      <c r="C11426" s="1" t="n">
        <v>45677</v>
      </c>
      <c r="D11426" t="inlineStr">
        <is>
          <t>GÄVLEBORGS LÄN</t>
        </is>
      </c>
      <c r="E11426" t="inlineStr">
        <is>
          <t>OVANÅKER</t>
        </is>
      </c>
      <c r="F11426" t="inlineStr">
        <is>
          <t>Bergvik skog väst AB</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30286-2024</t>
        </is>
      </c>
      <c r="B11427" s="1" t="n">
        <v>45490</v>
      </c>
      <c r="C11427" s="1" t="n">
        <v>45677</v>
      </c>
      <c r="D11427" t="inlineStr">
        <is>
          <t>GÄVLEBORGS LÄN</t>
        </is>
      </c>
      <c r="E11427" t="inlineStr">
        <is>
          <t>LJUSDAL</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30294-2024</t>
        </is>
      </c>
      <c r="B11428" s="1" t="n">
        <v>45490</v>
      </c>
      <c r="C11428" s="1" t="n">
        <v>45677</v>
      </c>
      <c r="D11428" t="inlineStr">
        <is>
          <t>GÄVLEBORGS LÄN</t>
        </is>
      </c>
      <c r="E11428" t="inlineStr">
        <is>
          <t>LJUSDAL</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30213-2024</t>
        </is>
      </c>
      <c r="B11429" s="1" t="n">
        <v>45490</v>
      </c>
      <c r="C11429" s="1" t="n">
        <v>45677</v>
      </c>
      <c r="D11429" t="inlineStr">
        <is>
          <t>GÄVLEBORGS LÄN</t>
        </is>
      </c>
      <c r="E11429" t="inlineStr">
        <is>
          <t>LJUSDAL</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30262-2024</t>
        </is>
      </c>
      <c r="B11430" s="1" t="n">
        <v>45490</v>
      </c>
      <c r="C11430" s="1" t="n">
        <v>45677</v>
      </c>
      <c r="D11430" t="inlineStr">
        <is>
          <t>GÄVLEBORGS LÄN</t>
        </is>
      </c>
      <c r="E11430" t="inlineStr">
        <is>
          <t>LJUSDAL</t>
        </is>
      </c>
      <c r="F11430" t="inlineStr">
        <is>
          <t>Bergvik skog väst AB</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30296-2024</t>
        </is>
      </c>
      <c r="B11431" s="1" t="n">
        <v>45490</v>
      </c>
      <c r="C11431" s="1" t="n">
        <v>45677</v>
      </c>
      <c r="D11431" t="inlineStr">
        <is>
          <t>GÄVLEBORGS LÄN</t>
        </is>
      </c>
      <c r="E11431" t="inlineStr">
        <is>
          <t>LJUSDAL</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30292-2024</t>
        </is>
      </c>
      <c r="B11432" s="1" t="n">
        <v>45490</v>
      </c>
      <c r="C11432" s="1" t="n">
        <v>45677</v>
      </c>
      <c r="D11432" t="inlineStr">
        <is>
          <t>GÄVLEBORGS LÄN</t>
        </is>
      </c>
      <c r="E11432" t="inlineStr">
        <is>
          <t>LJUSDAL</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30187-2024</t>
        </is>
      </c>
      <c r="B11433" s="1" t="n">
        <v>45490</v>
      </c>
      <c r="C11433" s="1" t="n">
        <v>45677</v>
      </c>
      <c r="D11433" t="inlineStr">
        <is>
          <t>GÄVLEBORGS LÄN</t>
        </is>
      </c>
      <c r="E11433" t="inlineStr">
        <is>
          <t>BOLLNÄS</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30241-2024</t>
        </is>
      </c>
      <c r="B11434" s="1" t="n">
        <v>45490</v>
      </c>
      <c r="C11434" s="1" t="n">
        <v>45677</v>
      </c>
      <c r="D11434" t="inlineStr">
        <is>
          <t>GÄVLEBORGS LÄN</t>
        </is>
      </c>
      <c r="E11434" t="inlineStr">
        <is>
          <t>OVANÅKER</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30245-2024</t>
        </is>
      </c>
      <c r="B11435" s="1" t="n">
        <v>45490</v>
      </c>
      <c r="C11435" s="1" t="n">
        <v>45677</v>
      </c>
      <c r="D11435" t="inlineStr">
        <is>
          <t>GÄVLEBORGS LÄN</t>
        </is>
      </c>
      <c r="E11435" t="inlineStr">
        <is>
          <t>OVANÅKER</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30257-2024</t>
        </is>
      </c>
      <c r="B11436" s="1" t="n">
        <v>45490</v>
      </c>
      <c r="C11436" s="1" t="n">
        <v>45677</v>
      </c>
      <c r="D11436" t="inlineStr">
        <is>
          <t>GÄVLEBORGS LÄN</t>
        </is>
      </c>
      <c r="E11436" t="inlineStr">
        <is>
          <t>OVANÅKER</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30269-2024</t>
        </is>
      </c>
      <c r="B11437" s="1" t="n">
        <v>45490</v>
      </c>
      <c r="C11437" s="1" t="n">
        <v>45677</v>
      </c>
      <c r="D11437" t="inlineStr">
        <is>
          <t>GÄVLEBORGS LÄN</t>
        </is>
      </c>
      <c r="E11437" t="inlineStr">
        <is>
          <t>OVANÅKER</t>
        </is>
      </c>
      <c r="F11437" t="inlineStr">
        <is>
          <t>Bergvik skog väst AB</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30199-2024</t>
        </is>
      </c>
      <c r="B11438" s="1" t="n">
        <v>45490</v>
      </c>
      <c r="C11438" s="1" t="n">
        <v>45677</v>
      </c>
      <c r="D11438" t="inlineStr">
        <is>
          <t>GÄVLEBORGS LÄN</t>
        </is>
      </c>
      <c r="E11438" t="inlineStr">
        <is>
          <t>OVANÅKER</t>
        </is>
      </c>
      <c r="F11438" t="inlineStr">
        <is>
          <t>Bergvik skog väst AB</t>
        </is>
      </c>
      <c r="G11438" t="n">
        <v>20.8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30190-2024</t>
        </is>
      </c>
      <c r="B11439" s="1" t="n">
        <v>45490</v>
      </c>
      <c r="C11439" s="1" t="n">
        <v>45677</v>
      </c>
      <c r="D11439" t="inlineStr">
        <is>
          <t>GÄVLEBORGS LÄN</t>
        </is>
      </c>
      <c r="E11439" t="inlineStr">
        <is>
          <t>BOLLNÄS</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30188-2024</t>
        </is>
      </c>
      <c r="B11440" s="1" t="n">
        <v>45490</v>
      </c>
      <c r="C11440" s="1" t="n">
        <v>45677</v>
      </c>
      <c r="D11440" t="inlineStr">
        <is>
          <t>GÄVLEBORGS LÄN</t>
        </is>
      </c>
      <c r="E11440" t="inlineStr">
        <is>
          <t>BOLLNÄS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30408-2024</t>
        </is>
      </c>
      <c r="B11441" s="1" t="n">
        <v>45491</v>
      </c>
      <c r="C11441" s="1" t="n">
        <v>45677</v>
      </c>
      <c r="D11441" t="inlineStr">
        <is>
          <t>GÄVLEBORGS LÄN</t>
        </is>
      </c>
      <c r="E11441" t="inlineStr">
        <is>
          <t>HUDIKSVALL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30359-2024</t>
        </is>
      </c>
      <c r="B11442" s="1" t="n">
        <v>45491</v>
      </c>
      <c r="C11442" s="1" t="n">
        <v>45677</v>
      </c>
      <c r="D11442" t="inlineStr">
        <is>
          <t>GÄVLEBORGS LÄN</t>
        </is>
      </c>
      <c r="E11442" t="inlineStr">
        <is>
          <t>SÖDERHAMN</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30382-2024</t>
        </is>
      </c>
      <c r="B11443" s="1" t="n">
        <v>45491</v>
      </c>
      <c r="C11443" s="1" t="n">
        <v>45677</v>
      </c>
      <c r="D11443" t="inlineStr">
        <is>
          <t>GÄVLEBORGS LÄN</t>
        </is>
      </c>
      <c r="E11443" t="inlineStr">
        <is>
          <t>LJUSDAL</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30496-2024</t>
        </is>
      </c>
      <c r="B11444" s="1" t="n">
        <v>45492</v>
      </c>
      <c r="C11444" s="1" t="n">
        <v>45677</v>
      </c>
      <c r="D11444" t="inlineStr">
        <is>
          <t>GÄVLEBORGS LÄN</t>
        </is>
      </c>
      <c r="E11444" t="inlineStr">
        <is>
          <t>SANDVIKEN</t>
        </is>
      </c>
      <c r="F11444" t="inlineStr">
        <is>
          <t>Sveaskog</t>
        </is>
      </c>
      <c r="G11444" t="n">
        <v>12.6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30559-2024</t>
        </is>
      </c>
      <c r="B11445" s="1" t="n">
        <v>45493</v>
      </c>
      <c r="C11445" s="1" t="n">
        <v>45677</v>
      </c>
      <c r="D11445" t="inlineStr">
        <is>
          <t>GÄVLEBORGS LÄN</t>
        </is>
      </c>
      <c r="E11445" t="inlineStr">
        <is>
          <t>SÖDERHAMN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30565-2024</t>
        </is>
      </c>
      <c r="B11446" s="1" t="n">
        <v>45493</v>
      </c>
      <c r="C11446" s="1" t="n">
        <v>45677</v>
      </c>
      <c r="D11446" t="inlineStr">
        <is>
          <t>GÄVLEBORGS LÄN</t>
        </is>
      </c>
      <c r="E11446" t="inlineStr">
        <is>
          <t>OVANÅKER</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30561-2024</t>
        </is>
      </c>
      <c r="B11447" s="1" t="n">
        <v>45493</v>
      </c>
      <c r="C11447" s="1" t="n">
        <v>45677</v>
      </c>
      <c r="D11447" t="inlineStr">
        <is>
          <t>GÄVLEBORGS LÄN</t>
        </is>
      </c>
      <c r="E11447" t="inlineStr">
        <is>
          <t>BOLLNÄS</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30557-2024</t>
        </is>
      </c>
      <c r="B11448" s="1" t="n">
        <v>45492</v>
      </c>
      <c r="C11448" s="1" t="n">
        <v>45677</v>
      </c>
      <c r="D11448" t="inlineStr">
        <is>
          <t>GÄVLEBORGS LÄN</t>
        </is>
      </c>
      <c r="E11448" t="inlineStr">
        <is>
          <t>SÖDERHAMN</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30566-2024</t>
        </is>
      </c>
      <c r="B11449" s="1" t="n">
        <v>45493</v>
      </c>
      <c r="C11449" s="1" t="n">
        <v>45677</v>
      </c>
      <c r="D11449" t="inlineStr">
        <is>
          <t>GÄVLEBORGS LÄN</t>
        </is>
      </c>
      <c r="E11449" t="inlineStr">
        <is>
          <t>OVANÅKER</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30562-2024</t>
        </is>
      </c>
      <c r="B11450" s="1" t="n">
        <v>45493</v>
      </c>
      <c r="C11450" s="1" t="n">
        <v>45677</v>
      </c>
      <c r="D11450" t="inlineStr">
        <is>
          <t>GÄVLEBORGS LÄN</t>
        </is>
      </c>
      <c r="E11450" t="inlineStr">
        <is>
          <t>LJUSDAL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30558-2024</t>
        </is>
      </c>
      <c r="B11451" s="1" t="n">
        <v>45493</v>
      </c>
      <c r="C11451" s="1" t="n">
        <v>45677</v>
      </c>
      <c r="D11451" t="inlineStr">
        <is>
          <t>GÄVLEBORGS LÄN</t>
        </is>
      </c>
      <c r="E11451" t="inlineStr">
        <is>
          <t>SÖDERHAMN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30538-2024</t>
        </is>
      </c>
      <c r="B11452" s="1" t="n">
        <v>45492</v>
      </c>
      <c r="C11452" s="1" t="n">
        <v>45677</v>
      </c>
      <c r="D11452" t="inlineStr">
        <is>
          <t>GÄVLEBORGS LÄN</t>
        </is>
      </c>
      <c r="E11452" t="inlineStr">
        <is>
          <t>OCKELBO</t>
        </is>
      </c>
      <c r="F11452" t="inlineStr">
        <is>
          <t>Bergvik skog väst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30492-2024</t>
        </is>
      </c>
      <c r="B11453" s="1" t="n">
        <v>45492</v>
      </c>
      <c r="C11453" s="1" t="n">
        <v>45677</v>
      </c>
      <c r="D11453" t="inlineStr">
        <is>
          <t>GÄVLEBORGS LÄN</t>
        </is>
      </c>
      <c r="E11453" t="inlineStr">
        <is>
          <t>OVANÅKER</t>
        </is>
      </c>
      <c r="F11453" t="inlineStr">
        <is>
          <t>Bergvik skog väst AB</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30536-2024</t>
        </is>
      </c>
      <c r="B11454" s="1" t="n">
        <v>45492</v>
      </c>
      <c r="C11454" s="1" t="n">
        <v>45677</v>
      </c>
      <c r="D11454" t="inlineStr">
        <is>
          <t>GÄVLEBORGS LÄN</t>
        </is>
      </c>
      <c r="E11454" t="inlineStr">
        <is>
          <t>OCKELBO</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30503-2024</t>
        </is>
      </c>
      <c r="B11455" s="1" t="n">
        <v>45492</v>
      </c>
      <c r="C11455" s="1" t="n">
        <v>45677</v>
      </c>
      <c r="D11455" t="inlineStr">
        <is>
          <t>GÄVLEBORGS LÄN</t>
        </is>
      </c>
      <c r="E11455" t="inlineStr">
        <is>
          <t>LJUSDAL</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30556-2024</t>
        </is>
      </c>
      <c r="B11456" s="1" t="n">
        <v>45493</v>
      </c>
      <c r="C11456" s="1" t="n">
        <v>45677</v>
      </c>
      <c r="D11456" t="inlineStr">
        <is>
          <t>GÄVLEBORGS LÄN</t>
        </is>
      </c>
      <c r="E11456" t="inlineStr">
        <is>
          <t>SÖDERHAMN</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30623-2024</t>
        </is>
      </c>
      <c r="B11457" s="1" t="n">
        <v>45495</v>
      </c>
      <c r="C11457" s="1" t="n">
        <v>45677</v>
      </c>
      <c r="D11457" t="inlineStr">
        <is>
          <t>GÄVLEBORGS LÄN</t>
        </is>
      </c>
      <c r="E11457" t="inlineStr">
        <is>
          <t>LJUSDAL</t>
        </is>
      </c>
      <c r="F11457" t="inlineStr">
        <is>
          <t>Allmännings- och besparingsskogar</t>
        </is>
      </c>
      <c r="G11457" t="n">
        <v>20.4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30734-2024</t>
        </is>
      </c>
      <c r="B11458" s="1" t="n">
        <v>45496</v>
      </c>
      <c r="C11458" s="1" t="n">
        <v>45677</v>
      </c>
      <c r="D11458" t="inlineStr">
        <is>
          <t>GÄVLEBORGS LÄN</t>
        </is>
      </c>
      <c r="E11458" t="inlineStr">
        <is>
          <t>NORDANSTIG</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30702-2024</t>
        </is>
      </c>
      <c r="B11459" s="1" t="n">
        <v>45496</v>
      </c>
      <c r="C11459" s="1" t="n">
        <v>45677</v>
      </c>
      <c r="D11459" t="inlineStr">
        <is>
          <t>GÄVLEBORGS LÄN</t>
        </is>
      </c>
      <c r="E11459" t="inlineStr">
        <is>
          <t>NORDANSTIG</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30698-2024</t>
        </is>
      </c>
      <c r="B11460" s="1" t="n">
        <v>45496</v>
      </c>
      <c r="C11460" s="1" t="n">
        <v>45677</v>
      </c>
      <c r="D11460" t="inlineStr">
        <is>
          <t>GÄVLEBORGS LÄN</t>
        </is>
      </c>
      <c r="E11460" t="inlineStr">
        <is>
          <t>HUDIKSVALL</t>
        </is>
      </c>
      <c r="G11460" t="n">
        <v>16.7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30782-2024</t>
        </is>
      </c>
      <c r="B11461" s="1" t="n">
        <v>45497</v>
      </c>
      <c r="C11461" s="1" t="n">
        <v>45677</v>
      </c>
      <c r="D11461" t="inlineStr">
        <is>
          <t>GÄVLEBORGS LÄN</t>
        </is>
      </c>
      <c r="E11461" t="inlineStr">
        <is>
          <t>LJUSDAL</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30778-2024</t>
        </is>
      </c>
      <c r="B11462" s="1" t="n">
        <v>45497</v>
      </c>
      <c r="C11462" s="1" t="n">
        <v>45677</v>
      </c>
      <c r="D11462" t="inlineStr">
        <is>
          <t>GÄVLEBORGS LÄN</t>
        </is>
      </c>
      <c r="E11462" t="inlineStr">
        <is>
          <t>LJUSDAL</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30740-2024</t>
        </is>
      </c>
      <c r="B11463" s="1" t="n">
        <v>45496</v>
      </c>
      <c r="C11463" s="1" t="n">
        <v>45677</v>
      </c>
      <c r="D11463" t="inlineStr">
        <is>
          <t>GÄVLEBORGS LÄN</t>
        </is>
      </c>
      <c r="E11463" t="inlineStr">
        <is>
          <t>SÖDERHAMN</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30704-2024</t>
        </is>
      </c>
      <c r="B11464" s="1" t="n">
        <v>45496</v>
      </c>
      <c r="C11464" s="1" t="n">
        <v>45677</v>
      </c>
      <c r="D11464" t="inlineStr">
        <is>
          <t>GÄVLEBORGS LÄN</t>
        </is>
      </c>
      <c r="E11464" t="inlineStr">
        <is>
          <t>NORDANSTIG</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30703-2024</t>
        </is>
      </c>
      <c r="B11465" s="1" t="n">
        <v>45496</v>
      </c>
      <c r="C11465" s="1" t="n">
        <v>45677</v>
      </c>
      <c r="D11465" t="inlineStr">
        <is>
          <t>GÄVLEBORGS LÄN</t>
        </is>
      </c>
      <c r="E11465" t="inlineStr">
        <is>
          <t>NORDANSTIG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30695-2024</t>
        </is>
      </c>
      <c r="B11466" s="1" t="n">
        <v>45496</v>
      </c>
      <c r="C11466" s="1" t="n">
        <v>45677</v>
      </c>
      <c r="D11466" t="inlineStr">
        <is>
          <t>GÄVLEBORGS LÄN</t>
        </is>
      </c>
      <c r="E11466" t="inlineStr">
        <is>
          <t>OVANÅKER</t>
        </is>
      </c>
      <c r="F11466" t="inlineStr">
        <is>
          <t>Bergvik skog väst AB</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30741-2024</t>
        </is>
      </c>
      <c r="B11467" s="1" t="n">
        <v>45496</v>
      </c>
      <c r="C11467" s="1" t="n">
        <v>45677</v>
      </c>
      <c r="D11467" t="inlineStr">
        <is>
          <t>GÄVLEBORGS LÄN</t>
        </is>
      </c>
      <c r="E11467" t="inlineStr">
        <is>
          <t>NORDANSTIG</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30717-2024</t>
        </is>
      </c>
      <c r="B11468" s="1" t="n">
        <v>45496</v>
      </c>
      <c r="C11468" s="1" t="n">
        <v>45677</v>
      </c>
      <c r="D11468" t="inlineStr">
        <is>
          <t>GÄVLEBORGS LÄN</t>
        </is>
      </c>
      <c r="E11468" t="inlineStr">
        <is>
          <t>NORDANSTIG</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30701-2024</t>
        </is>
      </c>
      <c r="B11469" s="1" t="n">
        <v>45496</v>
      </c>
      <c r="C11469" s="1" t="n">
        <v>45677</v>
      </c>
      <c r="D11469" t="inlineStr">
        <is>
          <t>GÄVLEBORGS LÄN</t>
        </is>
      </c>
      <c r="E11469" t="inlineStr">
        <is>
          <t>HUDIKSVALL</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30697-2024</t>
        </is>
      </c>
      <c r="B11470" s="1" t="n">
        <v>45496</v>
      </c>
      <c r="C11470" s="1" t="n">
        <v>45677</v>
      </c>
      <c r="D11470" t="inlineStr">
        <is>
          <t>GÄVLEBORGS LÄN</t>
        </is>
      </c>
      <c r="E11470" t="inlineStr">
        <is>
          <t>HUDIKSVALL</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30841-2024</t>
        </is>
      </c>
      <c r="B11471" s="1" t="n">
        <v>45497</v>
      </c>
      <c r="C11471" s="1" t="n">
        <v>45677</v>
      </c>
      <c r="D11471" t="inlineStr">
        <is>
          <t>GÄVLEBORGS LÄN</t>
        </is>
      </c>
      <c r="E11471" t="inlineStr">
        <is>
          <t>LJUSDAL</t>
        </is>
      </c>
      <c r="F11471" t="inlineStr">
        <is>
          <t>Bergvik skog väst AB</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30842-2024</t>
        </is>
      </c>
      <c r="B11472" s="1" t="n">
        <v>45497</v>
      </c>
      <c r="C11472" s="1" t="n">
        <v>45677</v>
      </c>
      <c r="D11472" t="inlineStr">
        <is>
          <t>GÄVLEBORGS LÄN</t>
        </is>
      </c>
      <c r="E11472" t="inlineStr">
        <is>
          <t>NORDANSTIG</t>
        </is>
      </c>
      <c r="F11472" t="inlineStr">
        <is>
          <t>Holmen skog AB</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30818-2024</t>
        </is>
      </c>
      <c r="B11473" s="1" t="n">
        <v>45497</v>
      </c>
      <c r="C11473" s="1" t="n">
        <v>45677</v>
      </c>
      <c r="D11473" t="inlineStr">
        <is>
          <t>GÄVLEBORGS LÄN</t>
        </is>
      </c>
      <c r="E11473" t="inlineStr">
        <is>
          <t>LJUSDAL</t>
        </is>
      </c>
      <c r="F11473" t="inlineStr">
        <is>
          <t>Bergvik skog väst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30802-2024</t>
        </is>
      </c>
      <c r="B11474" s="1" t="n">
        <v>45497</v>
      </c>
      <c r="C11474" s="1" t="n">
        <v>45677</v>
      </c>
      <c r="D11474" t="inlineStr">
        <is>
          <t>GÄVLEBORGS LÄN</t>
        </is>
      </c>
      <c r="E11474" t="inlineStr">
        <is>
          <t>OVANÅKER</t>
        </is>
      </c>
      <c r="F11474" t="inlineStr">
        <is>
          <t>Bergvik skog väst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30798-2024</t>
        </is>
      </c>
      <c r="B11475" s="1" t="n">
        <v>45497</v>
      </c>
      <c r="C11475" s="1" t="n">
        <v>45677</v>
      </c>
      <c r="D11475" t="inlineStr">
        <is>
          <t>GÄVLEBORGS LÄN</t>
        </is>
      </c>
      <c r="E11475" t="inlineStr">
        <is>
          <t>OCKELBO</t>
        </is>
      </c>
      <c r="G11475" t="n">
        <v>8.699999999999999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30794-2024</t>
        </is>
      </c>
      <c r="B11476" s="1" t="n">
        <v>45497</v>
      </c>
      <c r="C11476" s="1" t="n">
        <v>45677</v>
      </c>
      <c r="D11476" t="inlineStr">
        <is>
          <t>GÄVLEBORGS LÄN</t>
        </is>
      </c>
      <c r="E11476" t="inlineStr">
        <is>
          <t>BOLLNÄS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30793-2024</t>
        </is>
      </c>
      <c r="B11477" s="1" t="n">
        <v>45497</v>
      </c>
      <c r="C11477" s="1" t="n">
        <v>45677</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30792-2024</t>
        </is>
      </c>
      <c r="B11478" s="1" t="n">
        <v>45497</v>
      </c>
      <c r="C11478" s="1" t="n">
        <v>45677</v>
      </c>
      <c r="D11478" t="inlineStr">
        <is>
          <t>GÄVLEBORGS LÄN</t>
        </is>
      </c>
      <c r="E11478" t="inlineStr">
        <is>
          <t>BOLLNÄS</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30872-2024</t>
        </is>
      </c>
      <c r="B11479" s="1" t="n">
        <v>45497</v>
      </c>
      <c r="C11479" s="1" t="n">
        <v>45677</v>
      </c>
      <c r="D11479" t="inlineStr">
        <is>
          <t>GÄVLEBORGS LÄN</t>
        </is>
      </c>
      <c r="E11479" t="inlineStr">
        <is>
          <t>BOLLNÄS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30937-2024</t>
        </is>
      </c>
      <c r="B11480" s="1" t="n">
        <v>45498</v>
      </c>
      <c r="C11480" s="1" t="n">
        <v>45677</v>
      </c>
      <c r="D11480" t="inlineStr">
        <is>
          <t>GÄVLEBORGS LÄN</t>
        </is>
      </c>
      <c r="E11480" t="inlineStr">
        <is>
          <t>BOLLNÄS</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30879-2024</t>
        </is>
      </c>
      <c r="B11481" s="1" t="n">
        <v>45498</v>
      </c>
      <c r="C11481" s="1" t="n">
        <v>45677</v>
      </c>
      <c r="D11481" t="inlineStr">
        <is>
          <t>GÄVLEBORGS LÄN</t>
        </is>
      </c>
      <c r="E11481" t="inlineStr">
        <is>
          <t>NORDANSTIG</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30919-2024</t>
        </is>
      </c>
      <c r="B11482" s="1" t="n">
        <v>45498</v>
      </c>
      <c r="C11482" s="1" t="n">
        <v>45677</v>
      </c>
      <c r="D11482" t="inlineStr">
        <is>
          <t>GÄVLEBORGS LÄN</t>
        </is>
      </c>
      <c r="E11482" t="inlineStr">
        <is>
          <t>OVANÅKER</t>
        </is>
      </c>
      <c r="F11482" t="inlineStr">
        <is>
          <t>Bergvik skog öst AB</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30935-2024</t>
        </is>
      </c>
      <c r="B11483" s="1" t="n">
        <v>45498</v>
      </c>
      <c r="C11483" s="1" t="n">
        <v>45677</v>
      </c>
      <c r="D11483" t="inlineStr">
        <is>
          <t>GÄVLEBORGS LÄN</t>
        </is>
      </c>
      <c r="E11483" t="inlineStr">
        <is>
          <t>BOLLNÄS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30939-2024</t>
        </is>
      </c>
      <c r="B11484" s="1" t="n">
        <v>45498</v>
      </c>
      <c r="C11484" s="1" t="n">
        <v>45677</v>
      </c>
      <c r="D11484" t="inlineStr">
        <is>
          <t>GÄVLEBORGS LÄN</t>
        </is>
      </c>
      <c r="E11484" t="inlineStr">
        <is>
          <t>BOLLNÄS</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30936-2024</t>
        </is>
      </c>
      <c r="B11485" s="1" t="n">
        <v>45498</v>
      </c>
      <c r="C11485" s="1" t="n">
        <v>45677</v>
      </c>
      <c r="D11485" t="inlineStr">
        <is>
          <t>GÄVLEBORGS LÄN</t>
        </is>
      </c>
      <c r="E11485" t="inlineStr">
        <is>
          <t>BOLLNÄS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30938-2024</t>
        </is>
      </c>
      <c r="B11486" s="1" t="n">
        <v>45498</v>
      </c>
      <c r="C11486" s="1" t="n">
        <v>45677</v>
      </c>
      <c r="D11486" t="inlineStr">
        <is>
          <t>GÄVLEBORGS LÄN</t>
        </is>
      </c>
      <c r="E11486" t="inlineStr">
        <is>
          <t>BOLLNÄS</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30918-2024</t>
        </is>
      </c>
      <c r="B11487" s="1" t="n">
        <v>45498</v>
      </c>
      <c r="C11487" s="1" t="n">
        <v>45677</v>
      </c>
      <c r="D11487" t="inlineStr">
        <is>
          <t>GÄVLEBORGS LÄN</t>
        </is>
      </c>
      <c r="E11487" t="inlineStr">
        <is>
          <t>NORDANSTIG</t>
        </is>
      </c>
      <c r="G11487" t="n">
        <v>12.1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30906-2024</t>
        </is>
      </c>
      <c r="B11488" s="1" t="n">
        <v>45498</v>
      </c>
      <c r="C11488" s="1" t="n">
        <v>45677</v>
      </c>
      <c r="D11488" t="inlineStr">
        <is>
          <t>GÄVLEBORGS LÄN</t>
        </is>
      </c>
      <c r="E11488" t="inlineStr">
        <is>
          <t>OVANÅKER</t>
        </is>
      </c>
      <c r="F11488" t="inlineStr">
        <is>
          <t>Bergvik skog öst AB</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30948-2024</t>
        </is>
      </c>
      <c r="B11489" s="1" t="n">
        <v>45499</v>
      </c>
      <c r="C11489" s="1" t="n">
        <v>45677</v>
      </c>
      <c r="D11489" t="inlineStr">
        <is>
          <t>GÄVLEBORGS LÄN</t>
        </is>
      </c>
      <c r="E11489" t="inlineStr">
        <is>
          <t>NORDANSTIG</t>
        </is>
      </c>
      <c r="F11489" t="inlineStr">
        <is>
          <t>Holmen skog AB</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30959-2024</t>
        </is>
      </c>
      <c r="B11490" s="1" t="n">
        <v>45499</v>
      </c>
      <c r="C11490" s="1" t="n">
        <v>45677</v>
      </c>
      <c r="D11490" t="inlineStr">
        <is>
          <t>GÄVLEBORGS LÄN</t>
        </is>
      </c>
      <c r="E11490" t="inlineStr">
        <is>
          <t>SANDVIKEN</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30976-2024</t>
        </is>
      </c>
      <c r="B11491" s="1" t="n">
        <v>45499</v>
      </c>
      <c r="C11491" s="1" t="n">
        <v>45677</v>
      </c>
      <c r="D11491" t="inlineStr">
        <is>
          <t>GÄVLEBORGS LÄN</t>
        </is>
      </c>
      <c r="E11491" t="inlineStr">
        <is>
          <t>NORDANSTIG</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30980-2024</t>
        </is>
      </c>
      <c r="B11492" s="1" t="n">
        <v>45499</v>
      </c>
      <c r="C11492" s="1" t="n">
        <v>45677</v>
      </c>
      <c r="D11492" t="inlineStr">
        <is>
          <t>GÄVLEBORGS LÄN</t>
        </is>
      </c>
      <c r="E11492" t="inlineStr">
        <is>
          <t>NORDANSTIG</t>
        </is>
      </c>
      <c r="G11492" t="n">
        <v>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30975-2024</t>
        </is>
      </c>
      <c r="B11493" s="1" t="n">
        <v>45499</v>
      </c>
      <c r="C11493" s="1" t="n">
        <v>45677</v>
      </c>
      <c r="D11493" t="inlineStr">
        <is>
          <t>GÄVLEBORGS LÄN</t>
        </is>
      </c>
      <c r="E11493" t="inlineStr">
        <is>
          <t>NORDANSTIG</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30997-2024</t>
        </is>
      </c>
      <c r="B11494" s="1" t="n">
        <v>45499</v>
      </c>
      <c r="C11494" s="1" t="n">
        <v>45677</v>
      </c>
      <c r="D11494" t="inlineStr">
        <is>
          <t>GÄVLEBORGS LÄN</t>
        </is>
      </c>
      <c r="E11494" t="inlineStr">
        <is>
          <t>GÄVLE</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30983-2024</t>
        </is>
      </c>
      <c r="B11495" s="1" t="n">
        <v>45499</v>
      </c>
      <c r="C11495" s="1" t="n">
        <v>45677</v>
      </c>
      <c r="D11495" t="inlineStr">
        <is>
          <t>GÄVLEBORGS LÄN</t>
        </is>
      </c>
      <c r="E11495" t="inlineStr">
        <is>
          <t>HUDIKSVALL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30953-2024</t>
        </is>
      </c>
      <c r="B11496" s="1" t="n">
        <v>45499</v>
      </c>
      <c r="C11496" s="1" t="n">
        <v>45677</v>
      </c>
      <c r="D11496" t="inlineStr">
        <is>
          <t>GÄVLEBORGS LÄN</t>
        </is>
      </c>
      <c r="E11496" t="inlineStr">
        <is>
          <t>SANDVIKEN</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30957-2024</t>
        </is>
      </c>
      <c r="B11497" s="1" t="n">
        <v>45499</v>
      </c>
      <c r="C11497" s="1" t="n">
        <v>45677</v>
      </c>
      <c r="D11497" t="inlineStr">
        <is>
          <t>GÄVLEBORGS LÄN</t>
        </is>
      </c>
      <c r="E11497" t="inlineStr">
        <is>
          <t>SANDVIKEN</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30969-2024</t>
        </is>
      </c>
      <c r="B11498" s="1" t="n">
        <v>45499</v>
      </c>
      <c r="C11498" s="1" t="n">
        <v>45677</v>
      </c>
      <c r="D11498" t="inlineStr">
        <is>
          <t>GÄVLEBORGS LÄN</t>
        </is>
      </c>
      <c r="E11498" t="inlineStr">
        <is>
          <t>NORDANSTIG</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30981-2024</t>
        </is>
      </c>
      <c r="B11499" s="1" t="n">
        <v>45499</v>
      </c>
      <c r="C11499" s="1" t="n">
        <v>45677</v>
      </c>
      <c r="D11499" t="inlineStr">
        <is>
          <t>GÄVLEBORGS LÄN</t>
        </is>
      </c>
      <c r="E11499" t="inlineStr">
        <is>
          <t>HUDIKSVALL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31002-2024</t>
        </is>
      </c>
      <c r="B11500" s="1" t="n">
        <v>45499</v>
      </c>
      <c r="C11500" s="1" t="n">
        <v>45677</v>
      </c>
      <c r="D11500" t="inlineStr">
        <is>
          <t>GÄVLEBORGS LÄN</t>
        </is>
      </c>
      <c r="E11500" t="inlineStr">
        <is>
          <t>NORDANSTIG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30946-2024</t>
        </is>
      </c>
      <c r="B11501" s="1" t="n">
        <v>45499</v>
      </c>
      <c r="C11501" s="1" t="n">
        <v>45677</v>
      </c>
      <c r="D11501" t="inlineStr">
        <is>
          <t>GÄVLEBORGS LÄN</t>
        </is>
      </c>
      <c r="E11501" t="inlineStr">
        <is>
          <t>OVANÅKER</t>
        </is>
      </c>
      <c r="F11501" t="inlineStr">
        <is>
          <t>Bergvik skog öst AB</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30958-2024</t>
        </is>
      </c>
      <c r="B11502" s="1" t="n">
        <v>45499</v>
      </c>
      <c r="C11502" s="1" t="n">
        <v>45677</v>
      </c>
      <c r="D11502" t="inlineStr">
        <is>
          <t>GÄVLEBORGS LÄN</t>
        </is>
      </c>
      <c r="E11502" t="inlineStr">
        <is>
          <t>SANDVIKEN</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30974-2024</t>
        </is>
      </c>
      <c r="B11503" s="1" t="n">
        <v>45499</v>
      </c>
      <c r="C11503" s="1" t="n">
        <v>45677</v>
      </c>
      <c r="D11503" t="inlineStr">
        <is>
          <t>GÄVLEBORGS LÄN</t>
        </is>
      </c>
      <c r="E11503" t="inlineStr">
        <is>
          <t>NORDANSTIG</t>
        </is>
      </c>
      <c r="G11503" t="n">
        <v>16.4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30978-2024</t>
        </is>
      </c>
      <c r="B11504" s="1" t="n">
        <v>45499</v>
      </c>
      <c r="C11504" s="1" t="n">
        <v>45677</v>
      </c>
      <c r="D11504" t="inlineStr">
        <is>
          <t>GÄVLEBORGS LÄN</t>
        </is>
      </c>
      <c r="E11504" t="inlineStr">
        <is>
          <t>NORDANSTIG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30982-2024</t>
        </is>
      </c>
      <c r="B11505" s="1" t="n">
        <v>45499</v>
      </c>
      <c r="C11505" s="1" t="n">
        <v>45677</v>
      </c>
      <c r="D11505" t="inlineStr">
        <is>
          <t>GÄVLEBORGS LÄN</t>
        </is>
      </c>
      <c r="E11505" t="inlineStr">
        <is>
          <t>HUDIKSVALL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31011-2024</t>
        </is>
      </c>
      <c r="B11506" s="1" t="n">
        <v>45499</v>
      </c>
      <c r="C11506" s="1" t="n">
        <v>45677</v>
      </c>
      <c r="D11506" t="inlineStr">
        <is>
          <t>GÄVLEBORGS LÄN</t>
        </is>
      </c>
      <c r="E11506" t="inlineStr">
        <is>
          <t>LJUSDAL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31022-2024</t>
        </is>
      </c>
      <c r="B11507" s="1" t="n">
        <v>45500</v>
      </c>
      <c r="C11507" s="1" t="n">
        <v>45677</v>
      </c>
      <c r="D11507" t="inlineStr">
        <is>
          <t>GÄVLEBORGS LÄN</t>
        </is>
      </c>
      <c r="E11507" t="inlineStr">
        <is>
          <t>BOLLNÄS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31024-2024</t>
        </is>
      </c>
      <c r="B11508" s="1" t="n">
        <v>45500</v>
      </c>
      <c r="C11508" s="1" t="n">
        <v>45677</v>
      </c>
      <c r="D11508" t="inlineStr">
        <is>
          <t>GÄVLEBORGS LÄN</t>
        </is>
      </c>
      <c r="E11508" t="inlineStr">
        <is>
          <t>BOLLNÄS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31023-2024</t>
        </is>
      </c>
      <c r="B11509" s="1" t="n">
        <v>45500</v>
      </c>
      <c r="C11509" s="1" t="n">
        <v>45677</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31025-2024</t>
        </is>
      </c>
      <c r="B11510" s="1" t="n">
        <v>45500</v>
      </c>
      <c r="C11510" s="1" t="n">
        <v>45677</v>
      </c>
      <c r="D11510" t="inlineStr">
        <is>
          <t>GÄVLEBORGS LÄN</t>
        </is>
      </c>
      <c r="E11510" t="inlineStr">
        <is>
          <t>HUDIKSVALL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31119-2024</t>
        </is>
      </c>
      <c r="B11511" s="1" t="n">
        <v>45502</v>
      </c>
      <c r="C11511" s="1" t="n">
        <v>45677</v>
      </c>
      <c r="D11511" t="inlineStr">
        <is>
          <t>GÄVLEBORGS LÄN</t>
        </is>
      </c>
      <c r="E11511" t="inlineStr">
        <is>
          <t>HUDIKSVALL</t>
        </is>
      </c>
      <c r="F11511" t="inlineStr">
        <is>
          <t>Holmen skog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31063-2024</t>
        </is>
      </c>
      <c r="B11512" s="1" t="n">
        <v>45502</v>
      </c>
      <c r="C11512" s="1" t="n">
        <v>45677</v>
      </c>
      <c r="D11512" t="inlineStr">
        <is>
          <t>GÄVLEBORGS LÄN</t>
        </is>
      </c>
      <c r="E11512" t="inlineStr">
        <is>
          <t>OVANÅKER</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31084-2024</t>
        </is>
      </c>
      <c r="B11513" s="1" t="n">
        <v>45502</v>
      </c>
      <c r="C11513" s="1" t="n">
        <v>45677</v>
      </c>
      <c r="D11513" t="inlineStr">
        <is>
          <t>GÄVLEBORGS LÄN</t>
        </is>
      </c>
      <c r="E11513" t="inlineStr">
        <is>
          <t>OVANÅKER</t>
        </is>
      </c>
      <c r="F11513" t="inlineStr">
        <is>
          <t>Bergvik skog öst AB</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31068-2024</t>
        </is>
      </c>
      <c r="B11514" s="1" t="n">
        <v>45502</v>
      </c>
      <c r="C11514" s="1" t="n">
        <v>45677</v>
      </c>
      <c r="D11514" t="inlineStr">
        <is>
          <t>GÄVLEBORGS LÄN</t>
        </is>
      </c>
      <c r="E11514" t="inlineStr">
        <is>
          <t>NORDANSTIG</t>
        </is>
      </c>
      <c r="F11514" t="inlineStr">
        <is>
          <t>Holmen skog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31064-2024</t>
        </is>
      </c>
      <c r="B11515" s="1" t="n">
        <v>45502</v>
      </c>
      <c r="C11515" s="1" t="n">
        <v>45677</v>
      </c>
      <c r="D11515" t="inlineStr">
        <is>
          <t>GÄVLEBORGS LÄN</t>
        </is>
      </c>
      <c r="E11515" t="inlineStr">
        <is>
          <t>NORDANSTIG</t>
        </is>
      </c>
      <c r="G11515" t="n">
        <v>22.1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31052-2024</t>
        </is>
      </c>
      <c r="B11516" s="1" t="n">
        <v>45502</v>
      </c>
      <c r="C11516" s="1" t="n">
        <v>45677</v>
      </c>
      <c r="D11516" t="inlineStr">
        <is>
          <t>GÄVLEBORGS LÄN</t>
        </is>
      </c>
      <c r="E11516" t="inlineStr">
        <is>
          <t>OVANÅKER</t>
        </is>
      </c>
      <c r="F11516" t="inlineStr">
        <is>
          <t>Bergvik skog väst AB</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31117-2024</t>
        </is>
      </c>
      <c r="B11517" s="1" t="n">
        <v>45502</v>
      </c>
      <c r="C11517" s="1" t="n">
        <v>45677</v>
      </c>
      <c r="D11517" t="inlineStr">
        <is>
          <t>GÄVLEBORGS LÄN</t>
        </is>
      </c>
      <c r="E11517" t="inlineStr">
        <is>
          <t>HUDIKSVALL</t>
        </is>
      </c>
      <c r="F11517" t="inlineStr">
        <is>
          <t>Holmen skog AB</t>
        </is>
      </c>
      <c r="G11517" t="n">
        <v>10.9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31065-2024</t>
        </is>
      </c>
      <c r="B11518" s="1" t="n">
        <v>45502</v>
      </c>
      <c r="C11518" s="1" t="n">
        <v>45677</v>
      </c>
      <c r="D11518" t="inlineStr">
        <is>
          <t>GÄVLEBORGS LÄN</t>
        </is>
      </c>
      <c r="E11518" t="inlineStr">
        <is>
          <t>NORDANSTIG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31169-2024</t>
        </is>
      </c>
      <c r="B11519" s="1" t="n">
        <v>45503</v>
      </c>
      <c r="C11519" s="1" t="n">
        <v>45677</v>
      </c>
      <c r="D11519" t="inlineStr">
        <is>
          <t>GÄVLEBORGS LÄN</t>
        </is>
      </c>
      <c r="E11519" t="inlineStr">
        <is>
          <t>SÖDERHAMN</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31166-2024</t>
        </is>
      </c>
      <c r="B11520" s="1" t="n">
        <v>45503</v>
      </c>
      <c r="C11520" s="1" t="n">
        <v>45677</v>
      </c>
      <c r="D11520" t="inlineStr">
        <is>
          <t>GÄVLEBORGS LÄN</t>
        </is>
      </c>
      <c r="E11520" t="inlineStr">
        <is>
          <t>SÖDERHAMN</t>
        </is>
      </c>
      <c r="F11520" t="inlineStr">
        <is>
          <t>Bergvik skog väst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31175-2024</t>
        </is>
      </c>
      <c r="B11521" s="1" t="n">
        <v>45503</v>
      </c>
      <c r="C11521" s="1" t="n">
        <v>45677</v>
      </c>
      <c r="D11521" t="inlineStr">
        <is>
          <t>GÄVLEBORGS LÄN</t>
        </is>
      </c>
      <c r="E11521" t="inlineStr">
        <is>
          <t>OVANÅKER</t>
        </is>
      </c>
      <c r="F11521" t="inlineStr">
        <is>
          <t>Bergvik skog väst AB</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31224-2024</t>
        </is>
      </c>
      <c r="B11522" s="1" t="n">
        <v>45503</v>
      </c>
      <c r="C11522" s="1" t="n">
        <v>45677</v>
      </c>
      <c r="D11522" t="inlineStr">
        <is>
          <t>GÄVLEBORGS LÄN</t>
        </is>
      </c>
      <c r="E11522" t="inlineStr">
        <is>
          <t>HUDIKSVALL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31150-2024</t>
        </is>
      </c>
      <c r="B11523" s="1" t="n">
        <v>45503</v>
      </c>
      <c r="C11523" s="1" t="n">
        <v>45677</v>
      </c>
      <c r="D11523" t="inlineStr">
        <is>
          <t>GÄVLEBORGS LÄN</t>
        </is>
      </c>
      <c r="E11523" t="inlineStr">
        <is>
          <t>HUDIKSVALL</t>
        </is>
      </c>
      <c r="G11523" t="n">
        <v>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31239-2024</t>
        </is>
      </c>
      <c r="B11524" s="1" t="n">
        <v>45503</v>
      </c>
      <c r="C11524" s="1" t="n">
        <v>45677</v>
      </c>
      <c r="D11524" t="inlineStr">
        <is>
          <t>GÄVLEBORGS LÄN</t>
        </is>
      </c>
      <c r="E11524" t="inlineStr">
        <is>
          <t>HUDIKSVALL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31243-2024</t>
        </is>
      </c>
      <c r="B11525" s="1" t="n">
        <v>45503</v>
      </c>
      <c r="C11525" s="1" t="n">
        <v>45677</v>
      </c>
      <c r="D11525" t="inlineStr">
        <is>
          <t>GÄVLEBORGS LÄN</t>
        </is>
      </c>
      <c r="E11525" t="inlineStr">
        <is>
          <t>SANDVIKEN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31286-2024</t>
        </is>
      </c>
      <c r="B11526" s="1" t="n">
        <v>45504</v>
      </c>
      <c r="C11526" s="1" t="n">
        <v>45677</v>
      </c>
      <c r="D11526" t="inlineStr">
        <is>
          <t>GÄVLEBORGS LÄN</t>
        </is>
      </c>
      <c r="E11526" t="inlineStr">
        <is>
          <t>LJUSDAL</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31298-2024</t>
        </is>
      </c>
      <c r="B11527" s="1" t="n">
        <v>45504</v>
      </c>
      <c r="C11527" s="1" t="n">
        <v>45677</v>
      </c>
      <c r="D11527" t="inlineStr">
        <is>
          <t>GÄVLEBORGS LÄN</t>
        </is>
      </c>
      <c r="E11527" t="inlineStr">
        <is>
          <t>OVANÅKER</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31319-2024</t>
        </is>
      </c>
      <c r="B11528" s="1" t="n">
        <v>45504</v>
      </c>
      <c r="C11528" s="1" t="n">
        <v>45677</v>
      </c>
      <c r="D11528" t="inlineStr">
        <is>
          <t>GÄVLEBORGS LÄN</t>
        </is>
      </c>
      <c r="E11528" t="inlineStr">
        <is>
          <t>LJUSDAL</t>
        </is>
      </c>
      <c r="F11528" t="inlineStr">
        <is>
          <t>Allmännings- och besparingsskogar</t>
        </is>
      </c>
      <c r="G11528" t="n">
        <v>31.4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31270-2024</t>
        </is>
      </c>
      <c r="B11529" s="1" t="n">
        <v>45504</v>
      </c>
      <c r="C11529" s="1" t="n">
        <v>45677</v>
      </c>
      <c r="D11529" t="inlineStr">
        <is>
          <t>GÄVLEBORGS LÄN</t>
        </is>
      </c>
      <c r="E11529" t="inlineStr">
        <is>
          <t>NORDANSTIG</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31287-2024</t>
        </is>
      </c>
      <c r="B11530" s="1" t="n">
        <v>45504</v>
      </c>
      <c r="C11530" s="1" t="n">
        <v>45677</v>
      </c>
      <c r="D11530" t="inlineStr">
        <is>
          <t>GÄVLEBORGS LÄN</t>
        </is>
      </c>
      <c r="E11530" t="inlineStr">
        <is>
          <t>LJUSDAL</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31296-2024</t>
        </is>
      </c>
      <c r="B11531" s="1" t="n">
        <v>45504</v>
      </c>
      <c r="C11531" s="1" t="n">
        <v>45677</v>
      </c>
      <c r="D11531" t="inlineStr">
        <is>
          <t>GÄVLEBORGS LÄN</t>
        </is>
      </c>
      <c r="E11531" t="inlineStr">
        <is>
          <t>OVANÅKER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31284-2024</t>
        </is>
      </c>
      <c r="B11532" s="1" t="n">
        <v>45504</v>
      </c>
      <c r="C11532" s="1" t="n">
        <v>45677</v>
      </c>
      <c r="D11532" t="inlineStr">
        <is>
          <t>GÄVLEBORGS LÄN</t>
        </is>
      </c>
      <c r="E11532" t="inlineStr">
        <is>
          <t>GÄVLE</t>
        </is>
      </c>
      <c r="G11532" t="n">
        <v>21.2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31367-2024</t>
        </is>
      </c>
      <c r="B11533" s="1" t="n">
        <v>45505</v>
      </c>
      <c r="C11533" s="1" t="n">
        <v>45677</v>
      </c>
      <c r="D11533" t="inlineStr">
        <is>
          <t>GÄVLEBORGS LÄN</t>
        </is>
      </c>
      <c r="E11533" t="inlineStr">
        <is>
          <t>GÄVLE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31370-2024</t>
        </is>
      </c>
      <c r="B11534" s="1" t="n">
        <v>45505</v>
      </c>
      <c r="C11534" s="1" t="n">
        <v>45677</v>
      </c>
      <c r="D11534" t="inlineStr">
        <is>
          <t>GÄVLEBORGS LÄN</t>
        </is>
      </c>
      <c r="E11534" t="inlineStr">
        <is>
          <t>LJUSDAL</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31444-2024</t>
        </is>
      </c>
      <c r="B11535" s="1" t="n">
        <v>45506</v>
      </c>
      <c r="C11535" s="1" t="n">
        <v>45677</v>
      </c>
      <c r="D11535" t="inlineStr">
        <is>
          <t>GÄVLEBORGS LÄN</t>
        </is>
      </c>
      <c r="E11535" t="inlineStr">
        <is>
          <t>HUDIKSVALL</t>
        </is>
      </c>
      <c r="G11535" t="n">
        <v>9.199999999999999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31443-2024</t>
        </is>
      </c>
      <c r="B11536" s="1" t="n">
        <v>45506</v>
      </c>
      <c r="C11536" s="1" t="n">
        <v>45677</v>
      </c>
      <c r="D11536" t="inlineStr">
        <is>
          <t>GÄVLEBORGS LÄN</t>
        </is>
      </c>
      <c r="E11536" t="inlineStr">
        <is>
          <t>HUDIKSVALL</t>
        </is>
      </c>
      <c r="G11536" t="n">
        <v>11.9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31415-2024</t>
        </is>
      </c>
      <c r="B11537" s="1" t="n">
        <v>45505</v>
      </c>
      <c r="C11537" s="1" t="n">
        <v>45677</v>
      </c>
      <c r="D11537" t="inlineStr">
        <is>
          <t>GÄVLEBORGS LÄN</t>
        </is>
      </c>
      <c r="E11537" t="inlineStr">
        <is>
          <t>LJUSDAL</t>
        </is>
      </c>
      <c r="F11537" t="inlineStr">
        <is>
          <t>Sveaskog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31373-2024</t>
        </is>
      </c>
      <c r="B11538" s="1" t="n">
        <v>45505</v>
      </c>
      <c r="C11538" s="1" t="n">
        <v>45677</v>
      </c>
      <c r="D11538" t="inlineStr">
        <is>
          <t>GÄVLEBORGS LÄN</t>
        </is>
      </c>
      <c r="E11538" t="inlineStr">
        <is>
          <t>LJUSDAL</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31368-2024</t>
        </is>
      </c>
      <c r="B11539" s="1" t="n">
        <v>45505</v>
      </c>
      <c r="C11539" s="1" t="n">
        <v>45677</v>
      </c>
      <c r="D11539" t="inlineStr">
        <is>
          <t>GÄVLEBORGS LÄN</t>
        </is>
      </c>
      <c r="E11539" t="inlineStr">
        <is>
          <t>HUDIKSVALL</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31573-2024</t>
        </is>
      </c>
      <c r="B11540" s="1" t="n">
        <v>45506</v>
      </c>
      <c r="C11540" s="1" t="n">
        <v>45677</v>
      </c>
      <c r="D11540" t="inlineStr">
        <is>
          <t>GÄVLEBORGS LÄN</t>
        </is>
      </c>
      <c r="E11540" t="inlineStr">
        <is>
          <t>BOLLNÄS</t>
        </is>
      </c>
      <c r="F11540" t="inlineStr">
        <is>
          <t>Sveaskog</t>
        </is>
      </c>
      <c r="G11540" t="n">
        <v>10.8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31577-2024</t>
        </is>
      </c>
      <c r="B11541" s="1" t="n">
        <v>45506</v>
      </c>
      <c r="C11541" s="1" t="n">
        <v>45677</v>
      </c>
      <c r="D11541" t="inlineStr">
        <is>
          <t>GÄVLEBORGS LÄN</t>
        </is>
      </c>
      <c r="E11541" t="inlineStr">
        <is>
          <t>BOLLNÄS</t>
        </is>
      </c>
      <c r="F11541" t="inlineStr">
        <is>
          <t>Sveaskog</t>
        </is>
      </c>
      <c r="G11541" t="n">
        <v>32.9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31571-2024</t>
        </is>
      </c>
      <c r="B11542" s="1" t="n">
        <v>45506</v>
      </c>
      <c r="C11542" s="1" t="n">
        <v>45677</v>
      </c>
      <c r="D11542" t="inlineStr">
        <is>
          <t>GÄVLEBORGS LÄN</t>
        </is>
      </c>
      <c r="E11542" t="inlineStr">
        <is>
          <t>NORDANSTIG</t>
        </is>
      </c>
      <c r="F11542" t="inlineStr">
        <is>
          <t>Holmen skog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31572-2024</t>
        </is>
      </c>
      <c r="B11543" s="1" t="n">
        <v>45506</v>
      </c>
      <c r="C11543" s="1" t="n">
        <v>45677</v>
      </c>
      <c r="D11543" t="inlineStr">
        <is>
          <t>GÄVLEBORGS LÄN</t>
        </is>
      </c>
      <c r="E11543" t="inlineStr">
        <is>
          <t>BOLLNÄS</t>
        </is>
      </c>
      <c r="F11543" t="inlineStr">
        <is>
          <t>Sveaskog</t>
        </is>
      </c>
      <c r="G11543" t="n">
        <v>8.800000000000001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31627-2024</t>
        </is>
      </c>
      <c r="B11544" s="1" t="n">
        <v>45506</v>
      </c>
      <c r="C11544" s="1" t="n">
        <v>45677</v>
      </c>
      <c r="D11544" t="inlineStr">
        <is>
          <t>GÄVLEBORGS LÄN</t>
        </is>
      </c>
      <c r="E11544" t="inlineStr">
        <is>
          <t>LJUSDAL</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31610-2024</t>
        </is>
      </c>
      <c r="B11545" s="1" t="n">
        <v>45506</v>
      </c>
      <c r="C11545" s="1" t="n">
        <v>45677</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31645-2024</t>
        </is>
      </c>
      <c r="B11546" s="1" t="n">
        <v>45506</v>
      </c>
      <c r="C11546" s="1" t="n">
        <v>45677</v>
      </c>
      <c r="D11546" t="inlineStr">
        <is>
          <t>GÄVLEBORGS LÄN</t>
        </is>
      </c>
      <c r="E11546" t="inlineStr">
        <is>
          <t>HOFORS</t>
        </is>
      </c>
      <c r="F11546" t="inlineStr">
        <is>
          <t>Sveaskog</t>
        </is>
      </c>
      <c r="G11546" t="n">
        <v>11.1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31649-2024</t>
        </is>
      </c>
      <c r="B11547" s="1" t="n">
        <v>45506</v>
      </c>
      <c r="C11547" s="1" t="n">
        <v>45677</v>
      </c>
      <c r="D11547" t="inlineStr">
        <is>
          <t>GÄVLEBORGS LÄN</t>
        </is>
      </c>
      <c r="E11547" t="inlineStr">
        <is>
          <t>BOLLNÄS</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31626-2024</t>
        </is>
      </c>
      <c r="B11548" s="1" t="n">
        <v>45506</v>
      </c>
      <c r="C11548" s="1" t="n">
        <v>45677</v>
      </c>
      <c r="D11548" t="inlineStr">
        <is>
          <t>GÄVLEBORGS LÄN</t>
        </is>
      </c>
      <c r="E11548" t="inlineStr">
        <is>
          <t>LJUSDAL</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31673-2024</t>
        </is>
      </c>
      <c r="B11549" s="1" t="n">
        <v>45507</v>
      </c>
      <c r="C11549" s="1" t="n">
        <v>45677</v>
      </c>
      <c r="D11549" t="inlineStr">
        <is>
          <t>GÄVLEBORGS LÄN</t>
        </is>
      </c>
      <c r="E11549" t="inlineStr">
        <is>
          <t>LJUSDAL</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31646-2024</t>
        </is>
      </c>
      <c r="B11550" s="1" t="n">
        <v>45506</v>
      </c>
      <c r="C11550" s="1" t="n">
        <v>45677</v>
      </c>
      <c r="D11550" t="inlineStr">
        <is>
          <t>GÄVLEBORGS LÄN</t>
        </is>
      </c>
      <c r="E11550" t="inlineStr">
        <is>
          <t>SANDVIKEN</t>
        </is>
      </c>
      <c r="F11550" t="inlineStr">
        <is>
          <t>Sveaskog</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31644-2024</t>
        </is>
      </c>
      <c r="B11551" s="1" t="n">
        <v>45506</v>
      </c>
      <c r="C11551" s="1" t="n">
        <v>45677</v>
      </c>
      <c r="D11551" t="inlineStr">
        <is>
          <t>GÄVLEBORGS LÄN</t>
        </is>
      </c>
      <c r="E11551" t="inlineStr">
        <is>
          <t>BOLLNÄS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31574-2024</t>
        </is>
      </c>
      <c r="B11552" s="1" t="n">
        <v>45506</v>
      </c>
      <c r="C11552" s="1" t="n">
        <v>45677</v>
      </c>
      <c r="D11552" t="inlineStr">
        <is>
          <t>GÄVLEBORGS LÄN</t>
        </is>
      </c>
      <c r="E11552" t="inlineStr">
        <is>
          <t>BOLLNÄS</t>
        </is>
      </c>
      <c r="F11552" t="inlineStr">
        <is>
          <t>Sveaskog</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31691-2024</t>
        </is>
      </c>
      <c r="B11553" s="1" t="n">
        <v>45507</v>
      </c>
      <c r="C11553" s="1" t="n">
        <v>45677</v>
      </c>
      <c r="D11553" t="inlineStr">
        <is>
          <t>GÄVLEBORGS LÄN</t>
        </is>
      </c>
      <c r="E11553" t="inlineStr">
        <is>
          <t>HUDIKSVALL</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31701-2024</t>
        </is>
      </c>
      <c r="B11554" s="1" t="n">
        <v>45508</v>
      </c>
      <c r="C11554" s="1" t="n">
        <v>45677</v>
      </c>
      <c r="D11554" t="inlineStr">
        <is>
          <t>GÄVLEBORGS LÄN</t>
        </is>
      </c>
      <c r="E11554" t="inlineStr">
        <is>
          <t>HOFORS</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31707-2024</t>
        </is>
      </c>
      <c r="B11555" s="1" t="n">
        <v>45509</v>
      </c>
      <c r="C11555" s="1" t="n">
        <v>45677</v>
      </c>
      <c r="D11555" t="inlineStr">
        <is>
          <t>GÄVLEBORGS LÄN</t>
        </is>
      </c>
      <c r="E11555" t="inlineStr">
        <is>
          <t>HUDIKSVALL</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31805-2024</t>
        </is>
      </c>
      <c r="B11556" s="1" t="n">
        <v>45509</v>
      </c>
      <c r="C11556" s="1" t="n">
        <v>45677</v>
      </c>
      <c r="D11556" t="inlineStr">
        <is>
          <t>GÄVLEBORGS LÄN</t>
        </is>
      </c>
      <c r="E11556" t="inlineStr">
        <is>
          <t>SÖDERHAMN</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31723-2024</t>
        </is>
      </c>
      <c r="B11557" s="1" t="n">
        <v>45509</v>
      </c>
      <c r="C11557" s="1" t="n">
        <v>45677</v>
      </c>
      <c r="D11557" t="inlineStr">
        <is>
          <t>GÄVLEBORGS LÄN</t>
        </is>
      </c>
      <c r="E11557" t="inlineStr">
        <is>
          <t>NORDANSTIG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31735-2024</t>
        </is>
      </c>
      <c r="B11558" s="1" t="n">
        <v>45509</v>
      </c>
      <c r="C11558" s="1" t="n">
        <v>45677</v>
      </c>
      <c r="D11558" t="inlineStr">
        <is>
          <t>GÄVLEBORGS LÄN</t>
        </is>
      </c>
      <c r="E11558" t="inlineStr">
        <is>
          <t>GÄVLE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31755-2024</t>
        </is>
      </c>
      <c r="B11559" s="1" t="n">
        <v>45509</v>
      </c>
      <c r="C11559" s="1" t="n">
        <v>45677</v>
      </c>
      <c r="D11559" t="inlineStr">
        <is>
          <t>GÄVLEBORGS LÄN</t>
        </is>
      </c>
      <c r="E11559" t="inlineStr">
        <is>
          <t>BOLLNÄS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31787-2024</t>
        </is>
      </c>
      <c r="B11560" s="1" t="n">
        <v>45509</v>
      </c>
      <c r="C11560" s="1" t="n">
        <v>45677</v>
      </c>
      <c r="D11560" t="inlineStr">
        <is>
          <t>GÄVLEBORGS LÄN</t>
        </is>
      </c>
      <c r="E11560" t="inlineStr">
        <is>
          <t>HUDIKSVALL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31803-2024</t>
        </is>
      </c>
      <c r="B11561" s="1" t="n">
        <v>45509</v>
      </c>
      <c r="C11561" s="1" t="n">
        <v>45677</v>
      </c>
      <c r="D11561" t="inlineStr">
        <is>
          <t>GÄVLEBORGS LÄN</t>
        </is>
      </c>
      <c r="E11561" t="inlineStr">
        <is>
          <t>SÖDERHAMN</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31733-2024</t>
        </is>
      </c>
      <c r="B11562" s="1" t="n">
        <v>45509</v>
      </c>
      <c r="C11562" s="1" t="n">
        <v>45677</v>
      </c>
      <c r="D11562" t="inlineStr">
        <is>
          <t>GÄVLEBORGS LÄN</t>
        </is>
      </c>
      <c r="E11562" t="inlineStr">
        <is>
          <t>BOLLNÄS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31760-2024</t>
        </is>
      </c>
      <c r="B11563" s="1" t="n">
        <v>45509</v>
      </c>
      <c r="C11563" s="1" t="n">
        <v>45677</v>
      </c>
      <c r="D11563" t="inlineStr">
        <is>
          <t>GÄVLEBORGS LÄN</t>
        </is>
      </c>
      <c r="E11563" t="inlineStr">
        <is>
          <t>LJUSDAL</t>
        </is>
      </c>
      <c r="F11563" t="inlineStr">
        <is>
          <t>Naturvårdsverket</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31788-2024</t>
        </is>
      </c>
      <c r="B11564" s="1" t="n">
        <v>45509</v>
      </c>
      <c r="C11564" s="1" t="n">
        <v>45677</v>
      </c>
      <c r="D11564" t="inlineStr">
        <is>
          <t>GÄVLEBORGS LÄN</t>
        </is>
      </c>
      <c r="E11564" t="inlineStr">
        <is>
          <t>HUDIKSVALL</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31724-2024</t>
        </is>
      </c>
      <c r="B11565" s="1" t="n">
        <v>45509</v>
      </c>
      <c r="C11565" s="1" t="n">
        <v>45677</v>
      </c>
      <c r="D11565" t="inlineStr">
        <is>
          <t>GÄVLEBORGS LÄN</t>
        </is>
      </c>
      <c r="E11565" t="inlineStr">
        <is>
          <t>NORDANSTIG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31714-2024</t>
        </is>
      </c>
      <c r="B11566" s="1" t="n">
        <v>45509</v>
      </c>
      <c r="C11566" s="1" t="n">
        <v>45677</v>
      </c>
      <c r="D11566" t="inlineStr">
        <is>
          <t>GÄVLEBORGS LÄN</t>
        </is>
      </c>
      <c r="E11566" t="inlineStr">
        <is>
          <t>BOLLNÄS</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31774-2024</t>
        </is>
      </c>
      <c r="B11567" s="1" t="n">
        <v>45509</v>
      </c>
      <c r="C11567" s="1" t="n">
        <v>45677</v>
      </c>
      <c r="D11567" t="inlineStr">
        <is>
          <t>GÄVLEBORGS LÄN</t>
        </is>
      </c>
      <c r="E11567" t="inlineStr">
        <is>
          <t>NORDANSTIG</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31742-2024</t>
        </is>
      </c>
      <c r="B11568" s="1" t="n">
        <v>45509</v>
      </c>
      <c r="C11568" s="1" t="n">
        <v>45677</v>
      </c>
      <c r="D11568" t="inlineStr">
        <is>
          <t>GÄVLEBORGS LÄN</t>
        </is>
      </c>
      <c r="E11568" t="inlineStr">
        <is>
          <t>SÖDERHAMN</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31875-2024</t>
        </is>
      </c>
      <c r="B11569" s="1" t="n">
        <v>45510</v>
      </c>
      <c r="C11569" s="1" t="n">
        <v>45677</v>
      </c>
      <c r="D11569" t="inlineStr">
        <is>
          <t>GÄVLEBORGS LÄN</t>
        </is>
      </c>
      <c r="E11569" t="inlineStr">
        <is>
          <t>HUDIKSVALL</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31906-2024</t>
        </is>
      </c>
      <c r="B11570" s="1" t="n">
        <v>45509</v>
      </c>
      <c r="C11570" s="1" t="n">
        <v>45677</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32036-2024</t>
        </is>
      </c>
      <c r="B11571" s="1" t="n">
        <v>45510</v>
      </c>
      <c r="C11571" s="1" t="n">
        <v>45677</v>
      </c>
      <c r="D11571" t="inlineStr">
        <is>
          <t>GÄVLEBORGS LÄN</t>
        </is>
      </c>
      <c r="E11571" t="inlineStr">
        <is>
          <t>HUDIKSVALL</t>
        </is>
      </c>
      <c r="F11571" t="inlineStr">
        <is>
          <t>Kommuner</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31922-2024</t>
        </is>
      </c>
      <c r="B11572" s="1" t="n">
        <v>45510</v>
      </c>
      <c r="C11572" s="1" t="n">
        <v>45677</v>
      </c>
      <c r="D11572" t="inlineStr">
        <is>
          <t>GÄVLEBORGS LÄN</t>
        </is>
      </c>
      <c r="E11572" t="inlineStr">
        <is>
          <t>BOLLNÄS</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32017-2024</t>
        </is>
      </c>
      <c r="B11573" s="1" t="n">
        <v>45510</v>
      </c>
      <c r="C11573" s="1" t="n">
        <v>45677</v>
      </c>
      <c r="D11573" t="inlineStr">
        <is>
          <t>GÄVLEBORGS LÄN</t>
        </is>
      </c>
      <c r="E11573" t="inlineStr">
        <is>
          <t>HUDIKSVALL</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32005-2024</t>
        </is>
      </c>
      <c r="B11574" s="1" t="n">
        <v>45510</v>
      </c>
      <c r="C11574" s="1" t="n">
        <v>45677</v>
      </c>
      <c r="D11574" t="inlineStr">
        <is>
          <t>GÄVLEBORGS LÄN</t>
        </is>
      </c>
      <c r="E11574" t="inlineStr">
        <is>
          <t>HUDIKSVALL</t>
        </is>
      </c>
      <c r="F11574" t="inlineStr">
        <is>
          <t>Kommuner</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32001-2024</t>
        </is>
      </c>
      <c r="B11575" s="1" t="n">
        <v>45510</v>
      </c>
      <c r="C11575" s="1" t="n">
        <v>45677</v>
      </c>
      <c r="D11575" t="inlineStr">
        <is>
          <t>GÄVLEBORGS LÄN</t>
        </is>
      </c>
      <c r="E11575" t="inlineStr">
        <is>
          <t>HUDIKSVALL</t>
        </is>
      </c>
      <c r="F11575" t="inlineStr">
        <is>
          <t>Kommuner</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31997-2024</t>
        </is>
      </c>
      <c r="B11576" s="1" t="n">
        <v>45510</v>
      </c>
      <c r="C11576" s="1" t="n">
        <v>45677</v>
      </c>
      <c r="D11576" t="inlineStr">
        <is>
          <t>GÄVLEBORGS LÄN</t>
        </is>
      </c>
      <c r="E11576" t="inlineStr">
        <is>
          <t>SANDVIKEN</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31948-2024</t>
        </is>
      </c>
      <c r="B11577" s="1" t="n">
        <v>45510</v>
      </c>
      <c r="C11577" s="1" t="n">
        <v>45677</v>
      </c>
      <c r="D11577" t="inlineStr">
        <is>
          <t>GÄVLEBORGS LÄN</t>
        </is>
      </c>
      <c r="E11577" t="inlineStr">
        <is>
          <t>HUDIKSVALL</t>
        </is>
      </c>
      <c r="F11577" t="inlineStr">
        <is>
          <t>Holmen skog AB</t>
        </is>
      </c>
      <c r="G11577" t="n">
        <v>8.9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31935-2024</t>
        </is>
      </c>
      <c r="B11578" s="1" t="n">
        <v>45510</v>
      </c>
      <c r="C11578" s="1" t="n">
        <v>45677</v>
      </c>
      <c r="D11578" t="inlineStr">
        <is>
          <t>GÄVLEBORGS LÄN</t>
        </is>
      </c>
      <c r="E11578" t="inlineStr">
        <is>
          <t>SÖDERHAMN</t>
        </is>
      </c>
      <c r="F11578" t="inlineStr">
        <is>
          <t>Bergvik skog väst AB</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32011-2024</t>
        </is>
      </c>
      <c r="B11579" s="1" t="n">
        <v>45510</v>
      </c>
      <c r="C11579" s="1" t="n">
        <v>45677</v>
      </c>
      <c r="D11579" t="inlineStr">
        <is>
          <t>GÄVLEBORGS LÄN</t>
        </is>
      </c>
      <c r="E11579" t="inlineStr">
        <is>
          <t>OCKELBO</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32007-2024</t>
        </is>
      </c>
      <c r="B11580" s="1" t="n">
        <v>45510</v>
      </c>
      <c r="C11580" s="1" t="n">
        <v>45677</v>
      </c>
      <c r="D11580" t="inlineStr">
        <is>
          <t>GÄVLEBORGS LÄN</t>
        </is>
      </c>
      <c r="E11580" t="inlineStr">
        <is>
          <t>HUDIKSVALL</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31938-2024</t>
        </is>
      </c>
      <c r="B11581" s="1" t="n">
        <v>45510</v>
      </c>
      <c r="C11581" s="1" t="n">
        <v>45677</v>
      </c>
      <c r="D11581" t="inlineStr">
        <is>
          <t>GÄVLEBORGS LÄN</t>
        </is>
      </c>
      <c r="E11581" t="inlineStr">
        <is>
          <t>SÖDERHAMN</t>
        </is>
      </c>
      <c r="F11581" t="inlineStr">
        <is>
          <t>Bergvik skog väst AB</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32018-2024</t>
        </is>
      </c>
      <c r="B11582" s="1" t="n">
        <v>45510</v>
      </c>
      <c r="C11582" s="1" t="n">
        <v>45677</v>
      </c>
      <c r="D11582" t="inlineStr">
        <is>
          <t>GÄVLEBORGS LÄN</t>
        </is>
      </c>
      <c r="E11582" t="inlineStr">
        <is>
          <t>HUDIKSVALL</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32002-2024</t>
        </is>
      </c>
      <c r="B11583" s="1" t="n">
        <v>45510</v>
      </c>
      <c r="C11583" s="1" t="n">
        <v>45677</v>
      </c>
      <c r="D11583" t="inlineStr">
        <is>
          <t>GÄVLEBORGS LÄN</t>
        </is>
      </c>
      <c r="E11583" t="inlineStr">
        <is>
          <t>SANDVIKEN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31936-2024</t>
        </is>
      </c>
      <c r="B11584" s="1" t="n">
        <v>45510</v>
      </c>
      <c r="C11584" s="1" t="n">
        <v>45677</v>
      </c>
      <c r="D11584" t="inlineStr">
        <is>
          <t>GÄVLEBORGS LÄN</t>
        </is>
      </c>
      <c r="E11584" t="inlineStr">
        <is>
          <t>OCKELBO</t>
        </is>
      </c>
      <c r="F11584" t="inlineStr">
        <is>
          <t>Bergvik skog väst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31916-2024</t>
        </is>
      </c>
      <c r="B11585" s="1" t="n">
        <v>45510</v>
      </c>
      <c r="C11585" s="1" t="n">
        <v>45677</v>
      </c>
      <c r="D11585" t="inlineStr">
        <is>
          <t>GÄVLEBORGS LÄN</t>
        </is>
      </c>
      <c r="E11585" t="inlineStr">
        <is>
          <t>SÖDERHAMN</t>
        </is>
      </c>
      <c r="F11585" t="inlineStr">
        <is>
          <t>Bergvik skog väst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32091-2024</t>
        </is>
      </c>
      <c r="B11586" s="1" t="n">
        <v>45511</v>
      </c>
      <c r="C11586" s="1" t="n">
        <v>45677</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32111-2024</t>
        </is>
      </c>
      <c r="B11587" s="1" t="n">
        <v>45511</v>
      </c>
      <c r="C11587" s="1" t="n">
        <v>45677</v>
      </c>
      <c r="D11587" t="inlineStr">
        <is>
          <t>GÄVLEBORGS LÄN</t>
        </is>
      </c>
      <c r="E11587" t="inlineStr">
        <is>
          <t>HUDIKSVALL</t>
        </is>
      </c>
      <c r="G11587" t="n">
        <v>13.4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32123-2024</t>
        </is>
      </c>
      <c r="B11588" s="1" t="n">
        <v>45511</v>
      </c>
      <c r="C11588" s="1" t="n">
        <v>45677</v>
      </c>
      <c r="D11588" t="inlineStr">
        <is>
          <t>GÄVLEBORGS LÄN</t>
        </is>
      </c>
      <c r="E11588" t="inlineStr">
        <is>
          <t>OCKELBO</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32143-2024</t>
        </is>
      </c>
      <c r="B11589" s="1" t="n">
        <v>45511</v>
      </c>
      <c r="C11589" s="1" t="n">
        <v>45677</v>
      </c>
      <c r="D11589" t="inlineStr">
        <is>
          <t>GÄVLEBORGS LÄN</t>
        </is>
      </c>
      <c r="E11589" t="inlineStr">
        <is>
          <t>GÄVLE</t>
        </is>
      </c>
      <c r="F11589" t="inlineStr">
        <is>
          <t>Bergvik skog väst AB</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32084-2024</t>
        </is>
      </c>
      <c r="B11590" s="1" t="n">
        <v>45511</v>
      </c>
      <c r="C11590" s="1" t="n">
        <v>45677</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32092-2024</t>
        </is>
      </c>
      <c r="B11591" s="1" t="n">
        <v>45511</v>
      </c>
      <c r="C11591" s="1" t="n">
        <v>45677</v>
      </c>
      <c r="D11591" t="inlineStr">
        <is>
          <t>GÄVLEBORGS LÄN</t>
        </is>
      </c>
      <c r="E11591" t="inlineStr">
        <is>
          <t>OCKELBO</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32144-2024</t>
        </is>
      </c>
      <c r="B11592" s="1" t="n">
        <v>45511</v>
      </c>
      <c r="C11592" s="1" t="n">
        <v>45677</v>
      </c>
      <c r="D11592" t="inlineStr">
        <is>
          <t>GÄVLEBORGS LÄN</t>
        </is>
      </c>
      <c r="E11592" t="inlineStr">
        <is>
          <t>GÄVLE</t>
        </is>
      </c>
      <c r="F11592" t="inlineStr">
        <is>
          <t>Bergvik skog väst AB</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32164-2024</t>
        </is>
      </c>
      <c r="B11593" s="1" t="n">
        <v>45511</v>
      </c>
      <c r="C11593" s="1" t="n">
        <v>45677</v>
      </c>
      <c r="D11593" t="inlineStr">
        <is>
          <t>GÄVLEBORGS LÄN</t>
        </is>
      </c>
      <c r="E11593" t="inlineStr">
        <is>
          <t>LJUSDAL</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32249-2024</t>
        </is>
      </c>
      <c r="B11594" s="1" t="n">
        <v>45511</v>
      </c>
      <c r="C11594" s="1" t="n">
        <v>45677</v>
      </c>
      <c r="D11594" t="inlineStr">
        <is>
          <t>GÄVLEBORGS LÄN</t>
        </is>
      </c>
      <c r="E11594" t="inlineStr">
        <is>
          <t>LJUSDAL</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32169-2024</t>
        </is>
      </c>
      <c r="B11595" s="1" t="n">
        <v>45511</v>
      </c>
      <c r="C11595" s="1" t="n">
        <v>45677</v>
      </c>
      <c r="D11595" t="inlineStr">
        <is>
          <t>GÄVLEBORGS LÄN</t>
        </is>
      </c>
      <c r="E11595" t="inlineStr">
        <is>
          <t>BOLLNÄS</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32161-2024</t>
        </is>
      </c>
      <c r="B11596" s="1" t="n">
        <v>45511</v>
      </c>
      <c r="C11596" s="1" t="n">
        <v>45677</v>
      </c>
      <c r="D11596" t="inlineStr">
        <is>
          <t>GÄVLEBORGS LÄN</t>
        </is>
      </c>
      <c r="E11596" t="inlineStr">
        <is>
          <t>LJUSDAL</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32149-2024</t>
        </is>
      </c>
      <c r="B11597" s="1" t="n">
        <v>45511</v>
      </c>
      <c r="C11597" s="1" t="n">
        <v>45677</v>
      </c>
      <c r="D11597" t="inlineStr">
        <is>
          <t>GÄVLEBORGS LÄN</t>
        </is>
      </c>
      <c r="E11597" t="inlineStr">
        <is>
          <t>NORDANSTIG</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32109-2024</t>
        </is>
      </c>
      <c r="B11598" s="1" t="n">
        <v>45511</v>
      </c>
      <c r="C11598" s="1" t="n">
        <v>45677</v>
      </c>
      <c r="D11598" t="inlineStr">
        <is>
          <t>GÄVLEBORGS LÄN</t>
        </is>
      </c>
      <c r="E11598" t="inlineStr">
        <is>
          <t>HUDIKSVALL</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32284-2024</t>
        </is>
      </c>
      <c r="B11599" s="1" t="n">
        <v>45512</v>
      </c>
      <c r="C11599" s="1" t="n">
        <v>45677</v>
      </c>
      <c r="D11599" t="inlineStr">
        <is>
          <t>GÄVLEBORGS LÄN</t>
        </is>
      </c>
      <c r="E11599" t="inlineStr">
        <is>
          <t>GÄVLE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32288-2024</t>
        </is>
      </c>
      <c r="B11600" s="1" t="n">
        <v>45512</v>
      </c>
      <c r="C11600" s="1" t="n">
        <v>45677</v>
      </c>
      <c r="D11600" t="inlineStr">
        <is>
          <t>GÄVLEBORGS LÄN</t>
        </is>
      </c>
      <c r="E11600" t="inlineStr">
        <is>
          <t>SANDVIKEN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32274-2024</t>
        </is>
      </c>
      <c r="B11601" s="1" t="n">
        <v>45512</v>
      </c>
      <c r="C11601" s="1" t="n">
        <v>45677</v>
      </c>
      <c r="D11601" t="inlineStr">
        <is>
          <t>GÄVLEBORGS LÄN</t>
        </is>
      </c>
      <c r="E11601" t="inlineStr">
        <is>
          <t>OVANÅKER</t>
        </is>
      </c>
      <c r="F11601" t="inlineStr">
        <is>
          <t>Bergvik skog väst AB</t>
        </is>
      </c>
      <c r="G11601" t="n">
        <v>6.1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32278-2024</t>
        </is>
      </c>
      <c r="B11602" s="1" t="n">
        <v>45512</v>
      </c>
      <c r="C11602" s="1" t="n">
        <v>45677</v>
      </c>
      <c r="D11602" t="inlineStr">
        <is>
          <t>GÄVLEBORGS LÄN</t>
        </is>
      </c>
      <c r="E11602" t="inlineStr">
        <is>
          <t>HUDIKSVALL</t>
        </is>
      </c>
      <c r="F11602" t="inlineStr">
        <is>
          <t>Holmen skog AB</t>
        </is>
      </c>
      <c r="G11602" t="n">
        <v>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32296-2024</t>
        </is>
      </c>
      <c r="B11603" s="1" t="n">
        <v>45512</v>
      </c>
      <c r="C11603" s="1" t="n">
        <v>45677</v>
      </c>
      <c r="D11603" t="inlineStr">
        <is>
          <t>GÄVLEBORGS LÄN</t>
        </is>
      </c>
      <c r="E11603" t="inlineStr">
        <is>
          <t>OVANÅKER</t>
        </is>
      </c>
      <c r="F11603" t="inlineStr">
        <is>
          <t>Bergvik skog väst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32308-2024</t>
        </is>
      </c>
      <c r="B11604" s="1" t="n">
        <v>45512</v>
      </c>
      <c r="C11604" s="1" t="n">
        <v>45677</v>
      </c>
      <c r="D11604" t="inlineStr">
        <is>
          <t>GÄVLEBORGS LÄN</t>
        </is>
      </c>
      <c r="E11604" t="inlineStr">
        <is>
          <t>HUDIKSVALL</t>
        </is>
      </c>
      <c r="F11604" t="inlineStr">
        <is>
          <t>Holmen skog AB</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32414-2024</t>
        </is>
      </c>
      <c r="B11605" s="1" t="n">
        <v>45512</v>
      </c>
      <c r="C11605" s="1" t="n">
        <v>45677</v>
      </c>
      <c r="D11605" t="inlineStr">
        <is>
          <t>GÄVLEBORGS LÄN</t>
        </is>
      </c>
      <c r="E11605" t="inlineStr">
        <is>
          <t>HUDIKSVALL</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32297-2024</t>
        </is>
      </c>
      <c r="B11606" s="1" t="n">
        <v>45512</v>
      </c>
      <c r="C11606" s="1" t="n">
        <v>45677</v>
      </c>
      <c r="D11606" t="inlineStr">
        <is>
          <t>GÄVLEBORGS LÄN</t>
        </is>
      </c>
      <c r="E11606" t="inlineStr">
        <is>
          <t>GÄVLE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32293-2024</t>
        </is>
      </c>
      <c r="B11607" s="1" t="n">
        <v>45512</v>
      </c>
      <c r="C11607" s="1" t="n">
        <v>45677</v>
      </c>
      <c r="D11607" t="inlineStr">
        <is>
          <t>GÄVLEBORGS LÄN</t>
        </is>
      </c>
      <c r="E11607" t="inlineStr">
        <is>
          <t>SANDVIKEN</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32269-2024</t>
        </is>
      </c>
      <c r="B11608" s="1" t="n">
        <v>45512</v>
      </c>
      <c r="C11608" s="1" t="n">
        <v>45677</v>
      </c>
      <c r="D11608" t="inlineStr">
        <is>
          <t>GÄVLEBORGS LÄN</t>
        </is>
      </c>
      <c r="E11608" t="inlineStr">
        <is>
          <t>NORDANSTIG</t>
        </is>
      </c>
      <c r="F11608" t="inlineStr">
        <is>
          <t>Holmen skog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32294-2024</t>
        </is>
      </c>
      <c r="B11609" s="1" t="n">
        <v>45512</v>
      </c>
      <c r="C11609" s="1" t="n">
        <v>45677</v>
      </c>
      <c r="D11609" t="inlineStr">
        <is>
          <t>GÄVLEBORGS LÄN</t>
        </is>
      </c>
      <c r="E11609" t="inlineStr">
        <is>
          <t>SANDVIKEN</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32306-2024</t>
        </is>
      </c>
      <c r="B11610" s="1" t="n">
        <v>45512</v>
      </c>
      <c r="C11610" s="1" t="n">
        <v>45677</v>
      </c>
      <c r="D11610" t="inlineStr">
        <is>
          <t>GÄVLEBORGS LÄN</t>
        </is>
      </c>
      <c r="E11610" t="inlineStr">
        <is>
          <t>GÄVLE</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32345-2024</t>
        </is>
      </c>
      <c r="B11611" s="1" t="n">
        <v>45512</v>
      </c>
      <c r="C11611" s="1" t="n">
        <v>45677</v>
      </c>
      <c r="D11611" t="inlineStr">
        <is>
          <t>GÄVLEBORGS LÄN</t>
        </is>
      </c>
      <c r="E11611" t="inlineStr">
        <is>
          <t>OVANÅKER</t>
        </is>
      </c>
      <c r="F11611" t="inlineStr">
        <is>
          <t>Bergvik skog väst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32353-2024</t>
        </is>
      </c>
      <c r="B11612" s="1" t="n">
        <v>45512</v>
      </c>
      <c r="C11612" s="1" t="n">
        <v>45677</v>
      </c>
      <c r="D11612" t="inlineStr">
        <is>
          <t>GÄVLEBORGS LÄN</t>
        </is>
      </c>
      <c r="E11612" t="inlineStr">
        <is>
          <t>HUDIKSVALL</t>
        </is>
      </c>
      <c r="F11612" t="inlineStr">
        <is>
          <t>Holmen skog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32357-2024</t>
        </is>
      </c>
      <c r="B11613" s="1" t="n">
        <v>45512</v>
      </c>
      <c r="C11613" s="1" t="n">
        <v>45677</v>
      </c>
      <c r="D11613" t="inlineStr">
        <is>
          <t>GÄVLEBORGS LÄN</t>
        </is>
      </c>
      <c r="E11613" t="inlineStr">
        <is>
          <t>LJUSDAL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32402-2024</t>
        </is>
      </c>
      <c r="B11614" s="1" t="n">
        <v>45512</v>
      </c>
      <c r="C11614" s="1" t="n">
        <v>45677</v>
      </c>
      <c r="D11614" t="inlineStr">
        <is>
          <t>GÄVLEBORGS LÄN</t>
        </is>
      </c>
      <c r="E11614" t="inlineStr">
        <is>
          <t>HUDIKSVALL</t>
        </is>
      </c>
      <c r="F11614" t="inlineStr">
        <is>
          <t>Holmen skog AB</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32318-2024</t>
        </is>
      </c>
      <c r="B11615" s="1" t="n">
        <v>45512</v>
      </c>
      <c r="C11615" s="1" t="n">
        <v>45677</v>
      </c>
      <c r="D11615" t="inlineStr">
        <is>
          <t>GÄVLEBORGS LÄN</t>
        </is>
      </c>
      <c r="E11615" t="inlineStr">
        <is>
          <t>SANDVIKEN</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32342-2024</t>
        </is>
      </c>
      <c r="B11616" s="1" t="n">
        <v>45512</v>
      </c>
      <c r="C11616" s="1" t="n">
        <v>45677</v>
      </c>
      <c r="D11616" t="inlineStr">
        <is>
          <t>GÄVLEBORGS LÄN</t>
        </is>
      </c>
      <c r="E11616" t="inlineStr">
        <is>
          <t>HUDIKSVALL</t>
        </is>
      </c>
      <c r="F11616" t="inlineStr">
        <is>
          <t>Holmen skog AB</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32366-2024</t>
        </is>
      </c>
      <c r="B11617" s="1" t="n">
        <v>45512</v>
      </c>
      <c r="C11617" s="1" t="n">
        <v>45677</v>
      </c>
      <c r="D11617" t="inlineStr">
        <is>
          <t>GÄVLEBORGS LÄN</t>
        </is>
      </c>
      <c r="E11617" t="inlineStr">
        <is>
          <t>LJUSDAL</t>
        </is>
      </c>
      <c r="F11617" t="inlineStr">
        <is>
          <t>Allmännings- och besparingsskogar</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32468-2024</t>
        </is>
      </c>
      <c r="B11618" s="1" t="n">
        <v>45513</v>
      </c>
      <c r="C11618" s="1" t="n">
        <v>45677</v>
      </c>
      <c r="D11618" t="inlineStr">
        <is>
          <t>GÄVLEBORGS LÄN</t>
        </is>
      </c>
      <c r="E11618" t="inlineStr">
        <is>
          <t>NORDANSTIG</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32412-2024</t>
        </is>
      </c>
      <c r="B11619" s="1" t="n">
        <v>45512</v>
      </c>
      <c r="C11619" s="1" t="n">
        <v>45677</v>
      </c>
      <c r="D11619" t="inlineStr">
        <is>
          <t>GÄVLEBORGS LÄN</t>
        </is>
      </c>
      <c r="E11619" t="inlineStr">
        <is>
          <t>HUDIKSVALL</t>
        </is>
      </c>
      <c r="F11619" t="inlineStr">
        <is>
          <t>Holmen skog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32355-2024</t>
        </is>
      </c>
      <c r="B11620" s="1" t="n">
        <v>45512</v>
      </c>
      <c r="C11620" s="1" t="n">
        <v>45677</v>
      </c>
      <c r="D11620" t="inlineStr">
        <is>
          <t>GÄVLEBORGS LÄN</t>
        </is>
      </c>
      <c r="E11620" t="inlineStr">
        <is>
          <t>LJUSDAL</t>
        </is>
      </c>
      <c r="F11620" t="inlineStr">
        <is>
          <t>Holmen skog AB</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32328-2024</t>
        </is>
      </c>
      <c r="B11621" s="1" t="n">
        <v>45512</v>
      </c>
      <c r="C11621" s="1" t="n">
        <v>45677</v>
      </c>
      <c r="D11621" t="inlineStr">
        <is>
          <t>GÄVLEBORGS LÄN</t>
        </is>
      </c>
      <c r="E11621" t="inlineStr">
        <is>
          <t>GÄVLE</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32348-2024</t>
        </is>
      </c>
      <c r="B11622" s="1" t="n">
        <v>45512</v>
      </c>
      <c r="C11622" s="1" t="n">
        <v>45677</v>
      </c>
      <c r="D11622" t="inlineStr">
        <is>
          <t>GÄVLEBORGS LÄN</t>
        </is>
      </c>
      <c r="E11622" t="inlineStr">
        <is>
          <t>OVANÅKER</t>
        </is>
      </c>
      <c r="F11622" t="inlineStr">
        <is>
          <t>Bergvik skog väst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32360-2024</t>
        </is>
      </c>
      <c r="B11623" s="1" t="n">
        <v>45512</v>
      </c>
      <c r="C11623" s="1" t="n">
        <v>45677</v>
      </c>
      <c r="D11623" t="inlineStr">
        <is>
          <t>GÄVLEBORGS LÄN</t>
        </is>
      </c>
      <c r="E11623" t="inlineStr">
        <is>
          <t>LJUSDAL</t>
        </is>
      </c>
      <c r="F11623" t="inlineStr">
        <is>
          <t>Sveaskog</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32376-2024</t>
        </is>
      </c>
      <c r="B11624" s="1" t="n">
        <v>45512</v>
      </c>
      <c r="C11624" s="1" t="n">
        <v>45677</v>
      </c>
      <c r="D11624" t="inlineStr">
        <is>
          <t>GÄVLEBORGS LÄN</t>
        </is>
      </c>
      <c r="E11624" t="inlineStr">
        <is>
          <t>HUDIKSVALL</t>
        </is>
      </c>
      <c r="F11624" t="inlineStr">
        <is>
          <t>Holmen skog AB</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32307-2024</t>
        </is>
      </c>
      <c r="B11625" s="1" t="n">
        <v>45512</v>
      </c>
      <c r="C11625" s="1" t="n">
        <v>45677</v>
      </c>
      <c r="D11625" t="inlineStr">
        <is>
          <t>GÄVLEBORGS LÄN</t>
        </is>
      </c>
      <c r="E11625" t="inlineStr">
        <is>
          <t>GÄVLE</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32291-2024</t>
        </is>
      </c>
      <c r="B11626" s="1" t="n">
        <v>45512</v>
      </c>
      <c r="C11626" s="1" t="n">
        <v>45677</v>
      </c>
      <c r="D11626" t="inlineStr">
        <is>
          <t>GÄVLEBORGS LÄN</t>
        </is>
      </c>
      <c r="E11626" t="inlineStr">
        <is>
          <t>SANDVIKEN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32287-2024</t>
        </is>
      </c>
      <c r="B11627" s="1" t="n">
        <v>45512</v>
      </c>
      <c r="C11627" s="1" t="n">
        <v>45677</v>
      </c>
      <c r="D11627" t="inlineStr">
        <is>
          <t>GÄVLEBORGS LÄN</t>
        </is>
      </c>
      <c r="E11627" t="inlineStr">
        <is>
          <t>SANDVIKEN</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32461-2024</t>
        </is>
      </c>
      <c r="B11628" s="1" t="n">
        <v>45513</v>
      </c>
      <c r="C11628" s="1" t="n">
        <v>45677</v>
      </c>
      <c r="D11628" t="inlineStr">
        <is>
          <t>GÄVLEBORGS LÄN</t>
        </is>
      </c>
      <c r="E11628" t="inlineStr">
        <is>
          <t>GÄVLE</t>
        </is>
      </c>
      <c r="G11628" t="n">
        <v>12.7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32469-2024</t>
        </is>
      </c>
      <c r="B11629" s="1" t="n">
        <v>45513</v>
      </c>
      <c r="C11629" s="1" t="n">
        <v>45677</v>
      </c>
      <c r="D11629" t="inlineStr">
        <is>
          <t>GÄVLEBORGS LÄN</t>
        </is>
      </c>
      <c r="E11629" t="inlineStr">
        <is>
          <t>NORDANSTIG</t>
        </is>
      </c>
      <c r="F11629" t="inlineStr">
        <is>
          <t>SCA</t>
        </is>
      </c>
      <c r="G11629" t="n">
        <v>9.800000000000001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32631-2024</t>
        </is>
      </c>
      <c r="B11630" s="1" t="n">
        <v>45513</v>
      </c>
      <c r="C11630" s="1" t="n">
        <v>45677</v>
      </c>
      <c r="D11630" t="inlineStr">
        <is>
          <t>GÄVLEBORGS LÄN</t>
        </is>
      </c>
      <c r="E11630" t="inlineStr">
        <is>
          <t>HUDIKSVALL</t>
        </is>
      </c>
      <c r="F11630" t="inlineStr">
        <is>
          <t>Holmen skog AB</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32480-2024</t>
        </is>
      </c>
      <c r="B11631" s="1" t="n">
        <v>45513</v>
      </c>
      <c r="C11631" s="1" t="n">
        <v>45677</v>
      </c>
      <c r="D11631" t="inlineStr">
        <is>
          <t>GÄVLEBORGS LÄN</t>
        </is>
      </c>
      <c r="E11631" t="inlineStr">
        <is>
          <t>LJUSDAL</t>
        </is>
      </c>
      <c r="F11631" t="inlineStr">
        <is>
          <t>Bergvik skog väst AB</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32508-2024</t>
        </is>
      </c>
      <c r="B11632" s="1" t="n">
        <v>45513</v>
      </c>
      <c r="C11632" s="1" t="n">
        <v>45677</v>
      </c>
      <c r="D11632" t="inlineStr">
        <is>
          <t>GÄVLEBORGS LÄN</t>
        </is>
      </c>
      <c r="E11632" t="inlineStr">
        <is>
          <t>HUDIKSVALL</t>
        </is>
      </c>
      <c r="F11632" t="inlineStr">
        <is>
          <t>Holmen skog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32482-2024</t>
        </is>
      </c>
      <c r="B11633" s="1" t="n">
        <v>45513</v>
      </c>
      <c r="C11633" s="1" t="n">
        <v>45677</v>
      </c>
      <c r="D11633" t="inlineStr">
        <is>
          <t>GÄVLEBORGS LÄN</t>
        </is>
      </c>
      <c r="E11633" t="inlineStr">
        <is>
          <t>OCKELBO</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32487-2024</t>
        </is>
      </c>
      <c r="B11634" s="1" t="n">
        <v>45513</v>
      </c>
      <c r="C11634" s="1" t="n">
        <v>45677</v>
      </c>
      <c r="D11634" t="inlineStr">
        <is>
          <t>GÄVLEBORGS LÄN</t>
        </is>
      </c>
      <c r="E11634" t="inlineStr">
        <is>
          <t>OCKELBO</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32632-2024</t>
        </is>
      </c>
      <c r="B11635" s="1" t="n">
        <v>45513</v>
      </c>
      <c r="C11635" s="1" t="n">
        <v>45677</v>
      </c>
      <c r="D11635" t="inlineStr">
        <is>
          <t>GÄVLEBORGS LÄN</t>
        </is>
      </c>
      <c r="E11635" t="inlineStr">
        <is>
          <t>HUDIKSVALL</t>
        </is>
      </c>
      <c r="F11635" t="inlineStr">
        <is>
          <t>Holmen skog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32602-2024</t>
        </is>
      </c>
      <c r="B11636" s="1" t="n">
        <v>45513</v>
      </c>
      <c r="C11636" s="1" t="n">
        <v>45677</v>
      </c>
      <c r="D11636" t="inlineStr">
        <is>
          <t>GÄVLEBORGS LÄN</t>
        </is>
      </c>
      <c r="E11636" t="inlineStr">
        <is>
          <t>NORDANSTIG</t>
        </is>
      </c>
      <c r="F11636" t="inlineStr">
        <is>
          <t>Holmen skog AB</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32630-2024</t>
        </is>
      </c>
      <c r="B11637" s="1" t="n">
        <v>45513</v>
      </c>
      <c r="C11637" s="1" t="n">
        <v>45677</v>
      </c>
      <c r="D11637" t="inlineStr">
        <is>
          <t>GÄVLEBORGS LÄN</t>
        </is>
      </c>
      <c r="E11637" t="inlineStr">
        <is>
          <t>HUDIKSVALL</t>
        </is>
      </c>
      <c r="F11637" t="inlineStr">
        <is>
          <t>Holmen skog AB</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32579-2024</t>
        </is>
      </c>
      <c r="B11638" s="1" t="n">
        <v>45513</v>
      </c>
      <c r="C11638" s="1" t="n">
        <v>45677</v>
      </c>
      <c r="D11638" t="inlineStr">
        <is>
          <t>GÄVLEBORGS LÄN</t>
        </is>
      </c>
      <c r="E11638" t="inlineStr">
        <is>
          <t>LJUSDAL</t>
        </is>
      </c>
      <c r="F11638" t="inlineStr">
        <is>
          <t>Sveaskog</t>
        </is>
      </c>
      <c r="G11638" t="n">
        <v>33.7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32676-2024</t>
        </is>
      </c>
      <c r="B11639" s="1" t="n">
        <v>45514</v>
      </c>
      <c r="C11639" s="1" t="n">
        <v>45677</v>
      </c>
      <c r="D11639" t="inlineStr">
        <is>
          <t>GÄVLEBORGS LÄN</t>
        </is>
      </c>
      <c r="E11639" t="inlineStr">
        <is>
          <t>NORDANSTIG</t>
        </is>
      </c>
      <c r="F11639" t="inlineStr">
        <is>
          <t>SCA</t>
        </is>
      </c>
      <c r="G11639" t="n">
        <v>13.2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32686-2024</t>
        </is>
      </c>
      <c r="B11640" s="1" t="n">
        <v>45515</v>
      </c>
      <c r="C11640" s="1" t="n">
        <v>45677</v>
      </c>
      <c r="D11640" t="inlineStr">
        <is>
          <t>GÄVLEBORGS LÄN</t>
        </is>
      </c>
      <c r="E11640" t="inlineStr">
        <is>
          <t>OVANÅKER</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32682-2024</t>
        </is>
      </c>
      <c r="B11641" s="1" t="n">
        <v>45515</v>
      </c>
      <c r="C11641" s="1" t="n">
        <v>45677</v>
      </c>
      <c r="D11641" t="inlineStr">
        <is>
          <t>GÄVLEBORGS LÄN</t>
        </is>
      </c>
      <c r="E11641" t="inlineStr">
        <is>
          <t>OVANÅKER</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32737-2024</t>
        </is>
      </c>
      <c r="B11642" s="1" t="n">
        <v>45516</v>
      </c>
      <c r="C11642" s="1" t="n">
        <v>45677</v>
      </c>
      <c r="D11642" t="inlineStr">
        <is>
          <t>GÄVLEBORGS LÄN</t>
        </is>
      </c>
      <c r="E11642" t="inlineStr">
        <is>
          <t>HUDIKSVALL</t>
        </is>
      </c>
      <c r="F11642" t="inlineStr">
        <is>
          <t>Holmen skog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32710-2024</t>
        </is>
      </c>
      <c r="B11643" s="1" t="n">
        <v>45516</v>
      </c>
      <c r="C11643" s="1" t="n">
        <v>45677</v>
      </c>
      <c r="D11643" t="inlineStr">
        <is>
          <t>GÄVLEBORGS LÄN</t>
        </is>
      </c>
      <c r="E11643" t="inlineStr">
        <is>
          <t>HUDIKSVALL</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32827-2024</t>
        </is>
      </c>
      <c r="B11644" s="1" t="n">
        <v>45516</v>
      </c>
      <c r="C11644" s="1" t="n">
        <v>45677</v>
      </c>
      <c r="D11644" t="inlineStr">
        <is>
          <t>GÄVLEBORGS LÄN</t>
        </is>
      </c>
      <c r="E11644" t="inlineStr">
        <is>
          <t>HOFORS</t>
        </is>
      </c>
      <c r="F11644" t="inlineStr">
        <is>
          <t>Sveaskog</t>
        </is>
      </c>
      <c r="G11644" t="n">
        <v>8.5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32704-2024</t>
        </is>
      </c>
      <c r="B11645" s="1" t="n">
        <v>45516</v>
      </c>
      <c r="C11645" s="1" t="n">
        <v>45677</v>
      </c>
      <c r="D11645" t="inlineStr">
        <is>
          <t>GÄVLEBORGS LÄN</t>
        </is>
      </c>
      <c r="E11645" t="inlineStr">
        <is>
          <t>OCKELBO</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32859-2024</t>
        </is>
      </c>
      <c r="B11646" s="1" t="n">
        <v>45516</v>
      </c>
      <c r="C11646" s="1" t="n">
        <v>45677</v>
      </c>
      <c r="D11646" t="inlineStr">
        <is>
          <t>GÄVLEBORGS LÄN</t>
        </is>
      </c>
      <c r="E11646" t="inlineStr">
        <is>
          <t>BOLLNÄS</t>
        </is>
      </c>
      <c r="F11646" t="inlineStr">
        <is>
          <t>Sveaskog</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32804-2024</t>
        </is>
      </c>
      <c r="B11647" s="1" t="n">
        <v>45516</v>
      </c>
      <c r="C11647" s="1" t="n">
        <v>45677</v>
      </c>
      <c r="D11647" t="inlineStr">
        <is>
          <t>GÄVLEBORGS LÄN</t>
        </is>
      </c>
      <c r="E11647" t="inlineStr">
        <is>
          <t>OVANÅKER</t>
        </is>
      </c>
      <c r="F11647" t="inlineStr">
        <is>
          <t>Bergvik skog öst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32743-2024</t>
        </is>
      </c>
      <c r="B11648" s="1" t="n">
        <v>45516</v>
      </c>
      <c r="C11648" s="1" t="n">
        <v>45677</v>
      </c>
      <c r="D11648" t="inlineStr">
        <is>
          <t>GÄVLEBORGS LÄN</t>
        </is>
      </c>
      <c r="E11648" t="inlineStr">
        <is>
          <t>LJUSDAL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33086-2024</t>
        </is>
      </c>
      <c r="B11649" s="1" t="n">
        <v>45517</v>
      </c>
      <c r="C11649" s="1" t="n">
        <v>45677</v>
      </c>
      <c r="D11649" t="inlineStr">
        <is>
          <t>GÄVLEBORGS LÄN</t>
        </is>
      </c>
      <c r="E11649" t="inlineStr">
        <is>
          <t>HUDIKSVALL</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33052-2024</t>
        </is>
      </c>
      <c r="B11650" s="1" t="n">
        <v>45517</v>
      </c>
      <c r="C11650" s="1" t="n">
        <v>45677</v>
      </c>
      <c r="D11650" t="inlineStr">
        <is>
          <t>GÄVLEBORGS LÄN</t>
        </is>
      </c>
      <c r="E11650" t="inlineStr">
        <is>
          <t>LJUSDAL</t>
        </is>
      </c>
      <c r="F11650" t="inlineStr">
        <is>
          <t>Allmännings- och besparingsskogar</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32974-2024</t>
        </is>
      </c>
      <c r="B11651" s="1" t="n">
        <v>45517</v>
      </c>
      <c r="C11651" s="1" t="n">
        <v>45677</v>
      </c>
      <c r="D11651" t="inlineStr">
        <is>
          <t>GÄVLEBORGS LÄN</t>
        </is>
      </c>
      <c r="E11651" t="inlineStr">
        <is>
          <t>NORDANSTIG</t>
        </is>
      </c>
      <c r="F11651" t="inlineStr">
        <is>
          <t>Holmen skog AB</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33025-2024</t>
        </is>
      </c>
      <c r="B11652" s="1" t="n">
        <v>45517</v>
      </c>
      <c r="C11652" s="1" t="n">
        <v>45677</v>
      </c>
      <c r="D11652" t="inlineStr">
        <is>
          <t>GÄVLEBORGS LÄN</t>
        </is>
      </c>
      <c r="E11652" t="inlineStr">
        <is>
          <t>OCKELBO</t>
        </is>
      </c>
      <c r="F11652" t="inlineStr">
        <is>
          <t>Bergvik skog väst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32996-2024</t>
        </is>
      </c>
      <c r="B11653" s="1" t="n">
        <v>45517</v>
      </c>
      <c r="C11653" s="1" t="n">
        <v>45677</v>
      </c>
      <c r="D11653" t="inlineStr">
        <is>
          <t>GÄVLEBORGS LÄN</t>
        </is>
      </c>
      <c r="E11653" t="inlineStr">
        <is>
          <t>OVANÅKER</t>
        </is>
      </c>
      <c r="F11653" t="inlineStr">
        <is>
          <t>Bergvik skog väst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33120-2024</t>
        </is>
      </c>
      <c r="B11654" s="1" t="n">
        <v>45517</v>
      </c>
      <c r="C11654" s="1" t="n">
        <v>45677</v>
      </c>
      <c r="D11654" t="inlineStr">
        <is>
          <t>GÄVLEBORGS LÄN</t>
        </is>
      </c>
      <c r="E11654" t="inlineStr">
        <is>
          <t>LJUSDAL</t>
        </is>
      </c>
      <c r="F11654" t="inlineStr">
        <is>
          <t>SCA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33071-2024</t>
        </is>
      </c>
      <c r="B11655" s="1" t="n">
        <v>45517</v>
      </c>
      <c r="C11655" s="1" t="n">
        <v>45677</v>
      </c>
      <c r="D11655" t="inlineStr">
        <is>
          <t>GÄVLEBORGS LÄN</t>
        </is>
      </c>
      <c r="E11655" t="inlineStr">
        <is>
          <t>OCKELBO</t>
        </is>
      </c>
      <c r="F11655" t="inlineStr">
        <is>
          <t>Bergvik skog väst AB</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32945-2024</t>
        </is>
      </c>
      <c r="B11656" s="1" t="n">
        <v>45517</v>
      </c>
      <c r="C11656" s="1" t="n">
        <v>45677</v>
      </c>
      <c r="D11656" t="inlineStr">
        <is>
          <t>GÄVLEBORGS LÄN</t>
        </is>
      </c>
      <c r="E11656" t="inlineStr">
        <is>
          <t>HUDIKSVALL</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32969-2024</t>
        </is>
      </c>
      <c r="B11657" s="1" t="n">
        <v>45517</v>
      </c>
      <c r="C11657" s="1" t="n">
        <v>45677</v>
      </c>
      <c r="D11657" t="inlineStr">
        <is>
          <t>GÄVLEBORGS LÄN</t>
        </is>
      </c>
      <c r="E11657" t="inlineStr">
        <is>
          <t>OVANÅKER</t>
        </is>
      </c>
      <c r="F11657" t="inlineStr">
        <is>
          <t>Bergvik skog väst AB</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32959-2024</t>
        </is>
      </c>
      <c r="B11658" s="1" t="n">
        <v>45517</v>
      </c>
      <c r="C11658" s="1" t="n">
        <v>45677</v>
      </c>
      <c r="D11658" t="inlineStr">
        <is>
          <t>GÄVLEBORGS LÄN</t>
        </is>
      </c>
      <c r="E11658" t="inlineStr">
        <is>
          <t>HUDIKSVALL</t>
        </is>
      </c>
      <c r="F11658" t="inlineStr">
        <is>
          <t>Holmen skog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32947-2024</t>
        </is>
      </c>
      <c r="B11659" s="1" t="n">
        <v>45517</v>
      </c>
      <c r="C11659" s="1" t="n">
        <v>45677</v>
      </c>
      <c r="D11659" t="inlineStr">
        <is>
          <t>GÄVLEBORGS LÄN</t>
        </is>
      </c>
      <c r="E11659" t="inlineStr">
        <is>
          <t>OVANÅKER</t>
        </is>
      </c>
      <c r="F11659" t="inlineStr">
        <is>
          <t>Bergvik skog väst AB</t>
        </is>
      </c>
      <c r="G11659" t="n">
        <v>11.9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33298-2024</t>
        </is>
      </c>
      <c r="B11660" s="1" t="n">
        <v>45519</v>
      </c>
      <c r="C11660" s="1" t="n">
        <v>45677</v>
      </c>
      <c r="D11660" t="inlineStr">
        <is>
          <t>GÄVLEBORGS LÄN</t>
        </is>
      </c>
      <c r="E11660" t="inlineStr">
        <is>
          <t>LJUSDAL</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33249-2024</t>
        </is>
      </c>
      <c r="B11661" s="1" t="n">
        <v>45518</v>
      </c>
      <c r="C11661" s="1" t="n">
        <v>45677</v>
      </c>
      <c r="D11661" t="inlineStr">
        <is>
          <t>GÄVLEBORGS LÄN</t>
        </is>
      </c>
      <c r="E11661" t="inlineStr">
        <is>
          <t>OVANÅKER</t>
        </is>
      </c>
      <c r="F11661" t="inlineStr">
        <is>
          <t>Bergvik skog öst AB</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33229-2024</t>
        </is>
      </c>
      <c r="B11662" s="1" t="n">
        <v>45518</v>
      </c>
      <c r="C11662" s="1" t="n">
        <v>45677</v>
      </c>
      <c r="D11662" t="inlineStr">
        <is>
          <t>GÄVLEBORGS LÄN</t>
        </is>
      </c>
      <c r="E11662" t="inlineStr">
        <is>
          <t>OCKELBO</t>
        </is>
      </c>
      <c r="F11662" t="inlineStr">
        <is>
          <t>Bergvik skog väst AB</t>
        </is>
      </c>
      <c r="G11662" t="n">
        <v>16.6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33157-2024</t>
        </is>
      </c>
      <c r="B11663" s="1" t="n">
        <v>45518</v>
      </c>
      <c r="C11663" s="1" t="n">
        <v>45677</v>
      </c>
      <c r="D11663" t="inlineStr">
        <is>
          <t>GÄVLEBORGS LÄN</t>
        </is>
      </c>
      <c r="E11663" t="inlineStr">
        <is>
          <t>SANDVIKEN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33272-2024</t>
        </is>
      </c>
      <c r="B11664" s="1" t="n">
        <v>45518</v>
      </c>
      <c r="C11664" s="1" t="n">
        <v>45677</v>
      </c>
      <c r="D11664" t="inlineStr">
        <is>
          <t>GÄVLEBORGS LÄN</t>
        </is>
      </c>
      <c r="E11664" t="inlineStr">
        <is>
          <t>OVANÅKER</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33291-2024</t>
        </is>
      </c>
      <c r="B11665" s="1" t="n">
        <v>45518</v>
      </c>
      <c r="C11665" s="1" t="n">
        <v>45677</v>
      </c>
      <c r="D11665" t="inlineStr">
        <is>
          <t>GÄVLEBORGS LÄN</t>
        </is>
      </c>
      <c r="E11665" t="inlineStr">
        <is>
          <t>OCKELBO</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33324-2024</t>
        </is>
      </c>
      <c r="B11666" s="1" t="n">
        <v>45519</v>
      </c>
      <c r="C11666" s="1" t="n">
        <v>45677</v>
      </c>
      <c r="D11666" t="inlineStr">
        <is>
          <t>GÄVLEBORGS LÄN</t>
        </is>
      </c>
      <c r="E11666" t="inlineStr">
        <is>
          <t>NORDANSTIG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33198-2024</t>
        </is>
      </c>
      <c r="B11667" s="1" t="n">
        <v>45518</v>
      </c>
      <c r="C11667" s="1" t="n">
        <v>45677</v>
      </c>
      <c r="D11667" t="inlineStr">
        <is>
          <t>GÄVLEBORGS LÄN</t>
        </is>
      </c>
      <c r="E11667" t="inlineStr">
        <is>
          <t>OVANÅKER</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33137-2024</t>
        </is>
      </c>
      <c r="B11668" s="1" t="n">
        <v>45518</v>
      </c>
      <c r="C11668" s="1" t="n">
        <v>45677</v>
      </c>
      <c r="D11668" t="inlineStr">
        <is>
          <t>GÄVLEBORGS LÄN</t>
        </is>
      </c>
      <c r="E11668" t="inlineStr">
        <is>
          <t>HUDIKSVALL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33292-2024</t>
        </is>
      </c>
      <c r="B11669" s="1" t="n">
        <v>45518</v>
      </c>
      <c r="C11669" s="1" t="n">
        <v>45677</v>
      </c>
      <c r="D11669" t="inlineStr">
        <is>
          <t>GÄVLEBORGS LÄN</t>
        </is>
      </c>
      <c r="E11669" t="inlineStr">
        <is>
          <t>OCKELBO</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33223-2024</t>
        </is>
      </c>
      <c r="B11670" s="1" t="n">
        <v>45518</v>
      </c>
      <c r="C11670" s="1" t="n">
        <v>45677</v>
      </c>
      <c r="D11670" t="inlineStr">
        <is>
          <t>GÄVLEBORGS LÄN</t>
        </is>
      </c>
      <c r="E11670" t="inlineStr">
        <is>
          <t>GÄVLE</t>
        </is>
      </c>
      <c r="F11670" t="inlineStr">
        <is>
          <t>Bergvik skog väst AB</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33199-2024</t>
        </is>
      </c>
      <c r="B11671" s="1" t="n">
        <v>45518</v>
      </c>
      <c r="C11671" s="1" t="n">
        <v>45677</v>
      </c>
      <c r="D11671" t="inlineStr">
        <is>
          <t>GÄVLEBORGS LÄN</t>
        </is>
      </c>
      <c r="E11671" t="inlineStr">
        <is>
          <t>LJUSDAL</t>
        </is>
      </c>
      <c r="F11671" t="inlineStr">
        <is>
          <t>Bergvik skog väst AB</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33163-2024</t>
        </is>
      </c>
      <c r="B11672" s="1" t="n">
        <v>45518</v>
      </c>
      <c r="C11672" s="1" t="n">
        <v>45677</v>
      </c>
      <c r="D11672" t="inlineStr">
        <is>
          <t>GÄVLEBORGS LÄN</t>
        </is>
      </c>
      <c r="E11672" t="inlineStr">
        <is>
          <t>OCKELBO</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33297-2024</t>
        </is>
      </c>
      <c r="B11673" s="1" t="n">
        <v>45519</v>
      </c>
      <c r="C11673" s="1" t="n">
        <v>45677</v>
      </c>
      <c r="D11673" t="inlineStr">
        <is>
          <t>GÄVLEBORGS LÄN</t>
        </is>
      </c>
      <c r="E11673" t="inlineStr">
        <is>
          <t>LJUSDAL</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33131-2024</t>
        </is>
      </c>
      <c r="B11674" s="1" t="n">
        <v>45518</v>
      </c>
      <c r="C11674" s="1" t="n">
        <v>45677</v>
      </c>
      <c r="D11674" t="inlineStr">
        <is>
          <t>GÄVLEBORGS LÄN</t>
        </is>
      </c>
      <c r="E11674" t="inlineStr">
        <is>
          <t>LJUSDAL</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33356-2024</t>
        </is>
      </c>
      <c r="B11675" s="1" t="n">
        <v>45519</v>
      </c>
      <c r="C11675" s="1" t="n">
        <v>45677</v>
      </c>
      <c r="D11675" t="inlineStr">
        <is>
          <t>GÄVLEBORGS LÄN</t>
        </is>
      </c>
      <c r="E11675" t="inlineStr">
        <is>
          <t>OCKELBO</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33384-2024</t>
        </is>
      </c>
      <c r="B11676" s="1" t="n">
        <v>45519</v>
      </c>
      <c r="C11676" s="1" t="n">
        <v>45677</v>
      </c>
      <c r="D11676" t="inlineStr">
        <is>
          <t>GÄVLEBORGS LÄN</t>
        </is>
      </c>
      <c r="E11676" t="inlineStr">
        <is>
          <t>OCKELBO</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33389-2024</t>
        </is>
      </c>
      <c r="B11677" s="1" t="n">
        <v>45519</v>
      </c>
      <c r="C11677" s="1" t="n">
        <v>45677</v>
      </c>
      <c r="D11677" t="inlineStr">
        <is>
          <t>GÄVLEBORGS LÄN</t>
        </is>
      </c>
      <c r="E11677" t="inlineStr">
        <is>
          <t>LJUSDAL</t>
        </is>
      </c>
      <c r="F11677" t="inlineStr">
        <is>
          <t>Sveaskog</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33334-2024</t>
        </is>
      </c>
      <c r="B11678" s="1" t="n">
        <v>45519</v>
      </c>
      <c r="C11678" s="1" t="n">
        <v>45677</v>
      </c>
      <c r="D11678" t="inlineStr">
        <is>
          <t>GÄVLEBORGS LÄN</t>
        </is>
      </c>
      <c r="E11678" t="inlineStr">
        <is>
          <t>OCKELBO</t>
        </is>
      </c>
      <c r="F11678" t="inlineStr">
        <is>
          <t>Bergvik skog väst AB</t>
        </is>
      </c>
      <c r="G11678" t="n">
        <v>7.9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33354-2024</t>
        </is>
      </c>
      <c r="B11679" s="1" t="n">
        <v>45519</v>
      </c>
      <c r="C11679" s="1" t="n">
        <v>45677</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33358-2024</t>
        </is>
      </c>
      <c r="B11680" s="1" t="n">
        <v>45519</v>
      </c>
      <c r="C11680" s="1" t="n">
        <v>45677</v>
      </c>
      <c r="D11680" t="inlineStr">
        <is>
          <t>GÄVLEBORGS LÄN</t>
        </is>
      </c>
      <c r="E11680" t="inlineStr">
        <is>
          <t>GÄVLE</t>
        </is>
      </c>
      <c r="F11680" t="inlineStr">
        <is>
          <t>Bergvik skog väst AB</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33386-2024</t>
        </is>
      </c>
      <c r="B11681" s="1" t="n">
        <v>45519</v>
      </c>
      <c r="C11681" s="1" t="n">
        <v>45677</v>
      </c>
      <c r="D11681" t="inlineStr">
        <is>
          <t>GÄVLEBORGS LÄN</t>
        </is>
      </c>
      <c r="E11681" t="inlineStr">
        <is>
          <t>LJUSDAL</t>
        </is>
      </c>
      <c r="F11681" t="inlineStr">
        <is>
          <t>Sveaskog</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33365-2024</t>
        </is>
      </c>
      <c r="B11682" s="1" t="n">
        <v>45519</v>
      </c>
      <c r="C11682" s="1" t="n">
        <v>45677</v>
      </c>
      <c r="D11682" t="inlineStr">
        <is>
          <t>GÄVLEBORGS LÄN</t>
        </is>
      </c>
      <c r="E11682" t="inlineStr">
        <is>
          <t>NORDANSTIG</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33397-2024</t>
        </is>
      </c>
      <c r="B11683" s="1" t="n">
        <v>45519</v>
      </c>
      <c r="C11683" s="1" t="n">
        <v>45677</v>
      </c>
      <c r="D11683" t="inlineStr">
        <is>
          <t>GÄVLEBORGS LÄN</t>
        </is>
      </c>
      <c r="E11683" t="inlineStr">
        <is>
          <t>SANDVIKEN</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33449-2024</t>
        </is>
      </c>
      <c r="B11684" s="1" t="n">
        <v>45519</v>
      </c>
      <c r="C11684" s="1" t="n">
        <v>45677</v>
      </c>
      <c r="D11684" t="inlineStr">
        <is>
          <t>GÄVLEBORGS LÄN</t>
        </is>
      </c>
      <c r="E11684" t="inlineStr">
        <is>
          <t>GÄVLE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33453-2024</t>
        </is>
      </c>
      <c r="B11685" s="1" t="n">
        <v>45519</v>
      </c>
      <c r="C11685" s="1" t="n">
        <v>45677</v>
      </c>
      <c r="D11685" t="inlineStr">
        <is>
          <t>GÄVLEBORGS LÄN</t>
        </is>
      </c>
      <c r="E11685" t="inlineStr">
        <is>
          <t>HUDIKSVALL</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33489-2024</t>
        </is>
      </c>
      <c r="B11686" s="1" t="n">
        <v>45519</v>
      </c>
      <c r="C11686" s="1" t="n">
        <v>45677</v>
      </c>
      <c r="D11686" t="inlineStr">
        <is>
          <t>GÄVLEBORGS LÄN</t>
        </is>
      </c>
      <c r="E11686" t="inlineStr">
        <is>
          <t>OVANÅKER</t>
        </is>
      </c>
      <c r="F11686" t="inlineStr">
        <is>
          <t>Bergvik skog öst AB</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33514-2024</t>
        </is>
      </c>
      <c r="B11687" s="1" t="n">
        <v>45519</v>
      </c>
      <c r="C11687" s="1" t="n">
        <v>45677</v>
      </c>
      <c r="D11687" t="inlineStr">
        <is>
          <t>GÄVLEBORGS LÄN</t>
        </is>
      </c>
      <c r="E11687" t="inlineStr">
        <is>
          <t>OCKELBO</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33390-2024</t>
        </is>
      </c>
      <c r="B11688" s="1" t="n">
        <v>45519</v>
      </c>
      <c r="C11688" s="1" t="n">
        <v>45677</v>
      </c>
      <c r="D11688" t="inlineStr">
        <is>
          <t>GÄVLEBORGS LÄN</t>
        </is>
      </c>
      <c r="E11688" t="inlineStr">
        <is>
          <t>OVANÅKER</t>
        </is>
      </c>
      <c r="F11688" t="inlineStr">
        <is>
          <t>Sveaskog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33422-2024</t>
        </is>
      </c>
      <c r="B11689" s="1" t="n">
        <v>45519</v>
      </c>
      <c r="C11689" s="1" t="n">
        <v>45677</v>
      </c>
      <c r="D11689" t="inlineStr">
        <is>
          <t>GÄVLEBORGS LÄN</t>
        </is>
      </c>
      <c r="E11689" t="inlineStr">
        <is>
          <t>BOLLNÄS</t>
        </is>
      </c>
      <c r="F11689" t="inlineStr">
        <is>
          <t>Bergvik skog väst AB</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33439-2024</t>
        </is>
      </c>
      <c r="B11690" s="1" t="n">
        <v>45519</v>
      </c>
      <c r="C11690" s="1" t="n">
        <v>45677</v>
      </c>
      <c r="D11690" t="inlineStr">
        <is>
          <t>GÄVLEBORGS LÄN</t>
        </is>
      </c>
      <c r="E11690" t="inlineStr">
        <is>
          <t>BOLLNÄS</t>
        </is>
      </c>
      <c r="F11690" t="inlineStr">
        <is>
          <t>Holmen skog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33515-2024</t>
        </is>
      </c>
      <c r="B11691" s="1" t="n">
        <v>45519</v>
      </c>
      <c r="C11691" s="1" t="n">
        <v>45677</v>
      </c>
      <c r="D11691" t="inlineStr">
        <is>
          <t>GÄVLEBORGS LÄN</t>
        </is>
      </c>
      <c r="E11691" t="inlineStr">
        <is>
          <t>HUDIKSVALL</t>
        </is>
      </c>
      <c r="F11691" t="inlineStr">
        <is>
          <t>Holmen skog AB</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33527-2024</t>
        </is>
      </c>
      <c r="B11692" s="1" t="n">
        <v>45519</v>
      </c>
      <c r="C11692" s="1" t="n">
        <v>45677</v>
      </c>
      <c r="D11692" t="inlineStr">
        <is>
          <t>GÄVLEBORGS LÄN</t>
        </is>
      </c>
      <c r="E11692" t="inlineStr">
        <is>
          <t>OVANÅKER</t>
        </is>
      </c>
      <c r="G11692" t="n">
        <v>7.2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33487-2024</t>
        </is>
      </c>
      <c r="B11693" s="1" t="n">
        <v>45519</v>
      </c>
      <c r="C11693" s="1" t="n">
        <v>45677</v>
      </c>
      <c r="D11693" t="inlineStr">
        <is>
          <t>GÄVLEBORGS LÄN</t>
        </is>
      </c>
      <c r="E11693" t="inlineStr">
        <is>
          <t>SANDVIKEN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33512-2024</t>
        </is>
      </c>
      <c r="B11694" s="1" t="n">
        <v>45519</v>
      </c>
      <c r="C11694" s="1" t="n">
        <v>45677</v>
      </c>
      <c r="D11694" t="inlineStr">
        <is>
          <t>GÄVLEBORGS LÄN</t>
        </is>
      </c>
      <c r="E11694" t="inlineStr">
        <is>
          <t>LJUSDAL</t>
        </is>
      </c>
      <c r="F11694" t="inlineStr">
        <is>
          <t>Bergvik skog väst AB</t>
        </is>
      </c>
      <c r="G11694" t="n">
        <v>16.4</v>
      </c>
      <c r="H11694" t="n">
        <v>0</v>
      </c>
      <c r="I11694" t="n">
        <v>0</v>
      </c>
      <c r="J11694" t="n">
        <v>0</v>
      </c>
      <c r="K11694" t="n">
        <v>0</v>
      </c>
      <c r="L11694" t="n">
        <v>0</v>
      </c>
      <c r="M11694" t="n">
        <v>0</v>
      </c>
      <c r="N11694" t="n">
        <v>0</v>
      </c>
      <c r="O11694" t="n">
        <v>0</v>
      </c>
      <c r="P11694" t="n">
        <v>0</v>
      </c>
      <c r="Q11694" t="n">
        <v>0</v>
      </c>
      <c r="R11694" s="2" t="inlineStr"/>
      <c r="U11694">
        <f>HYPERLINK("https://klasma.github.io/Logging_2161/knärot/A 33512-2024 karta knärot.png", "A 33512-2024")</f>
        <v/>
      </c>
      <c r="V11694">
        <f>HYPERLINK("https://klasma.github.io/Logging_2161/klagomål/A 33512-2024 FSC-klagomål.docx", "A 33512-2024")</f>
        <v/>
      </c>
      <c r="W11694">
        <f>HYPERLINK("https://klasma.github.io/Logging_2161/klagomålsmail/A 33512-2024 FSC-klagomål mail.docx", "A 33512-2024")</f>
        <v/>
      </c>
      <c r="X11694">
        <f>HYPERLINK("https://klasma.github.io/Logging_2161/tillsyn/A 33512-2024 tillsynsbegäran.docx", "A 33512-2024")</f>
        <v/>
      </c>
      <c r="Y11694">
        <f>HYPERLINK("https://klasma.github.io/Logging_2161/tillsynsmail/A 33512-2024 tillsynsbegäran mail.docx", "A 33512-2024")</f>
        <v/>
      </c>
    </row>
    <row r="11695" ht="15" customHeight="1">
      <c r="A11695" t="inlineStr">
        <is>
          <t>A 33347-2024</t>
        </is>
      </c>
      <c r="B11695" s="1" t="n">
        <v>45519</v>
      </c>
      <c r="C11695" s="1" t="n">
        <v>45677</v>
      </c>
      <c r="D11695" t="inlineStr">
        <is>
          <t>GÄVLEBORGS LÄN</t>
        </is>
      </c>
      <c r="E11695" t="inlineStr">
        <is>
          <t>LJUSDAL</t>
        </is>
      </c>
      <c r="F11695" t="inlineStr">
        <is>
          <t>Holmen skog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33359-2024</t>
        </is>
      </c>
      <c r="B11696" s="1" t="n">
        <v>45519</v>
      </c>
      <c r="C11696" s="1" t="n">
        <v>45677</v>
      </c>
      <c r="D11696" t="inlineStr">
        <is>
          <t>GÄVLEBORGS LÄN</t>
        </is>
      </c>
      <c r="E11696" t="inlineStr">
        <is>
          <t>LJUSDAL</t>
        </is>
      </c>
      <c r="F11696" t="inlineStr">
        <is>
          <t>Bergvik skog väst AB</t>
        </is>
      </c>
      <c r="G11696" t="n">
        <v>7.9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33363-2024</t>
        </is>
      </c>
      <c r="B11697" s="1" t="n">
        <v>45519</v>
      </c>
      <c r="C11697" s="1" t="n">
        <v>45677</v>
      </c>
      <c r="D11697" t="inlineStr">
        <is>
          <t>GÄVLEBORGS LÄN</t>
        </is>
      </c>
      <c r="E11697" t="inlineStr">
        <is>
          <t>LJUSDAL</t>
        </is>
      </c>
      <c r="F11697" t="inlineStr">
        <is>
          <t>Bergvik skog väst AB</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33420-2024</t>
        </is>
      </c>
      <c r="B11698" s="1" t="n">
        <v>45519</v>
      </c>
      <c r="C11698" s="1" t="n">
        <v>45677</v>
      </c>
      <c r="D11698" t="inlineStr">
        <is>
          <t>GÄVLEBORGS LÄN</t>
        </is>
      </c>
      <c r="E11698" t="inlineStr">
        <is>
          <t>LJUSDAL</t>
        </is>
      </c>
      <c r="F11698" t="inlineStr">
        <is>
          <t>Holmen skog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33456-2024</t>
        </is>
      </c>
      <c r="B11699" s="1" t="n">
        <v>45519</v>
      </c>
      <c r="C11699" s="1" t="n">
        <v>45677</v>
      </c>
      <c r="D11699" t="inlineStr">
        <is>
          <t>GÄVLEBORGS LÄN</t>
        </is>
      </c>
      <c r="E11699" t="inlineStr">
        <is>
          <t>HUDIKSVALL</t>
        </is>
      </c>
      <c r="F11699" t="inlineStr">
        <is>
          <t>Holmen skog AB</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33464-2024</t>
        </is>
      </c>
      <c r="B11700" s="1" t="n">
        <v>45519</v>
      </c>
      <c r="C11700" s="1" t="n">
        <v>45677</v>
      </c>
      <c r="D11700" t="inlineStr">
        <is>
          <t>GÄVLEBORGS LÄN</t>
        </is>
      </c>
      <c r="E11700" t="inlineStr">
        <is>
          <t>HUDIKSVALL</t>
        </is>
      </c>
      <c r="G11700" t="n">
        <v>10.9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33610-2024</t>
        </is>
      </c>
      <c r="B11701" s="1" t="n">
        <v>45520</v>
      </c>
      <c r="C11701" s="1" t="n">
        <v>45677</v>
      </c>
      <c r="D11701" t="inlineStr">
        <is>
          <t>GÄVLEBORGS LÄN</t>
        </is>
      </c>
      <c r="E11701" t="inlineStr">
        <is>
          <t>HUDIKSVALL</t>
        </is>
      </c>
      <c r="F11701" t="inlineStr">
        <is>
          <t>Holmen skog AB</t>
        </is>
      </c>
      <c r="G11701" t="n">
        <v>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33623-2024</t>
        </is>
      </c>
      <c r="B11702" s="1" t="n">
        <v>45520</v>
      </c>
      <c r="C11702" s="1" t="n">
        <v>45677</v>
      </c>
      <c r="D11702" t="inlineStr">
        <is>
          <t>GÄVLEBORGS LÄN</t>
        </is>
      </c>
      <c r="E11702" t="inlineStr">
        <is>
          <t>SANDVIKEN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33575-2024</t>
        </is>
      </c>
      <c r="B11703" s="1" t="n">
        <v>45520</v>
      </c>
      <c r="C11703" s="1" t="n">
        <v>45677</v>
      </c>
      <c r="D11703" t="inlineStr">
        <is>
          <t>GÄVLEBORGS LÄN</t>
        </is>
      </c>
      <c r="E11703" t="inlineStr">
        <is>
          <t>GÄVLE</t>
        </is>
      </c>
      <c r="F11703" t="inlineStr">
        <is>
          <t>Bergvik skog väst AB</t>
        </is>
      </c>
      <c r="G11703" t="n">
        <v>9.4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33588-2024</t>
        </is>
      </c>
      <c r="B11704" s="1" t="n">
        <v>45520</v>
      </c>
      <c r="C11704" s="1" t="n">
        <v>45677</v>
      </c>
      <c r="D11704" t="inlineStr">
        <is>
          <t>GÄVLEBORGS LÄN</t>
        </is>
      </c>
      <c r="E11704" t="inlineStr">
        <is>
          <t>HUDIKSVALL</t>
        </is>
      </c>
      <c r="F11704" t="inlineStr">
        <is>
          <t>Holmen skog AB</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33587-2024</t>
        </is>
      </c>
      <c r="B11705" s="1" t="n">
        <v>45520</v>
      </c>
      <c r="C11705" s="1" t="n">
        <v>45677</v>
      </c>
      <c r="D11705" t="inlineStr">
        <is>
          <t>GÄVLEBORGS LÄN</t>
        </is>
      </c>
      <c r="E11705" t="inlineStr">
        <is>
          <t>HUDIKSVALL</t>
        </is>
      </c>
      <c r="F11705" t="inlineStr">
        <is>
          <t>Holmen skog AB</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33608-2024</t>
        </is>
      </c>
      <c r="B11706" s="1" t="n">
        <v>45520</v>
      </c>
      <c r="C11706" s="1" t="n">
        <v>45677</v>
      </c>
      <c r="D11706" t="inlineStr">
        <is>
          <t>GÄVLEBORGS LÄN</t>
        </is>
      </c>
      <c r="E11706" t="inlineStr">
        <is>
          <t>HUDIKSVALL</t>
        </is>
      </c>
      <c r="F11706" t="inlineStr">
        <is>
          <t>Holmen skog AB</t>
        </is>
      </c>
      <c r="G11706" t="n">
        <v>19.7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33625-2024</t>
        </is>
      </c>
      <c r="B11707" s="1" t="n">
        <v>45520</v>
      </c>
      <c r="C11707" s="1" t="n">
        <v>45677</v>
      </c>
      <c r="D11707" t="inlineStr">
        <is>
          <t>GÄVLEBORGS LÄN</t>
        </is>
      </c>
      <c r="E11707" t="inlineStr">
        <is>
          <t>GÄVLE</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33581-2024</t>
        </is>
      </c>
      <c r="B11708" s="1" t="n">
        <v>45520</v>
      </c>
      <c r="C11708" s="1" t="n">
        <v>45677</v>
      </c>
      <c r="D11708" t="inlineStr">
        <is>
          <t>GÄVLEBORGS LÄN</t>
        </is>
      </c>
      <c r="E11708" t="inlineStr">
        <is>
          <t>GÄVLE</t>
        </is>
      </c>
      <c r="F11708" t="inlineStr">
        <is>
          <t>Bergvik skog väst AB</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33634-2024</t>
        </is>
      </c>
      <c r="B11709" s="1" t="n">
        <v>45520</v>
      </c>
      <c r="C11709" s="1" t="n">
        <v>45677</v>
      </c>
      <c r="D11709" t="inlineStr">
        <is>
          <t>GÄVLEBORGS LÄN</t>
        </is>
      </c>
      <c r="E11709" t="inlineStr">
        <is>
          <t>OVANÅKER</t>
        </is>
      </c>
      <c r="F11709" t="inlineStr">
        <is>
          <t>Bergvik skog öst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33637-2024</t>
        </is>
      </c>
      <c r="B11710" s="1" t="n">
        <v>45520</v>
      </c>
      <c r="C11710" s="1" t="n">
        <v>45677</v>
      </c>
      <c r="D11710" t="inlineStr">
        <is>
          <t>GÄVLEBORGS LÄN</t>
        </is>
      </c>
      <c r="E11710" t="inlineStr">
        <is>
          <t>GÄVLE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33635-2024</t>
        </is>
      </c>
      <c r="B11711" s="1" t="n">
        <v>45520</v>
      </c>
      <c r="C11711" s="1" t="n">
        <v>45677</v>
      </c>
      <c r="D11711" t="inlineStr">
        <is>
          <t>GÄVLEBORGS LÄN</t>
        </is>
      </c>
      <c r="E11711" t="inlineStr">
        <is>
          <t>GÄVLE</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33725-2024</t>
        </is>
      </c>
      <c r="B11712" s="1" t="n">
        <v>45520</v>
      </c>
      <c r="C11712" s="1" t="n">
        <v>45677</v>
      </c>
      <c r="D11712" t="inlineStr">
        <is>
          <t>GÄVLEBORGS LÄN</t>
        </is>
      </c>
      <c r="E11712" t="inlineStr">
        <is>
          <t>OVANÅKER</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33654-2024</t>
        </is>
      </c>
      <c r="B11713" s="1" t="n">
        <v>45520</v>
      </c>
      <c r="C11713" s="1" t="n">
        <v>45677</v>
      </c>
      <c r="D11713" t="inlineStr">
        <is>
          <t>GÄVLEBORGS LÄN</t>
        </is>
      </c>
      <c r="E11713" t="inlineStr">
        <is>
          <t>LJUSDAL</t>
        </is>
      </c>
      <c r="F11713" t="inlineStr">
        <is>
          <t>Bergvik skog väst AB</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33813-2024</t>
        </is>
      </c>
      <c r="B11714" s="1" t="n">
        <v>45520</v>
      </c>
      <c r="C11714" s="1" t="n">
        <v>45677</v>
      </c>
      <c r="D11714" t="inlineStr">
        <is>
          <t>GÄVLEBORGS LÄN</t>
        </is>
      </c>
      <c r="E11714" t="inlineStr">
        <is>
          <t>NORDANSTIG</t>
        </is>
      </c>
      <c r="F11714" t="inlineStr">
        <is>
          <t>SCA</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33710-2024</t>
        </is>
      </c>
      <c r="B11715" s="1" t="n">
        <v>45520</v>
      </c>
      <c r="C11715" s="1" t="n">
        <v>45677</v>
      </c>
      <c r="D11715" t="inlineStr">
        <is>
          <t>GÄVLEBORGS LÄN</t>
        </is>
      </c>
      <c r="E11715" t="inlineStr">
        <is>
          <t>HOFORS</t>
        </is>
      </c>
      <c r="F11715" t="inlineStr">
        <is>
          <t>Sveaskog</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33734-2024</t>
        </is>
      </c>
      <c r="B11716" s="1" t="n">
        <v>45520</v>
      </c>
      <c r="C11716" s="1" t="n">
        <v>45677</v>
      </c>
      <c r="D11716" t="inlineStr">
        <is>
          <t>GÄVLEBORGS LÄN</t>
        </is>
      </c>
      <c r="E11716" t="inlineStr">
        <is>
          <t>HOFORS</t>
        </is>
      </c>
      <c r="F11716" t="inlineStr">
        <is>
          <t>Sveaskog</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33778-2024</t>
        </is>
      </c>
      <c r="B11717" s="1" t="n">
        <v>45520</v>
      </c>
      <c r="C11717" s="1" t="n">
        <v>45677</v>
      </c>
      <c r="D11717" t="inlineStr">
        <is>
          <t>GÄVLEBORGS LÄN</t>
        </is>
      </c>
      <c r="E11717" t="inlineStr">
        <is>
          <t>GÄVLE</t>
        </is>
      </c>
      <c r="F11717" t="inlineStr">
        <is>
          <t>Bergvik skog väst AB</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33891-2024</t>
        </is>
      </c>
      <c r="B11718" s="1" t="n">
        <v>45523</v>
      </c>
      <c r="C11718" s="1" t="n">
        <v>45677</v>
      </c>
      <c r="D11718" t="inlineStr">
        <is>
          <t>GÄVLEBORGS LÄN</t>
        </is>
      </c>
      <c r="E11718" t="inlineStr">
        <is>
          <t>BOLLNÄS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33935-2024</t>
        </is>
      </c>
      <c r="B11719" s="1" t="n">
        <v>45523</v>
      </c>
      <c r="C11719" s="1" t="n">
        <v>45677</v>
      </c>
      <c r="D11719" t="inlineStr">
        <is>
          <t>GÄVLEBORGS LÄN</t>
        </is>
      </c>
      <c r="E11719" t="inlineStr">
        <is>
          <t>BOLLNÄS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33901-2024</t>
        </is>
      </c>
      <c r="B11720" s="1" t="n">
        <v>45523</v>
      </c>
      <c r="C11720" s="1" t="n">
        <v>45677</v>
      </c>
      <c r="D11720" t="inlineStr">
        <is>
          <t>GÄVLEBORGS LÄN</t>
        </is>
      </c>
      <c r="E11720" t="inlineStr">
        <is>
          <t>GÄVLE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33945-2024</t>
        </is>
      </c>
      <c r="B11721" s="1" t="n">
        <v>45523</v>
      </c>
      <c r="C11721" s="1" t="n">
        <v>45677</v>
      </c>
      <c r="D11721" t="inlineStr">
        <is>
          <t>GÄVLEBORGS LÄN</t>
        </is>
      </c>
      <c r="E11721" t="inlineStr">
        <is>
          <t>OVANÅKER</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33949-2024</t>
        </is>
      </c>
      <c r="B11722" s="1" t="n">
        <v>45523</v>
      </c>
      <c r="C11722" s="1" t="n">
        <v>45677</v>
      </c>
      <c r="D11722" t="inlineStr">
        <is>
          <t>GÄVLEBORGS LÄN</t>
        </is>
      </c>
      <c r="E11722" t="inlineStr">
        <is>
          <t>LJUSDAL</t>
        </is>
      </c>
      <c r="G11722" t="n">
        <v>12.2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33979-2024</t>
        </is>
      </c>
      <c r="B11723" s="1" t="n">
        <v>45523</v>
      </c>
      <c r="C11723" s="1" t="n">
        <v>45677</v>
      </c>
      <c r="D11723" t="inlineStr">
        <is>
          <t>GÄVLEBORGS LÄN</t>
        </is>
      </c>
      <c r="E11723" t="inlineStr">
        <is>
          <t>HOFORS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33983-2024</t>
        </is>
      </c>
      <c r="B11724" s="1" t="n">
        <v>45523</v>
      </c>
      <c r="C11724" s="1" t="n">
        <v>45677</v>
      </c>
      <c r="D11724" t="inlineStr">
        <is>
          <t>GÄVLEBORGS LÄN</t>
        </is>
      </c>
      <c r="E11724" t="inlineStr">
        <is>
          <t>HOFORS</t>
        </is>
      </c>
      <c r="F11724" t="inlineStr">
        <is>
          <t>Bergvik skog öst AB</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34012-2024</t>
        </is>
      </c>
      <c r="B11725" s="1" t="n">
        <v>45523</v>
      </c>
      <c r="C11725" s="1" t="n">
        <v>45677</v>
      </c>
      <c r="D11725" t="inlineStr">
        <is>
          <t>GÄVLEBORGS LÄN</t>
        </is>
      </c>
      <c r="E11725" t="inlineStr">
        <is>
          <t>OCKELBO</t>
        </is>
      </c>
      <c r="F11725" t="inlineStr">
        <is>
          <t>Bergvik skog väst AB</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33984-2024</t>
        </is>
      </c>
      <c r="B11726" s="1" t="n">
        <v>45523</v>
      </c>
      <c r="C11726" s="1" t="n">
        <v>45677</v>
      </c>
      <c r="D11726" t="inlineStr">
        <is>
          <t>GÄVLEBORGS LÄN</t>
        </is>
      </c>
      <c r="E11726" t="inlineStr">
        <is>
          <t>HOFORS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34013-2024</t>
        </is>
      </c>
      <c r="B11727" s="1" t="n">
        <v>45523</v>
      </c>
      <c r="C11727" s="1" t="n">
        <v>45677</v>
      </c>
      <c r="D11727" t="inlineStr">
        <is>
          <t>GÄVLEBORGS LÄN</t>
        </is>
      </c>
      <c r="E11727" t="inlineStr">
        <is>
          <t>SANDVIKEN</t>
        </is>
      </c>
      <c r="F11727" t="inlineStr">
        <is>
          <t>Bergvik skog öst AB</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33924-2024</t>
        </is>
      </c>
      <c r="B11728" s="1" t="n">
        <v>45523</v>
      </c>
      <c r="C11728" s="1" t="n">
        <v>45677</v>
      </c>
      <c r="D11728" t="inlineStr">
        <is>
          <t>GÄVLEBORGS LÄN</t>
        </is>
      </c>
      <c r="E11728" t="inlineStr">
        <is>
          <t>BOLLNÄS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33943-2024</t>
        </is>
      </c>
      <c r="B11729" s="1" t="n">
        <v>45523</v>
      </c>
      <c r="C11729" s="1" t="n">
        <v>45677</v>
      </c>
      <c r="D11729" t="inlineStr">
        <is>
          <t>GÄVLEBORGS LÄN</t>
        </is>
      </c>
      <c r="E11729" t="inlineStr">
        <is>
          <t>BOLLNÄS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33947-2024</t>
        </is>
      </c>
      <c r="B11730" s="1" t="n">
        <v>45523</v>
      </c>
      <c r="C11730" s="1" t="n">
        <v>45677</v>
      </c>
      <c r="D11730" t="inlineStr">
        <is>
          <t>GÄVLEBORGS LÄN</t>
        </is>
      </c>
      <c r="E11730" t="inlineStr">
        <is>
          <t>LJUSDAL</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33968-2024</t>
        </is>
      </c>
      <c r="B11731" s="1" t="n">
        <v>45523</v>
      </c>
      <c r="C11731" s="1" t="n">
        <v>45677</v>
      </c>
      <c r="D11731" t="inlineStr">
        <is>
          <t>GÄVLEBORGS LÄN</t>
        </is>
      </c>
      <c r="E11731" t="inlineStr">
        <is>
          <t>HUDIKSVALL</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33978-2024</t>
        </is>
      </c>
      <c r="B11732" s="1" t="n">
        <v>45523</v>
      </c>
      <c r="C11732" s="1" t="n">
        <v>45677</v>
      </c>
      <c r="D11732" t="inlineStr">
        <is>
          <t>GÄVLEBORGS LÄN</t>
        </is>
      </c>
      <c r="E11732" t="inlineStr">
        <is>
          <t>HOFORS</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33981-2024</t>
        </is>
      </c>
      <c r="B11733" s="1" t="n">
        <v>45523</v>
      </c>
      <c r="C11733" s="1" t="n">
        <v>45677</v>
      </c>
      <c r="D11733" t="inlineStr">
        <is>
          <t>GÄVLEBORGS LÄN</t>
        </is>
      </c>
      <c r="E11733" t="inlineStr">
        <is>
          <t>HOFORS</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33985-2024</t>
        </is>
      </c>
      <c r="B11734" s="1" t="n">
        <v>45523</v>
      </c>
      <c r="C11734" s="1" t="n">
        <v>45677</v>
      </c>
      <c r="D11734" t="inlineStr">
        <is>
          <t>GÄVLEBORGS LÄN</t>
        </is>
      </c>
      <c r="E11734" t="inlineStr">
        <is>
          <t>HOFORS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34032-2024</t>
        </is>
      </c>
      <c r="B11735" s="1" t="n">
        <v>45523</v>
      </c>
      <c r="C11735" s="1" t="n">
        <v>45677</v>
      </c>
      <c r="D11735" t="inlineStr">
        <is>
          <t>GÄVLEBORGS LÄN</t>
        </is>
      </c>
      <c r="E11735" t="inlineStr">
        <is>
          <t>LJUSDAL</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34054-2024</t>
        </is>
      </c>
      <c r="B11736" s="1" t="n">
        <v>45523</v>
      </c>
      <c r="C11736" s="1" t="n">
        <v>45677</v>
      </c>
      <c r="D11736" t="inlineStr">
        <is>
          <t>GÄVLEBORGS LÄN</t>
        </is>
      </c>
      <c r="E11736" t="inlineStr">
        <is>
          <t>SANDVIKEN</t>
        </is>
      </c>
      <c r="F11736" t="inlineStr">
        <is>
          <t>Bergvik skog öst AB</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34059-2024</t>
        </is>
      </c>
      <c r="B11737" s="1" t="n">
        <v>45523</v>
      </c>
      <c r="C11737" s="1" t="n">
        <v>45677</v>
      </c>
      <c r="D11737" t="inlineStr">
        <is>
          <t>GÄVLEBORGS LÄN</t>
        </is>
      </c>
      <c r="E11737" t="inlineStr">
        <is>
          <t>SANDVIKEN</t>
        </is>
      </c>
      <c r="F11737" t="inlineStr">
        <is>
          <t>Bergvik skog öst AB</t>
        </is>
      </c>
      <c r="G11737" t="n">
        <v>15.1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34084-2024</t>
        </is>
      </c>
      <c r="B11738" s="1" t="n">
        <v>45523</v>
      </c>
      <c r="C11738" s="1" t="n">
        <v>45677</v>
      </c>
      <c r="D11738" t="inlineStr">
        <is>
          <t>GÄVLEBORGS LÄN</t>
        </is>
      </c>
      <c r="E11738" t="inlineStr">
        <is>
          <t>LJUSDAL</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34229-2024</t>
        </is>
      </c>
      <c r="B11739" s="1" t="n">
        <v>45524</v>
      </c>
      <c r="C11739" s="1" t="n">
        <v>45677</v>
      </c>
      <c r="D11739" t="inlineStr">
        <is>
          <t>GÄVLEBORGS LÄN</t>
        </is>
      </c>
      <c r="E11739" t="inlineStr">
        <is>
          <t>LJUSDAL</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34265-2024</t>
        </is>
      </c>
      <c r="B11740" s="1" t="n">
        <v>45524</v>
      </c>
      <c r="C11740" s="1" t="n">
        <v>45677</v>
      </c>
      <c r="D11740" t="inlineStr">
        <is>
          <t>GÄVLEBORGS LÄN</t>
        </is>
      </c>
      <c r="E11740" t="inlineStr">
        <is>
          <t>LJUSDAL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34269-2024</t>
        </is>
      </c>
      <c r="B11741" s="1" t="n">
        <v>45524</v>
      </c>
      <c r="C11741" s="1" t="n">
        <v>45677</v>
      </c>
      <c r="D11741" t="inlineStr">
        <is>
          <t>GÄVLEBORGS LÄN</t>
        </is>
      </c>
      <c r="E11741" t="inlineStr">
        <is>
          <t>GÄVLE</t>
        </is>
      </c>
      <c r="F11741" t="inlineStr">
        <is>
          <t>Bergvik skog väst AB</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34278-2024</t>
        </is>
      </c>
      <c r="B11742" s="1" t="n">
        <v>45524</v>
      </c>
      <c r="C11742" s="1" t="n">
        <v>45677</v>
      </c>
      <c r="D11742" t="inlineStr">
        <is>
          <t>GÄVLEBORGS LÄN</t>
        </is>
      </c>
      <c r="E11742" t="inlineStr">
        <is>
          <t>OCKELBO</t>
        </is>
      </c>
      <c r="F11742" t="inlineStr">
        <is>
          <t>Bergvik skog väst AB</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34294-2024</t>
        </is>
      </c>
      <c r="B11743" s="1" t="n">
        <v>45524</v>
      </c>
      <c r="C11743" s="1" t="n">
        <v>45677</v>
      </c>
      <c r="D11743" t="inlineStr">
        <is>
          <t>GÄVLEBORGS LÄN</t>
        </is>
      </c>
      <c r="E11743" t="inlineStr">
        <is>
          <t>LJUSDAL</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34165-2024</t>
        </is>
      </c>
      <c r="B11744" s="1" t="n">
        <v>45524</v>
      </c>
      <c r="C11744" s="1" t="n">
        <v>45677</v>
      </c>
      <c r="D11744" t="inlineStr">
        <is>
          <t>GÄVLEBORGS LÄN</t>
        </is>
      </c>
      <c r="E11744" t="inlineStr">
        <is>
          <t>LJUSDAL</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34231-2024</t>
        </is>
      </c>
      <c r="B11745" s="1" t="n">
        <v>45524</v>
      </c>
      <c r="C11745" s="1" t="n">
        <v>45677</v>
      </c>
      <c r="D11745" t="inlineStr">
        <is>
          <t>GÄVLEBORGS LÄN</t>
        </is>
      </c>
      <c r="E11745" t="inlineStr">
        <is>
          <t>LJUSDAL</t>
        </is>
      </c>
      <c r="F11745" t="inlineStr">
        <is>
          <t>Sveaskog</t>
        </is>
      </c>
      <c r="G11745" t="n">
        <v>11.2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34128-2024</t>
        </is>
      </c>
      <c r="B11746" s="1" t="n">
        <v>45524</v>
      </c>
      <c r="C11746" s="1" t="n">
        <v>45677</v>
      </c>
      <c r="D11746" t="inlineStr">
        <is>
          <t>GÄVLEBORGS LÄN</t>
        </is>
      </c>
      <c r="E11746" t="inlineStr">
        <is>
          <t>HUDIKSVALL</t>
        </is>
      </c>
      <c r="F11746" t="inlineStr">
        <is>
          <t>Holmen skog AB</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34230-2024</t>
        </is>
      </c>
      <c r="B11747" s="1" t="n">
        <v>45524</v>
      </c>
      <c r="C11747" s="1" t="n">
        <v>45677</v>
      </c>
      <c r="D11747" t="inlineStr">
        <is>
          <t>GÄVLEBORGS LÄN</t>
        </is>
      </c>
      <c r="E11747" t="inlineStr">
        <is>
          <t>LJUSDAL</t>
        </is>
      </c>
      <c r="F11747" t="inlineStr">
        <is>
          <t>Sveaskog</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34234-2024</t>
        </is>
      </c>
      <c r="B11748" s="1" t="n">
        <v>45524</v>
      </c>
      <c r="C11748" s="1" t="n">
        <v>45677</v>
      </c>
      <c r="D11748" t="inlineStr">
        <is>
          <t>GÄVLEBORGS LÄN</t>
        </is>
      </c>
      <c r="E11748" t="inlineStr">
        <is>
          <t>LJUSDAL</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34250-2024</t>
        </is>
      </c>
      <c r="B11749" s="1" t="n">
        <v>45524</v>
      </c>
      <c r="C11749" s="1" t="n">
        <v>45677</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34293-2024</t>
        </is>
      </c>
      <c r="B11750" s="1" t="n">
        <v>45524</v>
      </c>
      <c r="C11750" s="1" t="n">
        <v>45677</v>
      </c>
      <c r="D11750" t="inlineStr">
        <is>
          <t>GÄVLEBORGS LÄN</t>
        </is>
      </c>
      <c r="E11750" t="inlineStr">
        <is>
          <t>HUDIKSVALL</t>
        </is>
      </c>
      <c r="F11750" t="inlineStr">
        <is>
          <t>Holmen skog AB</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34284-2024</t>
        </is>
      </c>
      <c r="B11751" s="1" t="n">
        <v>45524</v>
      </c>
      <c r="C11751" s="1" t="n">
        <v>45677</v>
      </c>
      <c r="D11751" t="inlineStr">
        <is>
          <t>GÄVLEBORGS LÄN</t>
        </is>
      </c>
      <c r="E11751" t="inlineStr">
        <is>
          <t>HUDIKSVALL</t>
        </is>
      </c>
      <c r="F11751" t="inlineStr">
        <is>
          <t>Holmen skog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34437-2024</t>
        </is>
      </c>
      <c r="B11752" s="1" t="n">
        <v>45525</v>
      </c>
      <c r="C11752" s="1" t="n">
        <v>45677</v>
      </c>
      <c r="D11752" t="inlineStr">
        <is>
          <t>GÄVLEBORGS LÄN</t>
        </is>
      </c>
      <c r="E11752" t="inlineStr">
        <is>
          <t>SANDVIKEN</t>
        </is>
      </c>
      <c r="F11752" t="inlineStr">
        <is>
          <t>Bergvik skog öst AB</t>
        </is>
      </c>
      <c r="G11752" t="n">
        <v>9.800000000000001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34485-2024</t>
        </is>
      </c>
      <c r="B11753" s="1" t="n">
        <v>45525</v>
      </c>
      <c r="C11753" s="1" t="n">
        <v>45677</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34349-2024</t>
        </is>
      </c>
      <c r="B11754" s="1" t="n">
        <v>45525</v>
      </c>
      <c r="C11754" s="1" t="n">
        <v>45677</v>
      </c>
      <c r="D11754" t="inlineStr">
        <is>
          <t>GÄVLEBORGS LÄN</t>
        </is>
      </c>
      <c r="E11754" t="inlineStr">
        <is>
          <t>BOLLNÄS</t>
        </is>
      </c>
      <c r="G11754" t="n">
        <v>5</v>
      </c>
      <c r="H11754" t="n">
        <v>0</v>
      </c>
      <c r="I11754" t="n">
        <v>0</v>
      </c>
      <c r="J11754" t="n">
        <v>0</v>
      </c>
      <c r="K11754" t="n">
        <v>0</v>
      </c>
      <c r="L11754" t="n">
        <v>0</v>
      </c>
      <c r="M11754" t="n">
        <v>0</v>
      </c>
      <c r="N11754" t="n">
        <v>0</v>
      </c>
      <c r="O11754" t="n">
        <v>0</v>
      </c>
      <c r="P11754" t="n">
        <v>0</v>
      </c>
      <c r="Q11754" t="n">
        <v>0</v>
      </c>
      <c r="R11754" s="2" t="inlineStr"/>
      <c r="U11754">
        <f>HYPERLINK("https://klasma.github.io/Logging_2183/knärot/A 34349-2024 karta knärot.png", "A 34349-2024")</f>
        <v/>
      </c>
      <c r="V11754">
        <f>HYPERLINK("https://klasma.github.io/Logging_2183/klagomål/A 34349-2024 FSC-klagomål.docx", "A 34349-2024")</f>
        <v/>
      </c>
      <c r="W11754">
        <f>HYPERLINK("https://klasma.github.io/Logging_2183/klagomålsmail/A 34349-2024 FSC-klagomål mail.docx", "A 34349-2024")</f>
        <v/>
      </c>
      <c r="X11754">
        <f>HYPERLINK("https://klasma.github.io/Logging_2183/tillsyn/A 34349-2024 tillsynsbegäran.docx", "A 34349-2024")</f>
        <v/>
      </c>
      <c r="Y11754">
        <f>HYPERLINK("https://klasma.github.io/Logging_2183/tillsynsmail/A 34349-2024 tillsynsbegäran mail.docx", "A 34349-2024")</f>
        <v/>
      </c>
    </row>
    <row r="11755" ht="15" customHeight="1">
      <c r="A11755" t="inlineStr">
        <is>
          <t>A 34370-2024</t>
        </is>
      </c>
      <c r="B11755" s="1" t="n">
        <v>45525</v>
      </c>
      <c r="C11755" s="1" t="n">
        <v>45677</v>
      </c>
      <c r="D11755" t="inlineStr">
        <is>
          <t>GÄVLEBORGS LÄN</t>
        </is>
      </c>
      <c r="E11755" t="inlineStr">
        <is>
          <t>NORDANSTIG</t>
        </is>
      </c>
      <c r="F11755" t="inlineStr">
        <is>
          <t>Holmen skog AB</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34382-2024</t>
        </is>
      </c>
      <c r="B11756" s="1" t="n">
        <v>45525</v>
      </c>
      <c r="C11756" s="1" t="n">
        <v>45677</v>
      </c>
      <c r="D11756" t="inlineStr">
        <is>
          <t>GÄVLEBORGS LÄN</t>
        </is>
      </c>
      <c r="E11756" t="inlineStr">
        <is>
          <t>LJUSDAL</t>
        </is>
      </c>
      <c r="F11756" t="inlineStr">
        <is>
          <t>Holmen skog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34451-2024</t>
        </is>
      </c>
      <c r="B11757" s="1" t="n">
        <v>45525</v>
      </c>
      <c r="C11757" s="1" t="n">
        <v>45677</v>
      </c>
      <c r="D11757" t="inlineStr">
        <is>
          <t>GÄVLEBORGS LÄN</t>
        </is>
      </c>
      <c r="E11757" t="inlineStr">
        <is>
          <t>OVANÅKER</t>
        </is>
      </c>
      <c r="F11757" t="inlineStr">
        <is>
          <t>Bergvik skog öst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34430-2024</t>
        </is>
      </c>
      <c r="B11758" s="1" t="n">
        <v>45525</v>
      </c>
      <c r="C11758" s="1" t="n">
        <v>45677</v>
      </c>
      <c r="D11758" t="inlineStr">
        <is>
          <t>GÄVLEBORGS LÄN</t>
        </is>
      </c>
      <c r="E11758" t="inlineStr">
        <is>
          <t>SANDVIKEN</t>
        </is>
      </c>
      <c r="F11758" t="inlineStr">
        <is>
          <t>Bergvik skog öst AB</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34438-2024</t>
        </is>
      </c>
      <c r="B11759" s="1" t="n">
        <v>45525</v>
      </c>
      <c r="C11759" s="1" t="n">
        <v>45677</v>
      </c>
      <c r="D11759" t="inlineStr">
        <is>
          <t>GÄVLEBORGS LÄN</t>
        </is>
      </c>
      <c r="E11759" t="inlineStr">
        <is>
          <t>BOLLNÄS</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34478-2024</t>
        </is>
      </c>
      <c r="B11760" s="1" t="n">
        <v>45525</v>
      </c>
      <c r="C11760" s="1" t="n">
        <v>45677</v>
      </c>
      <c r="D11760" t="inlineStr">
        <is>
          <t>GÄVLEBORGS LÄN</t>
        </is>
      </c>
      <c r="E11760" t="inlineStr">
        <is>
          <t>HUDIKSVALL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34490-2024</t>
        </is>
      </c>
      <c r="B11761" s="1" t="n">
        <v>45525</v>
      </c>
      <c r="C11761" s="1" t="n">
        <v>45677</v>
      </c>
      <c r="D11761" t="inlineStr">
        <is>
          <t>GÄVLEBORGS LÄN</t>
        </is>
      </c>
      <c r="E11761" t="inlineStr">
        <is>
          <t>OVANÅKER</t>
        </is>
      </c>
      <c r="F11761" t="inlineStr">
        <is>
          <t>Bergvik skog öst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34502-2024</t>
        </is>
      </c>
      <c r="B11762" s="1" t="n">
        <v>45525</v>
      </c>
      <c r="C11762" s="1" t="n">
        <v>45677</v>
      </c>
      <c r="D11762" t="inlineStr">
        <is>
          <t>GÄVLEBORGS LÄN</t>
        </is>
      </c>
      <c r="E11762" t="inlineStr">
        <is>
          <t>NORDANSTIG</t>
        </is>
      </c>
      <c r="F11762" t="inlineStr">
        <is>
          <t>Holmen skog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34558-2024</t>
        </is>
      </c>
      <c r="B11763" s="1" t="n">
        <v>45526</v>
      </c>
      <c r="C11763" s="1" t="n">
        <v>45677</v>
      </c>
      <c r="D11763" t="inlineStr">
        <is>
          <t>GÄVLEBORGS LÄN</t>
        </is>
      </c>
      <c r="E11763" t="inlineStr">
        <is>
          <t>BOLLNÄS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34429-2024</t>
        </is>
      </c>
      <c r="B11764" s="1" t="n">
        <v>45525</v>
      </c>
      <c r="C11764" s="1" t="n">
        <v>45677</v>
      </c>
      <c r="D11764" t="inlineStr">
        <is>
          <t>GÄVLEBORGS LÄN</t>
        </is>
      </c>
      <c r="E11764" t="inlineStr">
        <is>
          <t>SANDVIKEN</t>
        </is>
      </c>
      <c r="F11764" t="inlineStr">
        <is>
          <t>Bergvik skog öst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34338-2024</t>
        </is>
      </c>
      <c r="B11765" s="1" t="n">
        <v>45525</v>
      </c>
      <c r="C11765" s="1" t="n">
        <v>45677</v>
      </c>
      <c r="D11765" t="inlineStr">
        <is>
          <t>GÄVLEBORGS LÄN</t>
        </is>
      </c>
      <c r="E11765" t="inlineStr">
        <is>
          <t>LJUSDAL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34392-2024</t>
        </is>
      </c>
      <c r="B11766" s="1" t="n">
        <v>45525</v>
      </c>
      <c r="C11766" s="1" t="n">
        <v>45677</v>
      </c>
      <c r="D11766" t="inlineStr">
        <is>
          <t>GÄVLEBORGS LÄN</t>
        </is>
      </c>
      <c r="E11766" t="inlineStr">
        <is>
          <t>OVANÅKER</t>
        </is>
      </c>
      <c r="F11766" t="inlineStr">
        <is>
          <t>Bergvik skog väst AB</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34379-2024</t>
        </is>
      </c>
      <c r="B11767" s="1" t="n">
        <v>45525</v>
      </c>
      <c r="C11767" s="1" t="n">
        <v>45677</v>
      </c>
      <c r="D11767" t="inlineStr">
        <is>
          <t>GÄVLEBORGS LÄN</t>
        </is>
      </c>
      <c r="E11767" t="inlineStr">
        <is>
          <t>OVANÅKER</t>
        </is>
      </c>
      <c r="F11767" t="inlineStr">
        <is>
          <t>Bergvik skog öst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34387-2024</t>
        </is>
      </c>
      <c r="B11768" s="1" t="n">
        <v>45525</v>
      </c>
      <c r="C11768" s="1" t="n">
        <v>45677</v>
      </c>
      <c r="D11768" t="inlineStr">
        <is>
          <t>GÄVLEBORGS LÄN</t>
        </is>
      </c>
      <c r="E11768" t="inlineStr">
        <is>
          <t>GÄVLE</t>
        </is>
      </c>
      <c r="F11768" t="inlineStr">
        <is>
          <t>Bergvik skog väst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34511-2024</t>
        </is>
      </c>
      <c r="B11769" s="1" t="n">
        <v>45525</v>
      </c>
      <c r="C11769" s="1" t="n">
        <v>45677</v>
      </c>
      <c r="D11769" t="inlineStr">
        <is>
          <t>GÄVLEBORGS LÄN</t>
        </is>
      </c>
      <c r="E11769" t="inlineStr">
        <is>
          <t>HUDIKSVALL</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34381-2024</t>
        </is>
      </c>
      <c r="B11770" s="1" t="n">
        <v>45525</v>
      </c>
      <c r="C11770" s="1" t="n">
        <v>45677</v>
      </c>
      <c r="D11770" t="inlineStr">
        <is>
          <t>GÄVLEBORGS LÄN</t>
        </is>
      </c>
      <c r="E11770" t="inlineStr">
        <is>
          <t>GÄVLE</t>
        </is>
      </c>
      <c r="F11770" t="inlineStr">
        <is>
          <t>Bergvik skog väst AB</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34610-2024</t>
        </is>
      </c>
      <c r="B11771" s="1" t="n">
        <v>45526</v>
      </c>
      <c r="C11771" s="1" t="n">
        <v>45677</v>
      </c>
      <c r="D11771" t="inlineStr">
        <is>
          <t>GÄVLEBORGS LÄN</t>
        </is>
      </c>
      <c r="E11771" t="inlineStr">
        <is>
          <t>BOLLNÄS</t>
        </is>
      </c>
      <c r="F11771" t="inlineStr">
        <is>
          <t>Sveaskog</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34668-2024</t>
        </is>
      </c>
      <c r="B11772" s="1" t="n">
        <v>45526</v>
      </c>
      <c r="C11772" s="1" t="n">
        <v>45677</v>
      </c>
      <c r="D11772" t="inlineStr">
        <is>
          <t>GÄVLEBORGS LÄN</t>
        </is>
      </c>
      <c r="E11772" t="inlineStr">
        <is>
          <t>GÄVLE</t>
        </is>
      </c>
      <c r="F11772" t="inlineStr">
        <is>
          <t>Bergvik skog väst AB</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34672-2024</t>
        </is>
      </c>
      <c r="B11773" s="1" t="n">
        <v>45526</v>
      </c>
      <c r="C11773" s="1" t="n">
        <v>45677</v>
      </c>
      <c r="D11773" t="inlineStr">
        <is>
          <t>GÄVLEBORGS LÄN</t>
        </is>
      </c>
      <c r="E11773" t="inlineStr">
        <is>
          <t>LJUSDAL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34590-2024</t>
        </is>
      </c>
      <c r="B11774" s="1" t="n">
        <v>45526</v>
      </c>
      <c r="C11774" s="1" t="n">
        <v>45677</v>
      </c>
      <c r="D11774" t="inlineStr">
        <is>
          <t>GÄVLEBORGS LÄN</t>
        </is>
      </c>
      <c r="E11774" t="inlineStr">
        <is>
          <t>SANDVIKEN</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34595-2024</t>
        </is>
      </c>
      <c r="B11775" s="1" t="n">
        <v>45526</v>
      </c>
      <c r="C11775" s="1" t="n">
        <v>45677</v>
      </c>
      <c r="D11775" t="inlineStr">
        <is>
          <t>GÄVLEBORGS LÄN</t>
        </is>
      </c>
      <c r="E11775" t="inlineStr">
        <is>
          <t>SANDVIKEN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34669-2024</t>
        </is>
      </c>
      <c r="B11776" s="1" t="n">
        <v>45526</v>
      </c>
      <c r="C11776" s="1" t="n">
        <v>45677</v>
      </c>
      <c r="D11776" t="inlineStr">
        <is>
          <t>GÄVLEBORGS LÄN</t>
        </is>
      </c>
      <c r="E11776" t="inlineStr">
        <is>
          <t>GÄVLE</t>
        </is>
      </c>
      <c r="F11776" t="inlineStr">
        <is>
          <t>Bergvik skog väst AB</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34677-2024</t>
        </is>
      </c>
      <c r="B11777" s="1" t="n">
        <v>45526</v>
      </c>
      <c r="C11777" s="1" t="n">
        <v>45677</v>
      </c>
      <c r="D11777" t="inlineStr">
        <is>
          <t>GÄVLEBORGS LÄN</t>
        </is>
      </c>
      <c r="E11777" t="inlineStr">
        <is>
          <t>LJUSDAL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34767-2024</t>
        </is>
      </c>
      <c r="B11778" s="1" t="n">
        <v>45526</v>
      </c>
      <c r="C11778" s="1" t="n">
        <v>45677</v>
      </c>
      <c r="D11778" t="inlineStr">
        <is>
          <t>GÄVLEBORGS LÄN</t>
        </is>
      </c>
      <c r="E11778" t="inlineStr">
        <is>
          <t>GÄVLE</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34787-2024</t>
        </is>
      </c>
      <c r="B11779" s="1" t="n">
        <v>45526</v>
      </c>
      <c r="C11779" s="1" t="n">
        <v>45677</v>
      </c>
      <c r="D11779" t="inlineStr">
        <is>
          <t>GÄVLEBORGS LÄN</t>
        </is>
      </c>
      <c r="E11779" t="inlineStr">
        <is>
          <t>LJUSDAL</t>
        </is>
      </c>
      <c r="F11779" t="inlineStr">
        <is>
          <t>Sveaskog</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34613-2024</t>
        </is>
      </c>
      <c r="B11780" s="1" t="n">
        <v>45526</v>
      </c>
      <c r="C11780" s="1" t="n">
        <v>45677</v>
      </c>
      <c r="D11780" t="inlineStr">
        <is>
          <t>GÄVLEBORGS LÄN</t>
        </is>
      </c>
      <c r="E11780" t="inlineStr">
        <is>
          <t>BOLLNÄS</t>
        </is>
      </c>
      <c r="F11780" t="inlineStr">
        <is>
          <t>Sveaskog</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34617-2024</t>
        </is>
      </c>
      <c r="B11781" s="1" t="n">
        <v>45526</v>
      </c>
      <c r="C11781" s="1" t="n">
        <v>45677</v>
      </c>
      <c r="D11781" t="inlineStr">
        <is>
          <t>GÄVLEBORGS LÄN</t>
        </is>
      </c>
      <c r="E11781" t="inlineStr">
        <is>
          <t>LJUSDAL</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34703-2024</t>
        </is>
      </c>
      <c r="B11782" s="1" t="n">
        <v>45526</v>
      </c>
      <c r="C11782" s="1" t="n">
        <v>45677</v>
      </c>
      <c r="D11782" t="inlineStr">
        <is>
          <t>GÄVLEBORGS LÄN</t>
        </is>
      </c>
      <c r="E11782" t="inlineStr">
        <is>
          <t>HUDIKSVALL</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34753-2024</t>
        </is>
      </c>
      <c r="B11783" s="1" t="n">
        <v>45526</v>
      </c>
      <c r="C11783" s="1" t="n">
        <v>45677</v>
      </c>
      <c r="D11783" t="inlineStr">
        <is>
          <t>GÄVLEBORGS LÄN</t>
        </is>
      </c>
      <c r="E11783" t="inlineStr">
        <is>
          <t>LJUSDAL</t>
        </is>
      </c>
      <c r="F11783" t="inlineStr">
        <is>
          <t>Sveaskog</t>
        </is>
      </c>
      <c r="G11783" t="n">
        <v>3.2</v>
      </c>
      <c r="H11783" t="n">
        <v>0</v>
      </c>
      <c r="I11783" t="n">
        <v>0</v>
      </c>
      <c r="J11783" t="n">
        <v>0</v>
      </c>
      <c r="K11783" t="n">
        <v>0</v>
      </c>
      <c r="L11783" t="n">
        <v>0</v>
      </c>
      <c r="M11783" t="n">
        <v>0</v>
      </c>
      <c r="N11783" t="n">
        <v>0</v>
      </c>
      <c r="O11783" t="n">
        <v>0</v>
      </c>
      <c r="P11783" t="n">
        <v>0</v>
      </c>
      <c r="Q11783" t="n">
        <v>0</v>
      </c>
      <c r="R11783" s="2" t="inlineStr"/>
      <c r="U11783">
        <f>HYPERLINK("https://klasma.github.io/Logging_2161/knärot/A 34753-2024 karta knärot.png", "A 34753-2024")</f>
        <v/>
      </c>
      <c r="V11783">
        <f>HYPERLINK("https://klasma.github.io/Logging_2161/klagomål/A 34753-2024 FSC-klagomål.docx", "A 34753-2024")</f>
        <v/>
      </c>
      <c r="W11783">
        <f>HYPERLINK("https://klasma.github.io/Logging_2161/klagomålsmail/A 34753-2024 FSC-klagomål mail.docx", "A 34753-2024")</f>
        <v/>
      </c>
      <c r="X11783">
        <f>HYPERLINK("https://klasma.github.io/Logging_2161/tillsyn/A 34753-2024 tillsynsbegäran.docx", "A 34753-2024")</f>
        <v/>
      </c>
      <c r="Y11783">
        <f>HYPERLINK("https://klasma.github.io/Logging_2161/tillsynsmail/A 34753-2024 tillsynsbegäran mail.docx", "A 34753-2024")</f>
        <v/>
      </c>
    </row>
    <row r="11784" ht="15" customHeight="1">
      <c r="A11784" t="inlineStr">
        <is>
          <t>A 34785-2024</t>
        </is>
      </c>
      <c r="B11784" s="1" t="n">
        <v>45526</v>
      </c>
      <c r="C11784" s="1" t="n">
        <v>45677</v>
      </c>
      <c r="D11784" t="inlineStr">
        <is>
          <t>GÄVLEBORGS LÄN</t>
        </is>
      </c>
      <c r="E11784" t="inlineStr">
        <is>
          <t>LJUSDAL</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34826-2024</t>
        </is>
      </c>
      <c r="B11785" s="1" t="n">
        <v>45526</v>
      </c>
      <c r="C11785" s="1" t="n">
        <v>45677</v>
      </c>
      <c r="D11785" t="inlineStr">
        <is>
          <t>GÄVLEBORGS LÄN</t>
        </is>
      </c>
      <c r="E11785" t="inlineStr">
        <is>
          <t>SÖDERHAMN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34682-2024</t>
        </is>
      </c>
      <c r="B11786" s="1" t="n">
        <v>45526</v>
      </c>
      <c r="C11786" s="1" t="n">
        <v>45677</v>
      </c>
      <c r="D11786" t="inlineStr">
        <is>
          <t>GÄVLEBORGS LÄN</t>
        </is>
      </c>
      <c r="E11786" t="inlineStr">
        <is>
          <t>LJUSDAL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34678-2024</t>
        </is>
      </c>
      <c r="B11787" s="1" t="n">
        <v>45526</v>
      </c>
      <c r="C11787" s="1" t="n">
        <v>45677</v>
      </c>
      <c r="D11787" t="inlineStr">
        <is>
          <t>GÄVLEBORGS LÄN</t>
        </is>
      </c>
      <c r="E11787" t="inlineStr">
        <is>
          <t>SANDVIKEN</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34666-2024</t>
        </is>
      </c>
      <c r="B11788" s="1" t="n">
        <v>45526</v>
      </c>
      <c r="C11788" s="1" t="n">
        <v>45677</v>
      </c>
      <c r="D11788" t="inlineStr">
        <is>
          <t>GÄVLEBORGS LÄN</t>
        </is>
      </c>
      <c r="E11788" t="inlineStr">
        <is>
          <t>GÄVLE</t>
        </is>
      </c>
      <c r="F11788" t="inlineStr">
        <is>
          <t>Bergvik skog väst AB</t>
        </is>
      </c>
      <c r="G11788" t="n">
        <v>7.8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34620-2024</t>
        </is>
      </c>
      <c r="B11789" s="1" t="n">
        <v>45526</v>
      </c>
      <c r="C11789" s="1" t="n">
        <v>45677</v>
      </c>
      <c r="D11789" t="inlineStr">
        <is>
          <t>GÄVLEBORGS LÄN</t>
        </is>
      </c>
      <c r="E11789" t="inlineStr">
        <is>
          <t>HUDIKSVALL</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34600-2024</t>
        </is>
      </c>
      <c r="B11790" s="1" t="n">
        <v>45526</v>
      </c>
      <c r="C11790" s="1" t="n">
        <v>45677</v>
      </c>
      <c r="D11790" t="inlineStr">
        <is>
          <t>GÄVLEBORGS LÄN</t>
        </is>
      </c>
      <c r="E11790" t="inlineStr">
        <is>
          <t>GÄVLE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34792-2024</t>
        </is>
      </c>
      <c r="B11791" s="1" t="n">
        <v>45526</v>
      </c>
      <c r="C11791" s="1" t="n">
        <v>45677</v>
      </c>
      <c r="D11791" t="inlineStr">
        <is>
          <t>GÄVLEBORGS LÄN</t>
        </is>
      </c>
      <c r="E11791" t="inlineStr">
        <is>
          <t>OCKELBO</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34752-2024</t>
        </is>
      </c>
      <c r="B11792" s="1" t="n">
        <v>45526</v>
      </c>
      <c r="C11792" s="1" t="n">
        <v>45677</v>
      </c>
      <c r="D11792" t="inlineStr">
        <is>
          <t>GÄVLEBORGS LÄN</t>
        </is>
      </c>
      <c r="E11792" t="inlineStr">
        <is>
          <t>SÖDERHAMN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34735-2024</t>
        </is>
      </c>
      <c r="B11793" s="1" t="n">
        <v>45526</v>
      </c>
      <c r="C11793" s="1" t="n">
        <v>45677</v>
      </c>
      <c r="D11793" t="inlineStr">
        <is>
          <t>GÄVLEBORGS LÄN</t>
        </is>
      </c>
      <c r="E11793" t="inlineStr">
        <is>
          <t>NORDANSTIG</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34570-2024</t>
        </is>
      </c>
      <c r="B11794" s="1" t="n">
        <v>45526</v>
      </c>
      <c r="C11794" s="1" t="n">
        <v>45677</v>
      </c>
      <c r="D11794" t="inlineStr">
        <is>
          <t>GÄVLEBORGS LÄN</t>
        </is>
      </c>
      <c r="E11794" t="inlineStr">
        <is>
          <t>OVANÅKER</t>
        </is>
      </c>
      <c r="F11794" t="inlineStr">
        <is>
          <t>Bergvik skog öst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34565-2024</t>
        </is>
      </c>
      <c r="B11795" s="1" t="n">
        <v>45526</v>
      </c>
      <c r="C11795" s="1" t="n">
        <v>45677</v>
      </c>
      <c r="D11795" t="inlineStr">
        <is>
          <t>GÄVLEBORGS LÄN</t>
        </is>
      </c>
      <c r="E11795" t="inlineStr">
        <is>
          <t>OVANÅKER</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35031-2024</t>
        </is>
      </c>
      <c r="B11796" s="1" t="n">
        <v>45527</v>
      </c>
      <c r="C11796" s="1" t="n">
        <v>45677</v>
      </c>
      <c r="D11796" t="inlineStr">
        <is>
          <t>GÄVLEBORGS LÄN</t>
        </is>
      </c>
      <c r="E11796" t="inlineStr">
        <is>
          <t>LJUSDAL</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35000-2024</t>
        </is>
      </c>
      <c r="B11797" s="1" t="n">
        <v>45527</v>
      </c>
      <c r="C11797" s="1" t="n">
        <v>45677</v>
      </c>
      <c r="D11797" t="inlineStr">
        <is>
          <t>GÄVLEBORGS LÄN</t>
        </is>
      </c>
      <c r="E11797" t="inlineStr">
        <is>
          <t>HUDIKSVALL</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35024-2024</t>
        </is>
      </c>
      <c r="B11798" s="1" t="n">
        <v>45527</v>
      </c>
      <c r="C11798" s="1" t="n">
        <v>45677</v>
      </c>
      <c r="D11798" t="inlineStr">
        <is>
          <t>GÄVLEBORGS LÄN</t>
        </is>
      </c>
      <c r="E11798" t="inlineStr">
        <is>
          <t>LJUSDAL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35032-2024</t>
        </is>
      </c>
      <c r="B11799" s="1" t="n">
        <v>45527</v>
      </c>
      <c r="C11799" s="1" t="n">
        <v>45677</v>
      </c>
      <c r="D11799" t="inlineStr">
        <is>
          <t>GÄVLEBORGS LÄN</t>
        </is>
      </c>
      <c r="E11799" t="inlineStr">
        <is>
          <t>GÄVLE</t>
        </is>
      </c>
      <c r="F11799" t="inlineStr">
        <is>
          <t>Bergvik skog väst AB</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35071-2024</t>
        </is>
      </c>
      <c r="B11800" s="1" t="n">
        <v>45527</v>
      </c>
      <c r="C11800" s="1" t="n">
        <v>45677</v>
      </c>
      <c r="D11800" t="inlineStr">
        <is>
          <t>GÄVLEBORGS LÄN</t>
        </is>
      </c>
      <c r="E11800" t="inlineStr">
        <is>
          <t>HUDIKSVALL</t>
        </is>
      </c>
      <c r="F11800" t="inlineStr">
        <is>
          <t>Holmen skog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34986-2024</t>
        </is>
      </c>
      <c r="B11801" s="1" t="n">
        <v>45527</v>
      </c>
      <c r="C11801" s="1" t="n">
        <v>45677</v>
      </c>
      <c r="D11801" t="inlineStr">
        <is>
          <t>GÄVLEBORGS LÄN</t>
        </is>
      </c>
      <c r="E11801" t="inlineStr">
        <is>
          <t>LJUSDAL</t>
        </is>
      </c>
      <c r="F11801" t="inlineStr">
        <is>
          <t>Sveaskog</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34982-2024</t>
        </is>
      </c>
      <c r="B11802" s="1" t="n">
        <v>45527</v>
      </c>
      <c r="C11802" s="1" t="n">
        <v>45677</v>
      </c>
      <c r="D11802" t="inlineStr">
        <is>
          <t>GÄVLEBORGS LÄN</t>
        </is>
      </c>
      <c r="E11802" t="inlineStr">
        <is>
          <t>HUDIKSVALL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34978-2024</t>
        </is>
      </c>
      <c r="B11803" s="1" t="n">
        <v>45527</v>
      </c>
      <c r="C11803" s="1" t="n">
        <v>45677</v>
      </c>
      <c r="D11803" t="inlineStr">
        <is>
          <t>GÄVLEBORGS LÄN</t>
        </is>
      </c>
      <c r="E11803" t="inlineStr">
        <is>
          <t>SÖDERHAMN</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34934-2024</t>
        </is>
      </c>
      <c r="B11804" s="1" t="n">
        <v>45527</v>
      </c>
      <c r="C11804" s="1" t="n">
        <v>45677</v>
      </c>
      <c r="D11804" t="inlineStr">
        <is>
          <t>GÄVLEBORGS LÄN</t>
        </is>
      </c>
      <c r="E11804" t="inlineStr">
        <is>
          <t>BOLLNÄS</t>
        </is>
      </c>
      <c r="F11804" t="inlineStr">
        <is>
          <t>Bergvik skog väst AB</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34846-2024</t>
        </is>
      </c>
      <c r="B11805" s="1" t="n">
        <v>45527</v>
      </c>
      <c r="C11805" s="1" t="n">
        <v>45677</v>
      </c>
      <c r="D11805" t="inlineStr">
        <is>
          <t>GÄVLEBORGS LÄN</t>
        </is>
      </c>
      <c r="E11805" t="inlineStr">
        <is>
          <t>BOLLNÄS</t>
        </is>
      </c>
      <c r="F11805" t="inlineStr">
        <is>
          <t>Bergvik skog väst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34856-2024</t>
        </is>
      </c>
      <c r="B11806" s="1" t="n">
        <v>45527</v>
      </c>
      <c r="C11806" s="1" t="n">
        <v>45677</v>
      </c>
      <c r="D11806" t="inlineStr">
        <is>
          <t>GÄVLEBORGS LÄN</t>
        </is>
      </c>
      <c r="E11806" t="inlineStr">
        <is>
          <t>BOLLNÄS</t>
        </is>
      </c>
      <c r="F11806" t="inlineStr">
        <is>
          <t>Bergvik skog väst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34920-2024</t>
        </is>
      </c>
      <c r="B11807" s="1" t="n">
        <v>45527</v>
      </c>
      <c r="C11807" s="1" t="n">
        <v>45677</v>
      </c>
      <c r="D11807" t="inlineStr">
        <is>
          <t>GÄVLEBORGS LÄN</t>
        </is>
      </c>
      <c r="E11807" t="inlineStr">
        <is>
          <t>HUDIKSVALL</t>
        </is>
      </c>
      <c r="F11807" t="inlineStr">
        <is>
          <t>Holmen skog AB</t>
        </is>
      </c>
      <c r="G11807" t="n">
        <v>21.9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35022-2024</t>
        </is>
      </c>
      <c r="B11808" s="1" t="n">
        <v>45527</v>
      </c>
      <c r="C11808" s="1" t="n">
        <v>45677</v>
      </c>
      <c r="D11808" t="inlineStr">
        <is>
          <t>GÄVLEBORGS LÄN</t>
        </is>
      </c>
      <c r="E11808" t="inlineStr">
        <is>
          <t>LJUSDAL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35026-2024</t>
        </is>
      </c>
      <c r="B11809" s="1" t="n">
        <v>45527</v>
      </c>
      <c r="C11809" s="1" t="n">
        <v>45677</v>
      </c>
      <c r="D11809" t="inlineStr">
        <is>
          <t>GÄVLEBORGS LÄN</t>
        </is>
      </c>
      <c r="E11809" t="inlineStr">
        <is>
          <t>HUDIKSVALL</t>
        </is>
      </c>
      <c r="F11809" t="inlineStr">
        <is>
          <t>Holmen skog AB</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34941-2024</t>
        </is>
      </c>
      <c r="B11810" s="1" t="n">
        <v>45527</v>
      </c>
      <c r="C11810" s="1" t="n">
        <v>45677</v>
      </c>
      <c r="D11810" t="inlineStr">
        <is>
          <t>GÄVLEBORGS LÄN</t>
        </is>
      </c>
      <c r="E11810" t="inlineStr">
        <is>
          <t>BOLLNÄS</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34889-2024</t>
        </is>
      </c>
      <c r="B11811" s="1" t="n">
        <v>45527</v>
      </c>
      <c r="C11811" s="1" t="n">
        <v>45677</v>
      </c>
      <c r="D11811" t="inlineStr">
        <is>
          <t>GÄVLEBORGS LÄN</t>
        </is>
      </c>
      <c r="E11811" t="inlineStr">
        <is>
          <t>HUDIKSVALL</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34873-2024</t>
        </is>
      </c>
      <c r="B11812" s="1" t="n">
        <v>45527</v>
      </c>
      <c r="C11812" s="1" t="n">
        <v>45677</v>
      </c>
      <c r="D11812" t="inlineStr">
        <is>
          <t>GÄVLEBORGS LÄN</t>
        </is>
      </c>
      <c r="E11812" t="inlineStr">
        <is>
          <t>HUDIKSVALL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34869-2024</t>
        </is>
      </c>
      <c r="B11813" s="1" t="n">
        <v>45527</v>
      </c>
      <c r="C11813" s="1" t="n">
        <v>45677</v>
      </c>
      <c r="D11813" t="inlineStr">
        <is>
          <t>GÄVLEBORGS LÄN</t>
        </is>
      </c>
      <c r="E11813" t="inlineStr">
        <is>
          <t>NORDANSTIG</t>
        </is>
      </c>
      <c r="F11813" t="inlineStr">
        <is>
          <t>Holmen skog AB</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34944-2024</t>
        </is>
      </c>
      <c r="B11814" s="1" t="n">
        <v>45527</v>
      </c>
      <c r="C11814" s="1" t="n">
        <v>45677</v>
      </c>
      <c r="D11814" t="inlineStr">
        <is>
          <t>GÄVLEBORGS LÄN</t>
        </is>
      </c>
      <c r="E11814" t="inlineStr">
        <is>
          <t>OCKELBO</t>
        </is>
      </c>
      <c r="F11814" t="inlineStr">
        <is>
          <t>Bergvik skog väst AB</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34964-2024</t>
        </is>
      </c>
      <c r="B11815" s="1" t="n">
        <v>45527</v>
      </c>
      <c r="C11815" s="1" t="n">
        <v>45677</v>
      </c>
      <c r="D11815" t="inlineStr">
        <is>
          <t>GÄVLEBORGS LÄN</t>
        </is>
      </c>
      <c r="E11815" t="inlineStr">
        <is>
          <t>LJUSDAL</t>
        </is>
      </c>
      <c r="F11815" t="inlineStr">
        <is>
          <t>Holmen skog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34972-2024</t>
        </is>
      </c>
      <c r="B11816" s="1" t="n">
        <v>45527</v>
      </c>
      <c r="C11816" s="1" t="n">
        <v>45677</v>
      </c>
      <c r="D11816" t="inlineStr">
        <is>
          <t>GÄVLEBORGS LÄN</t>
        </is>
      </c>
      <c r="E11816" t="inlineStr">
        <is>
          <t>LJUSDAL</t>
        </is>
      </c>
      <c r="F11816" t="inlineStr">
        <is>
          <t>Bergvik skog väst AB</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34976-2024</t>
        </is>
      </c>
      <c r="B11817" s="1" t="n">
        <v>45527</v>
      </c>
      <c r="C11817" s="1" t="n">
        <v>45677</v>
      </c>
      <c r="D11817" t="inlineStr">
        <is>
          <t>GÄVLEBORGS LÄN</t>
        </is>
      </c>
      <c r="E11817" t="inlineStr">
        <is>
          <t>SÖDERHAMN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34989-2024</t>
        </is>
      </c>
      <c r="B11818" s="1" t="n">
        <v>45527</v>
      </c>
      <c r="C11818" s="1" t="n">
        <v>45677</v>
      </c>
      <c r="D11818" t="inlineStr">
        <is>
          <t>GÄVLEBORGS LÄN</t>
        </is>
      </c>
      <c r="E11818" t="inlineStr">
        <is>
          <t>LJUSDAL</t>
        </is>
      </c>
      <c r="F11818" t="inlineStr">
        <is>
          <t>Sveaskog</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35009-2024</t>
        </is>
      </c>
      <c r="B11819" s="1" t="n">
        <v>45527</v>
      </c>
      <c r="C11819" s="1" t="n">
        <v>45677</v>
      </c>
      <c r="D11819" t="inlineStr">
        <is>
          <t>GÄVLEBORGS LÄN</t>
        </is>
      </c>
      <c r="E11819" t="inlineStr">
        <is>
          <t>BOLLNÄS</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35025-2024</t>
        </is>
      </c>
      <c r="B11820" s="1" t="n">
        <v>45527</v>
      </c>
      <c r="C11820" s="1" t="n">
        <v>45677</v>
      </c>
      <c r="D11820" t="inlineStr">
        <is>
          <t>GÄVLEBORGS LÄN</t>
        </is>
      </c>
      <c r="E11820" t="inlineStr">
        <is>
          <t>OVANÅKER</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35029-2024</t>
        </is>
      </c>
      <c r="B11821" s="1" t="n">
        <v>45527</v>
      </c>
      <c r="C11821" s="1" t="n">
        <v>45677</v>
      </c>
      <c r="D11821" t="inlineStr">
        <is>
          <t>GÄVLEBORGS LÄN</t>
        </is>
      </c>
      <c r="E11821" t="inlineStr">
        <is>
          <t>LJUSDAL</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35061-2024</t>
        </is>
      </c>
      <c r="B11822" s="1" t="n">
        <v>45527</v>
      </c>
      <c r="C11822" s="1" t="n">
        <v>45677</v>
      </c>
      <c r="D11822" t="inlineStr">
        <is>
          <t>GÄVLEBORGS LÄN</t>
        </is>
      </c>
      <c r="E11822" t="inlineStr">
        <is>
          <t>HUDIKSVALL</t>
        </is>
      </c>
      <c r="F11822" t="inlineStr">
        <is>
          <t>Holmen skog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35086-2024</t>
        </is>
      </c>
      <c r="B11823" s="1" t="n">
        <v>45527</v>
      </c>
      <c r="C11823" s="1" t="n">
        <v>45677</v>
      </c>
      <c r="D11823" t="inlineStr">
        <is>
          <t>GÄVLEBORGS LÄN</t>
        </is>
      </c>
      <c r="E11823" t="inlineStr">
        <is>
          <t>OVANÅKER</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35081-2024</t>
        </is>
      </c>
      <c r="B11824" s="1" t="n">
        <v>45527</v>
      </c>
      <c r="C11824" s="1" t="n">
        <v>45677</v>
      </c>
      <c r="D11824" t="inlineStr">
        <is>
          <t>GÄVLEBORGS LÄN</t>
        </is>
      </c>
      <c r="E11824" t="inlineStr">
        <is>
          <t>HUDIKSVALL</t>
        </is>
      </c>
      <c r="F11824" t="inlineStr">
        <is>
          <t>Holmen skog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34988-2024</t>
        </is>
      </c>
      <c r="B11825" s="1" t="n">
        <v>45527</v>
      </c>
      <c r="C11825" s="1" t="n">
        <v>45677</v>
      </c>
      <c r="D11825" t="inlineStr">
        <is>
          <t>GÄVLEBORGS LÄN</t>
        </is>
      </c>
      <c r="E11825" t="inlineStr">
        <is>
          <t>SÖDERHAMN</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34983-2024</t>
        </is>
      </c>
      <c r="B11826" s="1" t="n">
        <v>45527</v>
      </c>
      <c r="C11826" s="1" t="n">
        <v>45677</v>
      </c>
      <c r="D11826" t="inlineStr">
        <is>
          <t>GÄVLEBORGS LÄN</t>
        </is>
      </c>
      <c r="E11826" t="inlineStr">
        <is>
          <t>HUDIKSVALL</t>
        </is>
      </c>
      <c r="F11826" t="inlineStr">
        <is>
          <t>Holmen skog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34959-2024</t>
        </is>
      </c>
      <c r="B11827" s="1" t="n">
        <v>45527</v>
      </c>
      <c r="C11827" s="1" t="n">
        <v>45677</v>
      </c>
      <c r="D11827" t="inlineStr">
        <is>
          <t>GÄVLEBORGS LÄN</t>
        </is>
      </c>
      <c r="E11827" t="inlineStr">
        <is>
          <t>SÖDERHAMN</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34947-2024</t>
        </is>
      </c>
      <c r="B11828" s="1" t="n">
        <v>45527</v>
      </c>
      <c r="C11828" s="1" t="n">
        <v>45677</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34943-2024</t>
        </is>
      </c>
      <c r="B11829" s="1" t="n">
        <v>45527</v>
      </c>
      <c r="C11829" s="1" t="n">
        <v>45677</v>
      </c>
      <c r="D11829" t="inlineStr">
        <is>
          <t>GÄVLEBORGS LÄN</t>
        </is>
      </c>
      <c r="E11829" t="inlineStr">
        <is>
          <t>OVANÅKER</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34919-2024</t>
        </is>
      </c>
      <c r="B11830" s="1" t="n">
        <v>45527</v>
      </c>
      <c r="C11830" s="1" t="n">
        <v>45677</v>
      </c>
      <c r="D11830" t="inlineStr">
        <is>
          <t>GÄVLEBORGS LÄN</t>
        </is>
      </c>
      <c r="E11830" t="inlineStr">
        <is>
          <t>LJUSDAL</t>
        </is>
      </c>
      <c r="F11830" t="inlineStr">
        <is>
          <t>Holmen skog AB</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34899-2024</t>
        </is>
      </c>
      <c r="B11831" s="1" t="n">
        <v>45527</v>
      </c>
      <c r="C11831" s="1" t="n">
        <v>45677</v>
      </c>
      <c r="D11831" t="inlineStr">
        <is>
          <t>GÄVLEBORGS LÄN</t>
        </is>
      </c>
      <c r="E11831" t="inlineStr">
        <is>
          <t>HUDIKSVALL</t>
        </is>
      </c>
      <c r="G11831" t="n">
        <v>15.3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34867-2024</t>
        </is>
      </c>
      <c r="B11832" s="1" t="n">
        <v>45527</v>
      </c>
      <c r="C11832" s="1" t="n">
        <v>45677</v>
      </c>
      <c r="D11832" t="inlineStr">
        <is>
          <t>GÄVLEBORGS LÄN</t>
        </is>
      </c>
      <c r="E11832" t="inlineStr">
        <is>
          <t>BOLLNÄS</t>
        </is>
      </c>
      <c r="F11832" t="inlineStr">
        <is>
          <t>Bergvik skog väst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34847-2024</t>
        </is>
      </c>
      <c r="B11833" s="1" t="n">
        <v>45527</v>
      </c>
      <c r="C11833" s="1" t="n">
        <v>45677</v>
      </c>
      <c r="D11833" t="inlineStr">
        <is>
          <t>GÄVLEBORGS LÄN</t>
        </is>
      </c>
      <c r="E11833" t="inlineStr">
        <is>
          <t>LJUSDAL</t>
        </is>
      </c>
      <c r="F11833" t="inlineStr">
        <is>
          <t>Sveaskog</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35122-2024</t>
        </is>
      </c>
      <c r="B11834" s="1" t="n">
        <v>45530</v>
      </c>
      <c r="C11834" s="1" t="n">
        <v>45677</v>
      </c>
      <c r="D11834" t="inlineStr">
        <is>
          <t>GÄVLEBORGS LÄN</t>
        </is>
      </c>
      <c r="E11834" t="inlineStr">
        <is>
          <t>LJUSDAL</t>
        </is>
      </c>
      <c r="F11834" t="inlineStr">
        <is>
          <t>Sveaskog</t>
        </is>
      </c>
      <c r="G11834" t="n">
        <v>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35201-2024</t>
        </is>
      </c>
      <c r="B11835" s="1" t="n">
        <v>45530</v>
      </c>
      <c r="C11835" s="1" t="n">
        <v>45677</v>
      </c>
      <c r="D11835" t="inlineStr">
        <is>
          <t>GÄVLEBORGS LÄN</t>
        </is>
      </c>
      <c r="E11835" t="inlineStr">
        <is>
          <t>HUDIKSVALL</t>
        </is>
      </c>
      <c r="F11835" t="inlineStr">
        <is>
          <t>Holmen skog AB</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35205-2024</t>
        </is>
      </c>
      <c r="B11836" s="1" t="n">
        <v>45530</v>
      </c>
      <c r="C11836" s="1" t="n">
        <v>45677</v>
      </c>
      <c r="D11836" t="inlineStr">
        <is>
          <t>GÄVLEBORGS LÄN</t>
        </is>
      </c>
      <c r="E11836" t="inlineStr">
        <is>
          <t>GÄVLE</t>
        </is>
      </c>
      <c r="F11836" t="inlineStr">
        <is>
          <t>Bergvik skog öst AB</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35225-2024</t>
        </is>
      </c>
      <c r="B11837" s="1" t="n">
        <v>45530</v>
      </c>
      <c r="C11837" s="1" t="n">
        <v>45677</v>
      </c>
      <c r="D11837" t="inlineStr">
        <is>
          <t>GÄVLEBORGS LÄN</t>
        </is>
      </c>
      <c r="E11837" t="inlineStr">
        <is>
          <t>GÄVLE</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35233-2024</t>
        </is>
      </c>
      <c r="B11838" s="1" t="n">
        <v>45530</v>
      </c>
      <c r="C11838" s="1" t="n">
        <v>45677</v>
      </c>
      <c r="D11838" t="inlineStr">
        <is>
          <t>GÄVLEBORGS LÄN</t>
        </is>
      </c>
      <c r="E11838" t="inlineStr">
        <is>
          <t>GÄVLE</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35285-2024</t>
        </is>
      </c>
      <c r="B11839" s="1" t="n">
        <v>45530</v>
      </c>
      <c r="C11839" s="1" t="n">
        <v>45677</v>
      </c>
      <c r="D11839" t="inlineStr">
        <is>
          <t>GÄVLEBORGS LÄN</t>
        </is>
      </c>
      <c r="E11839" t="inlineStr">
        <is>
          <t>HUDIKSVALL</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35297-2024</t>
        </is>
      </c>
      <c r="B11840" s="1" t="n">
        <v>45530</v>
      </c>
      <c r="C11840" s="1" t="n">
        <v>45677</v>
      </c>
      <c r="D11840" t="inlineStr">
        <is>
          <t>GÄVLEBORGS LÄN</t>
        </is>
      </c>
      <c r="E11840" t="inlineStr">
        <is>
          <t>OVANÅKER</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35143-2024</t>
        </is>
      </c>
      <c r="B11841" s="1" t="n">
        <v>45530</v>
      </c>
      <c r="C11841" s="1" t="n">
        <v>45677</v>
      </c>
      <c r="D11841" t="inlineStr">
        <is>
          <t>GÄVLEBORGS LÄN</t>
        </is>
      </c>
      <c r="E11841" t="inlineStr">
        <is>
          <t>HUDIKSVALL</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35332-2024</t>
        </is>
      </c>
      <c r="B11842" s="1" t="n">
        <v>45530</v>
      </c>
      <c r="C11842" s="1" t="n">
        <v>45677</v>
      </c>
      <c r="D11842" t="inlineStr">
        <is>
          <t>GÄVLEBORGS LÄN</t>
        </is>
      </c>
      <c r="E11842" t="inlineStr">
        <is>
          <t>HUDIKSVALL</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35331-2024</t>
        </is>
      </c>
      <c r="B11843" s="1" t="n">
        <v>45530</v>
      </c>
      <c r="C11843" s="1" t="n">
        <v>45677</v>
      </c>
      <c r="D11843" t="inlineStr">
        <is>
          <t>GÄVLEBORGS LÄN</t>
        </is>
      </c>
      <c r="E11843" t="inlineStr">
        <is>
          <t>GÄVLE</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35252-2024</t>
        </is>
      </c>
      <c r="B11844" s="1" t="n">
        <v>45530</v>
      </c>
      <c r="C11844" s="1" t="n">
        <v>45677</v>
      </c>
      <c r="D11844" t="inlineStr">
        <is>
          <t>GÄVLEBORGS LÄN</t>
        </is>
      </c>
      <c r="E11844" t="inlineStr">
        <is>
          <t>SANDVIKEN</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35204-2024</t>
        </is>
      </c>
      <c r="B11845" s="1" t="n">
        <v>45530</v>
      </c>
      <c r="C11845" s="1" t="n">
        <v>45677</v>
      </c>
      <c r="D11845" t="inlineStr">
        <is>
          <t>GÄVLEBORGS LÄN</t>
        </is>
      </c>
      <c r="E11845" t="inlineStr">
        <is>
          <t>GÄVLE</t>
        </is>
      </c>
      <c r="F11845" t="inlineStr">
        <is>
          <t>Bergvik skog öst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35200-2024</t>
        </is>
      </c>
      <c r="B11846" s="1" t="n">
        <v>45530</v>
      </c>
      <c r="C11846" s="1" t="n">
        <v>45677</v>
      </c>
      <c r="D11846" t="inlineStr">
        <is>
          <t>GÄVLEBORGS LÄN</t>
        </is>
      </c>
      <c r="E11846" t="inlineStr">
        <is>
          <t>BOLLNÄS</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35170-2024</t>
        </is>
      </c>
      <c r="B11847" s="1" t="n">
        <v>45530</v>
      </c>
      <c r="C11847" s="1" t="n">
        <v>45677</v>
      </c>
      <c r="D11847" t="inlineStr">
        <is>
          <t>GÄVLEBORGS LÄN</t>
        </is>
      </c>
      <c r="E11847" t="inlineStr">
        <is>
          <t>SANDVIKEN</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35166-2024</t>
        </is>
      </c>
      <c r="B11848" s="1" t="n">
        <v>45530</v>
      </c>
      <c r="C11848" s="1" t="n">
        <v>45677</v>
      </c>
      <c r="D11848" t="inlineStr">
        <is>
          <t>GÄVLEBORGS LÄN</t>
        </is>
      </c>
      <c r="E11848" t="inlineStr">
        <is>
          <t>OVANÅKER</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35130-2024</t>
        </is>
      </c>
      <c r="B11849" s="1" t="n">
        <v>45530</v>
      </c>
      <c r="C11849" s="1" t="n">
        <v>45677</v>
      </c>
      <c r="D11849" t="inlineStr">
        <is>
          <t>GÄVLEBORGS LÄN</t>
        </is>
      </c>
      <c r="E11849" t="inlineStr">
        <is>
          <t>NORDANSTIG</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35247-2024</t>
        </is>
      </c>
      <c r="B11850" s="1" t="n">
        <v>45530</v>
      </c>
      <c r="C11850" s="1" t="n">
        <v>45677</v>
      </c>
      <c r="D11850" t="inlineStr">
        <is>
          <t>GÄVLEBORGS LÄN</t>
        </is>
      </c>
      <c r="E11850" t="inlineStr">
        <is>
          <t>HUDIKSVALL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35227-2024</t>
        </is>
      </c>
      <c r="B11851" s="1" t="n">
        <v>45530</v>
      </c>
      <c r="C11851" s="1" t="n">
        <v>45677</v>
      </c>
      <c r="D11851" t="inlineStr">
        <is>
          <t>GÄVLEBORGS LÄN</t>
        </is>
      </c>
      <c r="E11851" t="inlineStr">
        <is>
          <t>GÄVLE</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35203-2024</t>
        </is>
      </c>
      <c r="B11852" s="1" t="n">
        <v>45530</v>
      </c>
      <c r="C11852" s="1" t="n">
        <v>45677</v>
      </c>
      <c r="D11852" t="inlineStr">
        <is>
          <t>GÄVLEBORGS LÄN</t>
        </is>
      </c>
      <c r="E11852" t="inlineStr">
        <is>
          <t>GÄVLE</t>
        </is>
      </c>
      <c r="F11852" t="inlineStr">
        <is>
          <t>Bergvik skog öst AB</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35164-2024</t>
        </is>
      </c>
      <c r="B11853" s="1" t="n">
        <v>45530</v>
      </c>
      <c r="C11853" s="1" t="n">
        <v>45677</v>
      </c>
      <c r="D11853" t="inlineStr">
        <is>
          <t>GÄVLEBORGS LÄN</t>
        </is>
      </c>
      <c r="E11853" t="inlineStr">
        <is>
          <t>OVANÅKER</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35206-2024</t>
        </is>
      </c>
      <c r="B11854" s="1" t="n">
        <v>45530</v>
      </c>
      <c r="C11854" s="1" t="n">
        <v>45677</v>
      </c>
      <c r="D11854" t="inlineStr">
        <is>
          <t>GÄVLEBORGS LÄN</t>
        </is>
      </c>
      <c r="E11854" t="inlineStr">
        <is>
          <t>GÄVLE</t>
        </is>
      </c>
      <c r="F11854" t="inlineStr">
        <is>
          <t>Bergvik skog öst AB</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35254-2024</t>
        </is>
      </c>
      <c r="B11855" s="1" t="n">
        <v>45530</v>
      </c>
      <c r="C11855" s="1" t="n">
        <v>45677</v>
      </c>
      <c r="D11855" t="inlineStr">
        <is>
          <t>GÄVLEBORGS LÄN</t>
        </is>
      </c>
      <c r="E11855" t="inlineStr">
        <is>
          <t>GÄVLE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35274-2024</t>
        </is>
      </c>
      <c r="B11856" s="1" t="n">
        <v>45530</v>
      </c>
      <c r="C11856" s="1" t="n">
        <v>45677</v>
      </c>
      <c r="D11856" t="inlineStr">
        <is>
          <t>GÄVLEBORGS LÄN</t>
        </is>
      </c>
      <c r="E11856" t="inlineStr">
        <is>
          <t>HUDIKSVALL</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35294-2024</t>
        </is>
      </c>
      <c r="B11857" s="1" t="n">
        <v>45530</v>
      </c>
      <c r="C11857" s="1" t="n">
        <v>45677</v>
      </c>
      <c r="D11857" t="inlineStr">
        <is>
          <t>GÄVLEBORGS LÄN</t>
        </is>
      </c>
      <c r="E11857" t="inlineStr">
        <is>
          <t>OVANÅKER</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35302-2024</t>
        </is>
      </c>
      <c r="B11858" s="1" t="n">
        <v>45530</v>
      </c>
      <c r="C11858" s="1" t="n">
        <v>45677</v>
      </c>
      <c r="D11858" t="inlineStr">
        <is>
          <t>GÄVLEBORGS LÄN</t>
        </is>
      </c>
      <c r="E11858" t="inlineStr">
        <is>
          <t>HUDIKSVALL</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35326-2024</t>
        </is>
      </c>
      <c r="B11859" s="1" t="n">
        <v>45530</v>
      </c>
      <c r="C11859" s="1" t="n">
        <v>45677</v>
      </c>
      <c r="D11859" t="inlineStr">
        <is>
          <t>GÄVLEBORGS LÄN</t>
        </is>
      </c>
      <c r="E11859" t="inlineStr">
        <is>
          <t>SANDVIKEN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35348-2024</t>
        </is>
      </c>
      <c r="B11860" s="1" t="n">
        <v>45531</v>
      </c>
      <c r="C11860" s="1" t="n">
        <v>45677</v>
      </c>
      <c r="D11860" t="inlineStr">
        <is>
          <t>GÄVLEBORGS LÄN</t>
        </is>
      </c>
      <c r="E11860" t="inlineStr">
        <is>
          <t>GÄVLE</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35352-2024</t>
        </is>
      </c>
      <c r="B11861" s="1" t="n">
        <v>45531</v>
      </c>
      <c r="C11861" s="1" t="n">
        <v>45677</v>
      </c>
      <c r="D11861" t="inlineStr">
        <is>
          <t>GÄVLEBORGS LÄN</t>
        </is>
      </c>
      <c r="E11861" t="inlineStr">
        <is>
          <t>OVANÅKER</t>
        </is>
      </c>
      <c r="F11861" t="inlineStr">
        <is>
          <t>Sveaskog</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35364-2024</t>
        </is>
      </c>
      <c r="B11862" s="1" t="n">
        <v>45531</v>
      </c>
      <c r="C11862" s="1" t="n">
        <v>45677</v>
      </c>
      <c r="D11862" t="inlineStr">
        <is>
          <t>GÄVLEBORGS LÄN</t>
        </is>
      </c>
      <c r="E11862" t="inlineStr">
        <is>
          <t>LJUSDAL</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35349-2024</t>
        </is>
      </c>
      <c r="B11863" s="1" t="n">
        <v>45531</v>
      </c>
      <c r="C11863" s="1" t="n">
        <v>45677</v>
      </c>
      <c r="D11863" t="inlineStr">
        <is>
          <t>GÄVLEBORGS LÄN</t>
        </is>
      </c>
      <c r="E11863" t="inlineStr">
        <is>
          <t>OVANÅKER</t>
        </is>
      </c>
      <c r="F11863" t="inlineStr">
        <is>
          <t>Sveaskog</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35347-2024</t>
        </is>
      </c>
      <c r="B11864" s="1" t="n">
        <v>45531</v>
      </c>
      <c r="C11864" s="1" t="n">
        <v>45677</v>
      </c>
      <c r="D11864" t="inlineStr">
        <is>
          <t>GÄVLEBORGS LÄN</t>
        </is>
      </c>
      <c r="E11864" t="inlineStr">
        <is>
          <t>NORDANSTIG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35351-2024</t>
        </is>
      </c>
      <c r="B11865" s="1" t="n">
        <v>45531</v>
      </c>
      <c r="C11865" s="1" t="n">
        <v>45677</v>
      </c>
      <c r="D11865" t="inlineStr">
        <is>
          <t>GÄVLEBORGS LÄN</t>
        </is>
      </c>
      <c r="E11865" t="inlineStr">
        <is>
          <t>OVANÅKER</t>
        </is>
      </c>
      <c r="F11865" t="inlineStr">
        <is>
          <t>Sveaskog</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35465-2024</t>
        </is>
      </c>
      <c r="B11866" s="1" t="n">
        <v>45531</v>
      </c>
      <c r="C11866" s="1" t="n">
        <v>45677</v>
      </c>
      <c r="D11866" t="inlineStr">
        <is>
          <t>GÄVLEBORGS LÄN</t>
        </is>
      </c>
      <c r="E11866" t="inlineStr">
        <is>
          <t>LJUSDAL</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35498-2024</t>
        </is>
      </c>
      <c r="B11867" s="1" t="n">
        <v>45531</v>
      </c>
      <c r="C11867" s="1" t="n">
        <v>45677</v>
      </c>
      <c r="D11867" t="inlineStr">
        <is>
          <t>GÄVLEBORGS LÄN</t>
        </is>
      </c>
      <c r="E11867" t="inlineStr">
        <is>
          <t>HOFORS</t>
        </is>
      </c>
      <c r="F11867" t="inlineStr">
        <is>
          <t>Sveaskog</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35514-2024</t>
        </is>
      </c>
      <c r="B11868" s="1" t="n">
        <v>45531</v>
      </c>
      <c r="C11868" s="1" t="n">
        <v>45677</v>
      </c>
      <c r="D11868" t="inlineStr">
        <is>
          <t>GÄVLEBORGS LÄN</t>
        </is>
      </c>
      <c r="E11868" t="inlineStr">
        <is>
          <t>HOFORS</t>
        </is>
      </c>
      <c r="F11868" t="inlineStr">
        <is>
          <t>Sveaskog</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35557-2024</t>
        </is>
      </c>
      <c r="B11869" s="1" t="n">
        <v>45531</v>
      </c>
      <c r="C11869" s="1" t="n">
        <v>45677</v>
      </c>
      <c r="D11869" t="inlineStr">
        <is>
          <t>GÄVLEBORGS LÄN</t>
        </is>
      </c>
      <c r="E11869" t="inlineStr">
        <is>
          <t>OVANÅKER</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35505-2024</t>
        </is>
      </c>
      <c r="B11870" s="1" t="n">
        <v>45531</v>
      </c>
      <c r="C11870" s="1" t="n">
        <v>45677</v>
      </c>
      <c r="D11870" t="inlineStr">
        <is>
          <t>GÄVLEBORGS LÄN</t>
        </is>
      </c>
      <c r="E11870" t="inlineStr">
        <is>
          <t>HOFORS</t>
        </is>
      </c>
      <c r="F11870" t="inlineStr">
        <is>
          <t>Sveaskog</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35535-2024</t>
        </is>
      </c>
      <c r="B11871" s="1" t="n">
        <v>45531</v>
      </c>
      <c r="C11871" s="1" t="n">
        <v>45677</v>
      </c>
      <c r="D11871" t="inlineStr">
        <is>
          <t>GÄVLEBORGS LÄN</t>
        </is>
      </c>
      <c r="E11871" t="inlineStr">
        <is>
          <t>OCKELBO</t>
        </is>
      </c>
      <c r="F11871" t="inlineStr">
        <is>
          <t>Bergvik skog väst AB</t>
        </is>
      </c>
      <c r="G11871" t="n">
        <v>19.4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35504-2024</t>
        </is>
      </c>
      <c r="B11872" s="1" t="n">
        <v>45531</v>
      </c>
      <c r="C11872" s="1" t="n">
        <v>45677</v>
      </c>
      <c r="D11872" t="inlineStr">
        <is>
          <t>GÄVLEBORGS LÄN</t>
        </is>
      </c>
      <c r="E11872" t="inlineStr">
        <is>
          <t>HOFORS</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35522-2024</t>
        </is>
      </c>
      <c r="B11873" s="1" t="n">
        <v>45531</v>
      </c>
      <c r="C11873" s="1" t="n">
        <v>45677</v>
      </c>
      <c r="D11873" t="inlineStr">
        <is>
          <t>GÄVLEBORGS LÄN</t>
        </is>
      </c>
      <c r="E11873" t="inlineStr">
        <is>
          <t>OVANÅKER</t>
        </is>
      </c>
      <c r="F11873" t="inlineStr">
        <is>
          <t>Bergvik skog väst AB</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35649-2024</t>
        </is>
      </c>
      <c r="B11874" s="1" t="n">
        <v>45532</v>
      </c>
      <c r="C11874" s="1" t="n">
        <v>45677</v>
      </c>
      <c r="D11874" t="inlineStr">
        <is>
          <t>GÄVLEBORGS LÄN</t>
        </is>
      </c>
      <c r="E11874" t="inlineStr">
        <is>
          <t>SANDVIKEN</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35646-2024</t>
        </is>
      </c>
      <c r="B11875" s="1" t="n">
        <v>45532</v>
      </c>
      <c r="C11875" s="1" t="n">
        <v>45677</v>
      </c>
      <c r="D11875" t="inlineStr">
        <is>
          <t>GÄVLEBORGS LÄN</t>
        </is>
      </c>
      <c r="E11875" t="inlineStr">
        <is>
          <t>SANDVIKEN</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35707-2024</t>
        </is>
      </c>
      <c r="B11876" s="1" t="n">
        <v>45532</v>
      </c>
      <c r="C11876" s="1" t="n">
        <v>45677</v>
      </c>
      <c r="D11876" t="inlineStr">
        <is>
          <t>GÄVLEBORGS LÄN</t>
        </is>
      </c>
      <c r="E11876" t="inlineStr">
        <is>
          <t>OCKELBO</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35784-2024</t>
        </is>
      </c>
      <c r="B11877" s="1" t="n">
        <v>45532</v>
      </c>
      <c r="C11877" s="1" t="n">
        <v>45677</v>
      </c>
      <c r="D11877" t="inlineStr">
        <is>
          <t>GÄVLEBORGS LÄN</t>
        </is>
      </c>
      <c r="E11877" t="inlineStr">
        <is>
          <t>BOLLNÄS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35733-2024</t>
        </is>
      </c>
      <c r="B11878" s="1" t="n">
        <v>45532</v>
      </c>
      <c r="C11878" s="1" t="n">
        <v>45677</v>
      </c>
      <c r="D11878" t="inlineStr">
        <is>
          <t>GÄVLEBORGS LÄN</t>
        </is>
      </c>
      <c r="E11878" t="inlineStr">
        <is>
          <t>NORDANSTIG</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35741-2024</t>
        </is>
      </c>
      <c r="B11879" s="1" t="n">
        <v>45532</v>
      </c>
      <c r="C11879" s="1" t="n">
        <v>45677</v>
      </c>
      <c r="D11879" t="inlineStr">
        <is>
          <t>GÄVLEBORGS LÄN</t>
        </is>
      </c>
      <c r="E11879" t="inlineStr">
        <is>
          <t>NORDANSTIG</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35783-2024</t>
        </is>
      </c>
      <c r="B11880" s="1" t="n">
        <v>45532</v>
      </c>
      <c r="C11880" s="1" t="n">
        <v>45677</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35765-2024</t>
        </is>
      </c>
      <c r="B11881" s="1" t="n">
        <v>45532</v>
      </c>
      <c r="C11881" s="1" t="n">
        <v>45677</v>
      </c>
      <c r="D11881" t="inlineStr">
        <is>
          <t>GÄVLEBORGS LÄN</t>
        </is>
      </c>
      <c r="E11881" t="inlineStr">
        <is>
          <t>NORDANSTIG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35785-2024</t>
        </is>
      </c>
      <c r="B11882" s="1" t="n">
        <v>45532</v>
      </c>
      <c r="C11882" s="1" t="n">
        <v>45677</v>
      </c>
      <c r="D11882" t="inlineStr">
        <is>
          <t>GÄVLEBORGS LÄN</t>
        </is>
      </c>
      <c r="E11882" t="inlineStr">
        <is>
          <t>BOLLNÄS</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35789-2024</t>
        </is>
      </c>
      <c r="B11883" s="1" t="n">
        <v>45532</v>
      </c>
      <c r="C11883" s="1" t="n">
        <v>45677</v>
      </c>
      <c r="D11883" t="inlineStr">
        <is>
          <t>GÄVLEBORGS LÄN</t>
        </is>
      </c>
      <c r="E11883" t="inlineStr">
        <is>
          <t>LJUSDAL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35805-2024</t>
        </is>
      </c>
      <c r="B11884" s="1" t="n">
        <v>45532</v>
      </c>
      <c r="C11884" s="1" t="n">
        <v>45677</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35857-2024</t>
        </is>
      </c>
      <c r="B11885" s="1" t="n">
        <v>45533</v>
      </c>
      <c r="C11885" s="1" t="n">
        <v>45677</v>
      </c>
      <c r="D11885" t="inlineStr">
        <is>
          <t>GÄVLEBORGS LÄN</t>
        </is>
      </c>
      <c r="E11885" t="inlineStr">
        <is>
          <t>BOLLNÄS</t>
        </is>
      </c>
      <c r="F11885" t="inlineStr">
        <is>
          <t>Bergvik skog väst AB</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35865-2024</t>
        </is>
      </c>
      <c r="B11886" s="1" t="n">
        <v>45533</v>
      </c>
      <c r="C11886" s="1" t="n">
        <v>45677</v>
      </c>
      <c r="D11886" t="inlineStr">
        <is>
          <t>GÄVLEBORGS LÄN</t>
        </is>
      </c>
      <c r="E11886" t="inlineStr">
        <is>
          <t>GÄVLE</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35856-2024</t>
        </is>
      </c>
      <c r="B11887" s="1" t="n">
        <v>45533</v>
      </c>
      <c r="C11887" s="1" t="n">
        <v>45677</v>
      </c>
      <c r="D11887" t="inlineStr">
        <is>
          <t>GÄVLEBORGS LÄN</t>
        </is>
      </c>
      <c r="E11887" t="inlineStr">
        <is>
          <t>GÄVLE</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35863-2024</t>
        </is>
      </c>
      <c r="B11888" s="1" t="n">
        <v>45533</v>
      </c>
      <c r="C11888" s="1" t="n">
        <v>45677</v>
      </c>
      <c r="D11888" t="inlineStr">
        <is>
          <t>GÄVLEBORGS LÄN</t>
        </is>
      </c>
      <c r="E11888" t="inlineStr">
        <is>
          <t>HUDIKSVALL</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35879-2024</t>
        </is>
      </c>
      <c r="B11889" s="1" t="n">
        <v>45533</v>
      </c>
      <c r="C11889" s="1" t="n">
        <v>45677</v>
      </c>
      <c r="D11889" t="inlineStr">
        <is>
          <t>GÄVLEBORGS LÄN</t>
        </is>
      </c>
      <c r="E11889" t="inlineStr">
        <is>
          <t>HUDIKSVALL</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35910-2024</t>
        </is>
      </c>
      <c r="B11890" s="1" t="n">
        <v>45533</v>
      </c>
      <c r="C11890" s="1" t="n">
        <v>45677</v>
      </c>
      <c r="D11890" t="inlineStr">
        <is>
          <t>GÄVLEBORGS LÄN</t>
        </is>
      </c>
      <c r="E11890" t="inlineStr">
        <is>
          <t>GÄVLE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35962-2024</t>
        </is>
      </c>
      <c r="B11891" s="1" t="n">
        <v>45533</v>
      </c>
      <c r="C11891" s="1" t="n">
        <v>45677</v>
      </c>
      <c r="D11891" t="inlineStr">
        <is>
          <t>GÄVLEBORGS LÄN</t>
        </is>
      </c>
      <c r="E11891" t="inlineStr">
        <is>
          <t>HUDIKSVALL</t>
        </is>
      </c>
      <c r="F11891" t="inlineStr">
        <is>
          <t>Holmen skog AB</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36082-2024</t>
        </is>
      </c>
      <c r="B11892" s="1" t="n">
        <v>45533</v>
      </c>
      <c r="C11892" s="1" t="n">
        <v>45677</v>
      </c>
      <c r="D11892" t="inlineStr">
        <is>
          <t>GÄVLEBORGS LÄN</t>
        </is>
      </c>
      <c r="E11892" t="inlineStr">
        <is>
          <t>HUDIKSVALL</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36086-2024</t>
        </is>
      </c>
      <c r="B11893" s="1" t="n">
        <v>45533</v>
      </c>
      <c r="C11893" s="1" t="n">
        <v>45677</v>
      </c>
      <c r="D11893" t="inlineStr">
        <is>
          <t>GÄVLEBORGS LÄN</t>
        </is>
      </c>
      <c r="E11893" t="inlineStr">
        <is>
          <t>HUDIKSVALL</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35987-2024</t>
        </is>
      </c>
      <c r="B11894" s="1" t="n">
        <v>45533</v>
      </c>
      <c r="C11894" s="1" t="n">
        <v>45677</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35999-2024</t>
        </is>
      </c>
      <c r="B11895" s="1" t="n">
        <v>45533</v>
      </c>
      <c r="C11895" s="1" t="n">
        <v>45677</v>
      </c>
      <c r="D11895" t="inlineStr">
        <is>
          <t>GÄVLEBORGS LÄN</t>
        </is>
      </c>
      <c r="E11895" t="inlineStr">
        <is>
          <t>NORDANSTIG</t>
        </is>
      </c>
      <c r="F11895" t="inlineStr">
        <is>
          <t>Holmen skog AB</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36059-2024</t>
        </is>
      </c>
      <c r="B11896" s="1" t="n">
        <v>45533</v>
      </c>
      <c r="C11896" s="1" t="n">
        <v>45677</v>
      </c>
      <c r="D11896" t="inlineStr">
        <is>
          <t>GÄVLEBORGS LÄN</t>
        </is>
      </c>
      <c r="E11896" t="inlineStr">
        <is>
          <t>LJUSDAL</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36071-2024</t>
        </is>
      </c>
      <c r="B11897" s="1" t="n">
        <v>45533</v>
      </c>
      <c r="C11897" s="1" t="n">
        <v>45677</v>
      </c>
      <c r="D11897" t="inlineStr">
        <is>
          <t>GÄVLEBORGS LÄN</t>
        </is>
      </c>
      <c r="E11897" t="inlineStr">
        <is>
          <t>LJUSDAL</t>
        </is>
      </c>
      <c r="F11897" t="inlineStr">
        <is>
          <t>Sveaskog</t>
        </is>
      </c>
      <c r="G11897" t="n">
        <v>9.199999999999999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35950-2024</t>
        </is>
      </c>
      <c r="B11898" s="1" t="n">
        <v>45533</v>
      </c>
      <c r="C11898" s="1" t="n">
        <v>45677</v>
      </c>
      <c r="D11898" t="inlineStr">
        <is>
          <t>GÄVLEBORGS LÄN</t>
        </is>
      </c>
      <c r="E11898" t="inlineStr">
        <is>
          <t>GÄVLE</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35985-2024</t>
        </is>
      </c>
      <c r="B11899" s="1" t="n">
        <v>45533</v>
      </c>
      <c r="C11899" s="1" t="n">
        <v>45677</v>
      </c>
      <c r="D11899" t="inlineStr">
        <is>
          <t>GÄVLEBORGS LÄN</t>
        </is>
      </c>
      <c r="E11899" t="inlineStr">
        <is>
          <t>HUDIKSVALL</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35989-2024</t>
        </is>
      </c>
      <c r="B11900" s="1" t="n">
        <v>45533</v>
      </c>
      <c r="C11900" s="1" t="n">
        <v>45677</v>
      </c>
      <c r="D11900" t="inlineStr">
        <is>
          <t>GÄVLEBORGS LÄN</t>
        </is>
      </c>
      <c r="E11900" t="inlineStr">
        <is>
          <t>GÄVLE</t>
        </is>
      </c>
      <c r="F11900" t="inlineStr">
        <is>
          <t>Bergvik skog väst AB</t>
        </is>
      </c>
      <c r="G11900" t="n">
        <v>3.1</v>
      </c>
      <c r="H11900" t="n">
        <v>0</v>
      </c>
      <c r="I11900" t="n">
        <v>0</v>
      </c>
      <c r="J11900" t="n">
        <v>0</v>
      </c>
      <c r="K11900" t="n">
        <v>0</v>
      </c>
      <c r="L11900" t="n">
        <v>0</v>
      </c>
      <c r="M11900" t="n">
        <v>0</v>
      </c>
      <c r="N11900" t="n">
        <v>0</v>
      </c>
      <c r="O11900" t="n">
        <v>0</v>
      </c>
      <c r="P11900" t="n">
        <v>0</v>
      </c>
      <c r="Q11900" t="n">
        <v>0</v>
      </c>
      <c r="R11900" s="2" t="inlineStr"/>
      <c r="U11900">
        <f>HYPERLINK("https://klasma.github.io/Logging_2180/knärot/A 35989-2024 karta knärot.png", "A 35989-2024")</f>
        <v/>
      </c>
      <c r="V11900">
        <f>HYPERLINK("https://klasma.github.io/Logging_2180/klagomål/A 35989-2024 FSC-klagomål.docx", "A 35989-2024")</f>
        <v/>
      </c>
      <c r="W11900">
        <f>HYPERLINK("https://klasma.github.io/Logging_2180/klagomålsmail/A 35989-2024 FSC-klagomål mail.docx", "A 35989-2024")</f>
        <v/>
      </c>
      <c r="X11900">
        <f>HYPERLINK("https://klasma.github.io/Logging_2180/tillsyn/A 35989-2024 tillsynsbegäran.docx", "A 35989-2024")</f>
        <v/>
      </c>
      <c r="Y11900">
        <f>HYPERLINK("https://klasma.github.io/Logging_2180/tillsynsmail/A 35989-2024 tillsynsbegäran mail.docx", "A 35989-2024")</f>
        <v/>
      </c>
    </row>
    <row r="11901" ht="15" customHeight="1">
      <c r="A11901" t="inlineStr">
        <is>
          <t>A 35993-2024</t>
        </is>
      </c>
      <c r="B11901" s="1" t="n">
        <v>45533</v>
      </c>
      <c r="C11901" s="1" t="n">
        <v>45677</v>
      </c>
      <c r="D11901" t="inlineStr">
        <is>
          <t>GÄVLEBORGS LÄN</t>
        </is>
      </c>
      <c r="E11901" t="inlineStr">
        <is>
          <t>OVANÅKER</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36033-2024</t>
        </is>
      </c>
      <c r="B11902" s="1" t="n">
        <v>45533</v>
      </c>
      <c r="C11902" s="1" t="n">
        <v>45677</v>
      </c>
      <c r="D11902" t="inlineStr">
        <is>
          <t>GÄVLEBORGS LÄN</t>
        </is>
      </c>
      <c r="E11902" t="inlineStr">
        <is>
          <t>LJUSDAL</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36061-2024</t>
        </is>
      </c>
      <c r="B11903" s="1" t="n">
        <v>45533</v>
      </c>
      <c r="C11903" s="1" t="n">
        <v>45677</v>
      </c>
      <c r="D11903" t="inlineStr">
        <is>
          <t>GÄVLEBORGS LÄN</t>
        </is>
      </c>
      <c r="E11903" t="inlineStr">
        <is>
          <t>LJUSDAL</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35954-2024</t>
        </is>
      </c>
      <c r="B11904" s="1" t="n">
        <v>45533</v>
      </c>
      <c r="C11904" s="1" t="n">
        <v>45677</v>
      </c>
      <c r="D11904" t="inlineStr">
        <is>
          <t>GÄVLEBORGS LÄN</t>
        </is>
      </c>
      <c r="E11904" t="inlineStr">
        <is>
          <t>NORDANSTIG</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35964-2024</t>
        </is>
      </c>
      <c r="B11905" s="1" t="n">
        <v>45533</v>
      </c>
      <c r="C11905" s="1" t="n">
        <v>45677</v>
      </c>
      <c r="D11905" t="inlineStr">
        <is>
          <t>GÄVLEBORGS LÄN</t>
        </is>
      </c>
      <c r="E11905" t="inlineStr">
        <is>
          <t>HUDIKSVALL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35988-2024</t>
        </is>
      </c>
      <c r="B11906" s="1" t="n">
        <v>45533</v>
      </c>
      <c r="C11906" s="1" t="n">
        <v>45677</v>
      </c>
      <c r="D11906" t="inlineStr">
        <is>
          <t>GÄVLEBORGS LÄN</t>
        </is>
      </c>
      <c r="E11906" t="inlineStr">
        <is>
          <t>HUDIKSVALL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36012-2024</t>
        </is>
      </c>
      <c r="B11907" s="1" t="n">
        <v>45533</v>
      </c>
      <c r="C11907" s="1" t="n">
        <v>45677</v>
      </c>
      <c r="D11907" t="inlineStr">
        <is>
          <t>GÄVLEBORGS LÄN</t>
        </is>
      </c>
      <c r="E11907" t="inlineStr">
        <is>
          <t>HUDIKSVALL</t>
        </is>
      </c>
      <c r="F11907" t="inlineStr">
        <is>
          <t>Holmen skog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36028-2024</t>
        </is>
      </c>
      <c r="B11908" s="1" t="n">
        <v>45533</v>
      </c>
      <c r="C11908" s="1" t="n">
        <v>45677</v>
      </c>
      <c r="D11908" t="inlineStr">
        <is>
          <t>GÄVLEBORGS LÄN</t>
        </is>
      </c>
      <c r="E11908" t="inlineStr">
        <is>
          <t>NORDANSTIG</t>
        </is>
      </c>
      <c r="F11908" t="inlineStr">
        <is>
          <t>Holmen skog AB</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36036-2024</t>
        </is>
      </c>
      <c r="B11909" s="1" t="n">
        <v>45533</v>
      </c>
      <c r="C11909" s="1" t="n">
        <v>45677</v>
      </c>
      <c r="D11909" t="inlineStr">
        <is>
          <t>GÄVLEBORGS LÄN</t>
        </is>
      </c>
      <c r="E11909" t="inlineStr">
        <is>
          <t>HUDIKSVALL</t>
        </is>
      </c>
      <c r="F11909" t="inlineStr">
        <is>
          <t>Holmen skog AB</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36048-2024</t>
        </is>
      </c>
      <c r="B11910" s="1" t="n">
        <v>45533</v>
      </c>
      <c r="C11910" s="1" t="n">
        <v>45677</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36084-2024</t>
        </is>
      </c>
      <c r="B11911" s="1" t="n">
        <v>45533</v>
      </c>
      <c r="C11911" s="1" t="n">
        <v>45677</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36077-2024</t>
        </is>
      </c>
      <c r="B11912" s="1" t="n">
        <v>45533</v>
      </c>
      <c r="C11912" s="1" t="n">
        <v>45677</v>
      </c>
      <c r="D11912" t="inlineStr">
        <is>
          <t>GÄVLEBORGS LÄN</t>
        </is>
      </c>
      <c r="E11912" t="inlineStr">
        <is>
          <t>OCKELBO</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36081-2024</t>
        </is>
      </c>
      <c r="B11913" s="1" t="n">
        <v>45533</v>
      </c>
      <c r="C11913" s="1" t="n">
        <v>45677</v>
      </c>
      <c r="D11913" t="inlineStr">
        <is>
          <t>GÄVLEBORGS LÄN</t>
        </is>
      </c>
      <c r="E11913" t="inlineStr">
        <is>
          <t>HUDIKSVALL</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36121-2024</t>
        </is>
      </c>
      <c r="B11914" s="1" t="n">
        <v>45534</v>
      </c>
      <c r="C11914" s="1" t="n">
        <v>45677</v>
      </c>
      <c r="D11914" t="inlineStr">
        <is>
          <t>GÄVLEBORGS LÄN</t>
        </is>
      </c>
      <c r="E11914" t="inlineStr">
        <is>
          <t>HUDIKSVALL</t>
        </is>
      </c>
      <c r="F11914" t="inlineStr">
        <is>
          <t>Holmen skog AB</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36177-2024</t>
        </is>
      </c>
      <c r="B11915" s="1" t="n">
        <v>45534</v>
      </c>
      <c r="C11915" s="1" t="n">
        <v>45677</v>
      </c>
      <c r="D11915" t="inlineStr">
        <is>
          <t>GÄVLEBORGS LÄN</t>
        </is>
      </c>
      <c r="E11915" t="inlineStr">
        <is>
          <t>SÖDERHAMN</t>
        </is>
      </c>
      <c r="F11915" t="inlineStr">
        <is>
          <t>Bergvik skog väst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36135-2024</t>
        </is>
      </c>
      <c r="B11916" s="1" t="n">
        <v>45534</v>
      </c>
      <c r="C11916" s="1" t="n">
        <v>45677</v>
      </c>
      <c r="D11916" t="inlineStr">
        <is>
          <t>GÄVLEBORGS LÄN</t>
        </is>
      </c>
      <c r="E11916" t="inlineStr">
        <is>
          <t>OCKELBO</t>
        </is>
      </c>
      <c r="F11916" t="inlineStr">
        <is>
          <t>Bergvik skog väst AB</t>
        </is>
      </c>
      <c r="G11916" t="n">
        <v>14.5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36155-2024</t>
        </is>
      </c>
      <c r="B11917" s="1" t="n">
        <v>45534</v>
      </c>
      <c r="C11917" s="1" t="n">
        <v>45677</v>
      </c>
      <c r="D11917" t="inlineStr">
        <is>
          <t>GÄVLEBORGS LÄN</t>
        </is>
      </c>
      <c r="E11917" t="inlineStr">
        <is>
          <t>SÖDERHAMN</t>
        </is>
      </c>
      <c r="F11917" t="inlineStr">
        <is>
          <t>Bergvik skog väst AB</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36197-2024</t>
        </is>
      </c>
      <c r="B11918" s="1" t="n">
        <v>45534</v>
      </c>
      <c r="C11918" s="1" t="n">
        <v>45677</v>
      </c>
      <c r="D11918" t="inlineStr">
        <is>
          <t>GÄVLEBORGS LÄN</t>
        </is>
      </c>
      <c r="E11918" t="inlineStr">
        <is>
          <t>GÄVLE</t>
        </is>
      </c>
      <c r="F11918" t="inlineStr">
        <is>
          <t>Kyrkan</t>
        </is>
      </c>
      <c r="G11918" t="n">
        <v>14.9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36199-2024</t>
        </is>
      </c>
      <c r="B11919" s="1" t="n">
        <v>45534</v>
      </c>
      <c r="C11919" s="1" t="n">
        <v>45677</v>
      </c>
      <c r="D11919" t="inlineStr">
        <is>
          <t>GÄVLEBORGS LÄN</t>
        </is>
      </c>
      <c r="E11919" t="inlineStr">
        <is>
          <t>HUDIKSVALL</t>
        </is>
      </c>
      <c r="F11919" t="inlineStr">
        <is>
          <t>Holmen skog AB</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36110-2024</t>
        </is>
      </c>
      <c r="B11920" s="1" t="n">
        <v>45534</v>
      </c>
      <c r="C11920" s="1" t="n">
        <v>45677</v>
      </c>
      <c r="D11920" t="inlineStr">
        <is>
          <t>GÄVLEBORGS LÄN</t>
        </is>
      </c>
      <c r="E11920" t="inlineStr">
        <is>
          <t>OCKELBO</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36138-2024</t>
        </is>
      </c>
      <c r="B11921" s="1" t="n">
        <v>45534</v>
      </c>
      <c r="C11921" s="1" t="n">
        <v>45677</v>
      </c>
      <c r="D11921" t="inlineStr">
        <is>
          <t>GÄVLEBORGS LÄN</t>
        </is>
      </c>
      <c r="E11921" t="inlineStr">
        <is>
          <t>HUDIKSVALL</t>
        </is>
      </c>
      <c r="F11921" t="inlineStr">
        <is>
          <t>Holmen skog AB</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36241-2024</t>
        </is>
      </c>
      <c r="B11922" s="1" t="n">
        <v>45534</v>
      </c>
      <c r="C11922" s="1" t="n">
        <v>45677</v>
      </c>
      <c r="D11922" t="inlineStr">
        <is>
          <t>GÄVLEBORGS LÄN</t>
        </is>
      </c>
      <c r="E11922" t="inlineStr">
        <is>
          <t>LJUSDAL</t>
        </is>
      </c>
      <c r="F11922" t="inlineStr">
        <is>
          <t>Bergvik skog väst AB</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36257-2024</t>
        </is>
      </c>
      <c r="B11923" s="1" t="n">
        <v>45534</v>
      </c>
      <c r="C11923" s="1" t="n">
        <v>45677</v>
      </c>
      <c r="D11923" t="inlineStr">
        <is>
          <t>GÄVLEBORGS LÄN</t>
        </is>
      </c>
      <c r="E11923" t="inlineStr">
        <is>
          <t>OVANÅKER</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36261-2024</t>
        </is>
      </c>
      <c r="B11924" s="1" t="n">
        <v>45534</v>
      </c>
      <c r="C11924" s="1" t="n">
        <v>45677</v>
      </c>
      <c r="D11924" t="inlineStr">
        <is>
          <t>GÄVLEBORGS LÄN</t>
        </is>
      </c>
      <c r="E11924" t="inlineStr">
        <is>
          <t>NORDANSTIG</t>
        </is>
      </c>
      <c r="F11924" t="inlineStr">
        <is>
          <t>Holmen skog AB</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36278-2024</t>
        </is>
      </c>
      <c r="B11925" s="1" t="n">
        <v>45534</v>
      </c>
      <c r="C11925" s="1" t="n">
        <v>45677</v>
      </c>
      <c r="D11925" t="inlineStr">
        <is>
          <t>GÄVLEBORGS LÄN</t>
        </is>
      </c>
      <c r="E11925" t="inlineStr">
        <is>
          <t>HOFORS</t>
        </is>
      </c>
      <c r="F11925" t="inlineStr">
        <is>
          <t>Sveaskog</t>
        </is>
      </c>
      <c r="G11925" t="n">
        <v>8.699999999999999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36330-2024</t>
        </is>
      </c>
      <c r="B11926" s="1" t="n">
        <v>45534</v>
      </c>
      <c r="C11926" s="1" t="n">
        <v>45677</v>
      </c>
      <c r="D11926" t="inlineStr">
        <is>
          <t>GÄVLEBORGS LÄN</t>
        </is>
      </c>
      <c r="E11926" t="inlineStr">
        <is>
          <t>HUDIKSVALL</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36174-2024</t>
        </is>
      </c>
      <c r="B11927" s="1" t="n">
        <v>45534</v>
      </c>
      <c r="C11927" s="1" t="n">
        <v>45677</v>
      </c>
      <c r="D11927" t="inlineStr">
        <is>
          <t>GÄVLEBORGS LÄN</t>
        </is>
      </c>
      <c r="E11927" t="inlineStr">
        <is>
          <t>SÖDERHAMN</t>
        </is>
      </c>
      <c r="F11927" t="inlineStr">
        <is>
          <t>Bergvik skog väst AB</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36182-2024</t>
        </is>
      </c>
      <c r="B11928" s="1" t="n">
        <v>45534</v>
      </c>
      <c r="C11928" s="1" t="n">
        <v>45677</v>
      </c>
      <c r="D11928" t="inlineStr">
        <is>
          <t>GÄVLEBORGS LÄN</t>
        </is>
      </c>
      <c r="E11928" t="inlineStr">
        <is>
          <t>LJUSDAL</t>
        </is>
      </c>
      <c r="F11928" t="inlineStr">
        <is>
          <t>Holmen skog AB</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36210-2024</t>
        </is>
      </c>
      <c r="B11929" s="1" t="n">
        <v>45534</v>
      </c>
      <c r="C11929" s="1" t="n">
        <v>45677</v>
      </c>
      <c r="D11929" t="inlineStr">
        <is>
          <t>GÄVLEBORGS LÄN</t>
        </is>
      </c>
      <c r="E11929" t="inlineStr">
        <is>
          <t>OCKELBO</t>
        </is>
      </c>
      <c r="F11929" t="inlineStr">
        <is>
          <t>Kyrkan</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36250-2024</t>
        </is>
      </c>
      <c r="B11930" s="1" t="n">
        <v>45534</v>
      </c>
      <c r="C11930" s="1" t="n">
        <v>45677</v>
      </c>
      <c r="D11930" t="inlineStr">
        <is>
          <t>GÄVLEBORGS LÄN</t>
        </is>
      </c>
      <c r="E11930" t="inlineStr">
        <is>
          <t>NORDANSTIG</t>
        </is>
      </c>
      <c r="F11930" t="inlineStr">
        <is>
          <t>Holmen skog AB</t>
        </is>
      </c>
      <c r="G11930" t="n">
        <v>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36254-2024</t>
        </is>
      </c>
      <c r="B11931" s="1" t="n">
        <v>45534</v>
      </c>
      <c r="C11931" s="1" t="n">
        <v>45677</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36258-2024</t>
        </is>
      </c>
      <c r="B11932" s="1" t="n">
        <v>45534</v>
      </c>
      <c r="C11932" s="1" t="n">
        <v>45677</v>
      </c>
      <c r="D11932" t="inlineStr">
        <is>
          <t>GÄVLEBORGS LÄN</t>
        </is>
      </c>
      <c r="E11932" t="inlineStr">
        <is>
          <t>OVANÅKER</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36262-2024</t>
        </is>
      </c>
      <c r="B11933" s="1" t="n">
        <v>45534</v>
      </c>
      <c r="C11933" s="1" t="n">
        <v>45677</v>
      </c>
      <c r="D11933" t="inlineStr">
        <is>
          <t>GÄVLEBORGS LÄN</t>
        </is>
      </c>
      <c r="E11933" t="inlineStr">
        <is>
          <t>SÖDERHAMN</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36283-2024</t>
        </is>
      </c>
      <c r="B11934" s="1" t="n">
        <v>45534</v>
      </c>
      <c r="C11934" s="1" t="n">
        <v>45677</v>
      </c>
      <c r="D11934" t="inlineStr">
        <is>
          <t>GÄVLEBORGS LÄN</t>
        </is>
      </c>
      <c r="E11934" t="inlineStr">
        <is>
          <t>HOFORS</t>
        </is>
      </c>
      <c r="F11934" t="inlineStr">
        <is>
          <t>Sveaskog</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36295-2024</t>
        </is>
      </c>
      <c r="B11935" s="1" t="n">
        <v>45534</v>
      </c>
      <c r="C11935" s="1" t="n">
        <v>45677</v>
      </c>
      <c r="D11935" t="inlineStr">
        <is>
          <t>GÄVLEBORGS LÄN</t>
        </is>
      </c>
      <c r="E11935" t="inlineStr">
        <is>
          <t>OCKELBO</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36160-2024</t>
        </is>
      </c>
      <c r="B11936" s="1" t="n">
        <v>45534</v>
      </c>
      <c r="C11936" s="1" t="n">
        <v>45677</v>
      </c>
      <c r="D11936" t="inlineStr">
        <is>
          <t>GÄVLEBORGS LÄN</t>
        </is>
      </c>
      <c r="E11936" t="inlineStr">
        <is>
          <t>SÖDERHAMN</t>
        </is>
      </c>
      <c r="F11936" t="inlineStr">
        <is>
          <t>Bergvik skog väst AB</t>
        </is>
      </c>
      <c r="G11936" t="n">
        <v>10.5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36292-2024</t>
        </is>
      </c>
      <c r="B11937" s="1" t="n">
        <v>45534</v>
      </c>
      <c r="C11937" s="1" t="n">
        <v>45677</v>
      </c>
      <c r="D11937" t="inlineStr">
        <is>
          <t>GÄVLEBORGS LÄN</t>
        </is>
      </c>
      <c r="E11937" t="inlineStr">
        <is>
          <t>NORDANSTIG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36204-2024</t>
        </is>
      </c>
      <c r="B11938" s="1" t="n">
        <v>45534</v>
      </c>
      <c r="C11938" s="1" t="n">
        <v>45677</v>
      </c>
      <c r="D11938" t="inlineStr">
        <is>
          <t>GÄVLEBORGS LÄN</t>
        </is>
      </c>
      <c r="E11938" t="inlineStr">
        <is>
          <t>SÖDERHAMN</t>
        </is>
      </c>
      <c r="F11938" t="inlineStr">
        <is>
          <t>Bergvik skog väst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36224-2024</t>
        </is>
      </c>
      <c r="B11939" s="1" t="n">
        <v>45534</v>
      </c>
      <c r="C11939" s="1" t="n">
        <v>45677</v>
      </c>
      <c r="D11939" t="inlineStr">
        <is>
          <t>GÄVLEBORGS LÄN</t>
        </is>
      </c>
      <c r="E11939" t="inlineStr">
        <is>
          <t>BOLLNÄS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36252-2024</t>
        </is>
      </c>
      <c r="B11940" s="1" t="n">
        <v>45534</v>
      </c>
      <c r="C11940" s="1" t="n">
        <v>45677</v>
      </c>
      <c r="D11940" t="inlineStr">
        <is>
          <t>GÄVLEBORGS LÄN</t>
        </is>
      </c>
      <c r="E11940" t="inlineStr">
        <is>
          <t>OVANÅKER</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36256-2024</t>
        </is>
      </c>
      <c r="B11941" s="1" t="n">
        <v>45534</v>
      </c>
      <c r="C11941" s="1" t="n">
        <v>45677</v>
      </c>
      <c r="D11941" t="inlineStr">
        <is>
          <t>GÄVLEBORGS LÄN</t>
        </is>
      </c>
      <c r="E11941" t="inlineStr">
        <is>
          <t>BOLLNÄS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36369-2024</t>
        </is>
      </c>
      <c r="B11942" s="1" t="n">
        <v>45534</v>
      </c>
      <c r="C11942" s="1" t="n">
        <v>45677</v>
      </c>
      <c r="D11942" t="inlineStr">
        <is>
          <t>GÄVLEBORGS LÄN</t>
        </is>
      </c>
      <c r="E11942" t="inlineStr">
        <is>
          <t>NORDANSTIG</t>
        </is>
      </c>
      <c r="F11942" t="inlineStr">
        <is>
          <t>Holmen skog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36362-2024</t>
        </is>
      </c>
      <c r="B11943" s="1" t="n">
        <v>45534</v>
      </c>
      <c r="C11943" s="1" t="n">
        <v>45677</v>
      </c>
      <c r="D11943" t="inlineStr">
        <is>
          <t>GÄVLEBORGS LÄN</t>
        </is>
      </c>
      <c r="E11943" t="inlineStr">
        <is>
          <t>OCKELBO</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36405-2024</t>
        </is>
      </c>
      <c r="B11944" s="1" t="n">
        <v>45535</v>
      </c>
      <c r="C11944" s="1" t="n">
        <v>45677</v>
      </c>
      <c r="D11944" t="inlineStr">
        <is>
          <t>GÄVLEBORGS LÄN</t>
        </is>
      </c>
      <c r="E11944" t="inlineStr">
        <is>
          <t>HUDIKSVALL</t>
        </is>
      </c>
      <c r="F11944" t="inlineStr">
        <is>
          <t>Holmen skog AB</t>
        </is>
      </c>
      <c r="G11944" t="n">
        <v>16.8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36401-2024</t>
        </is>
      </c>
      <c r="B11945" s="1" t="n">
        <v>45535</v>
      </c>
      <c r="C11945" s="1" t="n">
        <v>45677</v>
      </c>
      <c r="D11945" t="inlineStr">
        <is>
          <t>GÄVLEBORGS LÄN</t>
        </is>
      </c>
      <c r="E11945" t="inlineStr">
        <is>
          <t>NORDANSTIG</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36407-2024</t>
        </is>
      </c>
      <c r="B11946" s="1" t="n">
        <v>45535</v>
      </c>
      <c r="C11946" s="1" t="n">
        <v>45677</v>
      </c>
      <c r="D11946" t="inlineStr">
        <is>
          <t>GÄVLEBORGS LÄN</t>
        </is>
      </c>
      <c r="E11946" t="inlineStr">
        <is>
          <t>HUDIKSVALL</t>
        </is>
      </c>
      <c r="F11946" t="inlineStr">
        <is>
          <t>Holmen skog AB</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36408-2024</t>
        </is>
      </c>
      <c r="B11947" s="1" t="n">
        <v>45535</v>
      </c>
      <c r="C11947" s="1" t="n">
        <v>45677</v>
      </c>
      <c r="D11947" t="inlineStr">
        <is>
          <t>GÄVLEBORGS LÄN</t>
        </is>
      </c>
      <c r="E11947" t="inlineStr">
        <is>
          <t>HUDIKSVALL</t>
        </is>
      </c>
      <c r="F11947" t="inlineStr">
        <is>
          <t>Holmen skog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36425-2024</t>
        </is>
      </c>
      <c r="B11948" s="1" t="n">
        <v>45536</v>
      </c>
      <c r="C11948" s="1" t="n">
        <v>45677</v>
      </c>
      <c r="D11948" t="inlineStr">
        <is>
          <t>GÄVLEBORGS LÄN</t>
        </is>
      </c>
      <c r="E11948" t="inlineStr">
        <is>
          <t>BOLLNÄS</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36570-2024</t>
        </is>
      </c>
      <c r="B11949" s="1" t="n">
        <v>45537</v>
      </c>
      <c r="C11949" s="1" t="n">
        <v>45677</v>
      </c>
      <c r="D11949" t="inlineStr">
        <is>
          <t>GÄVLEBORGS LÄN</t>
        </is>
      </c>
      <c r="E11949" t="inlineStr">
        <is>
          <t>SÖDERHAMN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36602-2024</t>
        </is>
      </c>
      <c r="B11950" s="1" t="n">
        <v>45537</v>
      </c>
      <c r="C11950" s="1" t="n">
        <v>45677</v>
      </c>
      <c r="D11950" t="inlineStr">
        <is>
          <t>GÄVLEBORGS LÄN</t>
        </is>
      </c>
      <c r="E11950" t="inlineStr">
        <is>
          <t>OVANÅKER</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36446-2024</t>
        </is>
      </c>
      <c r="B11951" s="1" t="n">
        <v>45537</v>
      </c>
      <c r="C11951" s="1" t="n">
        <v>45677</v>
      </c>
      <c r="D11951" t="inlineStr">
        <is>
          <t>GÄVLEBORGS LÄN</t>
        </is>
      </c>
      <c r="E11951" t="inlineStr">
        <is>
          <t>LJUSDAL</t>
        </is>
      </c>
      <c r="F11951" t="inlineStr">
        <is>
          <t>Sveaskog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36450-2024</t>
        </is>
      </c>
      <c r="B11952" s="1" t="n">
        <v>45537</v>
      </c>
      <c r="C11952" s="1" t="n">
        <v>45677</v>
      </c>
      <c r="D11952" t="inlineStr">
        <is>
          <t>GÄVLEBORGS LÄN</t>
        </is>
      </c>
      <c r="E11952" t="inlineStr">
        <is>
          <t>NORDANSTIG</t>
        </is>
      </c>
      <c r="F11952" t="inlineStr">
        <is>
          <t>Holmen skog AB</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36464-2024</t>
        </is>
      </c>
      <c r="B11953" s="1" t="n">
        <v>45537</v>
      </c>
      <c r="C11953" s="1" t="n">
        <v>45677</v>
      </c>
      <c r="D11953" t="inlineStr">
        <is>
          <t>GÄVLEBORGS LÄN</t>
        </is>
      </c>
      <c r="E11953" t="inlineStr">
        <is>
          <t>NORDANSTIG</t>
        </is>
      </c>
      <c r="F11953" t="inlineStr">
        <is>
          <t>SCA</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36447-2024</t>
        </is>
      </c>
      <c r="B11954" s="1" t="n">
        <v>45537</v>
      </c>
      <c r="C11954" s="1" t="n">
        <v>45677</v>
      </c>
      <c r="D11954" t="inlineStr">
        <is>
          <t>GÄVLEBORGS LÄN</t>
        </is>
      </c>
      <c r="E11954" t="inlineStr">
        <is>
          <t>LJUSDAL</t>
        </is>
      </c>
      <c r="F11954" t="inlineStr">
        <is>
          <t>Sveaskog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36489-2024</t>
        </is>
      </c>
      <c r="B11955" s="1" t="n">
        <v>45537</v>
      </c>
      <c r="C11955" s="1" t="n">
        <v>45677</v>
      </c>
      <c r="D11955" t="inlineStr">
        <is>
          <t>GÄVLEBORGS LÄN</t>
        </is>
      </c>
      <c r="E11955" t="inlineStr">
        <is>
          <t>NORDANSTIG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36525-2024</t>
        </is>
      </c>
      <c r="B11956" s="1" t="n">
        <v>45537</v>
      </c>
      <c r="C11956" s="1" t="n">
        <v>45677</v>
      </c>
      <c r="D11956" t="inlineStr">
        <is>
          <t>GÄVLEBORGS LÄN</t>
        </is>
      </c>
      <c r="E11956" t="inlineStr">
        <is>
          <t>NORDANSTIG</t>
        </is>
      </c>
      <c r="F11956" t="inlineStr">
        <is>
          <t>Holmen skog AB</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36628-2024</t>
        </is>
      </c>
      <c r="B11957" s="1" t="n">
        <v>45537</v>
      </c>
      <c r="C11957" s="1" t="n">
        <v>45677</v>
      </c>
      <c r="D11957" t="inlineStr">
        <is>
          <t>GÄVLEBORGS LÄN</t>
        </is>
      </c>
      <c r="E11957" t="inlineStr">
        <is>
          <t>OVANÅKER</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36656-2024</t>
        </is>
      </c>
      <c r="B11958" s="1" t="n">
        <v>45537</v>
      </c>
      <c r="C11958" s="1" t="n">
        <v>45677</v>
      </c>
      <c r="D11958" t="inlineStr">
        <is>
          <t>GÄVLEBORGS LÄN</t>
        </is>
      </c>
      <c r="E11958" t="inlineStr">
        <is>
          <t>SANDVIKEN</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36593-2024</t>
        </is>
      </c>
      <c r="B11959" s="1" t="n">
        <v>45537</v>
      </c>
      <c r="C11959" s="1" t="n">
        <v>45677</v>
      </c>
      <c r="D11959" t="inlineStr">
        <is>
          <t>GÄVLEBORGS LÄN</t>
        </is>
      </c>
      <c r="E11959" t="inlineStr">
        <is>
          <t>LJUSDAL</t>
        </is>
      </c>
      <c r="F11959" t="inlineStr">
        <is>
          <t>Allmännings- och besparingsskogar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36641-2024</t>
        </is>
      </c>
      <c r="B11960" s="1" t="n">
        <v>45537</v>
      </c>
      <c r="C11960" s="1" t="n">
        <v>45677</v>
      </c>
      <c r="D11960" t="inlineStr">
        <is>
          <t>GÄVLEBORGS LÄN</t>
        </is>
      </c>
      <c r="E11960" t="inlineStr">
        <is>
          <t>NORDANSTIG</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36672-2024</t>
        </is>
      </c>
      <c r="B11961" s="1" t="n">
        <v>45537</v>
      </c>
      <c r="C11961" s="1" t="n">
        <v>45677</v>
      </c>
      <c r="D11961" t="inlineStr">
        <is>
          <t>GÄVLEBORGS LÄN</t>
        </is>
      </c>
      <c r="E11961" t="inlineStr">
        <is>
          <t>NORDANSTIG</t>
        </is>
      </c>
      <c r="F11961" t="inlineStr">
        <is>
          <t>Holmen skog AB</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36694-2024</t>
        </is>
      </c>
      <c r="B11962" s="1" t="n">
        <v>45537</v>
      </c>
      <c r="C11962" s="1" t="n">
        <v>45677</v>
      </c>
      <c r="D11962" t="inlineStr">
        <is>
          <t>GÄVLEBORGS LÄN</t>
        </is>
      </c>
      <c r="E11962" t="inlineStr">
        <is>
          <t>NORDANSTIG</t>
        </is>
      </c>
      <c r="F11962" t="inlineStr">
        <is>
          <t>Holmen skog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36658-2024</t>
        </is>
      </c>
      <c r="B11963" s="1" t="n">
        <v>45537</v>
      </c>
      <c r="C11963" s="1" t="n">
        <v>45677</v>
      </c>
      <c r="D11963" t="inlineStr">
        <is>
          <t>GÄVLEBORGS LÄN</t>
        </is>
      </c>
      <c r="E11963" t="inlineStr">
        <is>
          <t>LJUSDAL</t>
        </is>
      </c>
      <c r="F11963" t="inlineStr">
        <is>
          <t>Holmen skog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36766-2024</t>
        </is>
      </c>
      <c r="B11964" s="1" t="n">
        <v>45538</v>
      </c>
      <c r="C11964" s="1" t="n">
        <v>45677</v>
      </c>
      <c r="D11964" t="inlineStr">
        <is>
          <t>GÄVLEBORGS LÄN</t>
        </is>
      </c>
      <c r="E11964" t="inlineStr">
        <is>
          <t>HOFORS</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36834-2024</t>
        </is>
      </c>
      <c r="B11965" s="1" t="n">
        <v>45538</v>
      </c>
      <c r="C11965" s="1" t="n">
        <v>45677</v>
      </c>
      <c r="D11965" t="inlineStr">
        <is>
          <t>GÄVLEBORGS LÄN</t>
        </is>
      </c>
      <c r="E11965" t="inlineStr">
        <is>
          <t>OVANÅKER</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36755-2024</t>
        </is>
      </c>
      <c r="B11966" s="1" t="n">
        <v>45538</v>
      </c>
      <c r="C11966" s="1" t="n">
        <v>45677</v>
      </c>
      <c r="D11966" t="inlineStr">
        <is>
          <t>GÄVLEBORGS LÄN</t>
        </is>
      </c>
      <c r="E11966" t="inlineStr">
        <is>
          <t>BOLLNÄS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36763-2024</t>
        </is>
      </c>
      <c r="B11967" s="1" t="n">
        <v>45538</v>
      </c>
      <c r="C11967" s="1" t="n">
        <v>45677</v>
      </c>
      <c r="D11967" t="inlineStr">
        <is>
          <t>GÄVLEBORGS LÄN</t>
        </is>
      </c>
      <c r="E11967" t="inlineStr">
        <is>
          <t>HOFORS</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36832-2024</t>
        </is>
      </c>
      <c r="B11968" s="1" t="n">
        <v>45538</v>
      </c>
      <c r="C11968" s="1" t="n">
        <v>45677</v>
      </c>
      <c r="D11968" t="inlineStr">
        <is>
          <t>GÄVLEBORGS LÄN</t>
        </is>
      </c>
      <c r="E11968" t="inlineStr">
        <is>
          <t>OVANÅKER</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36829-2024</t>
        </is>
      </c>
      <c r="B11969" s="1" t="n">
        <v>45538</v>
      </c>
      <c r="C11969" s="1" t="n">
        <v>45677</v>
      </c>
      <c r="D11969" t="inlineStr">
        <is>
          <t>GÄVLEBORGS LÄN</t>
        </is>
      </c>
      <c r="E11969" t="inlineStr">
        <is>
          <t>HUDIKSVALL</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36864-2024</t>
        </is>
      </c>
      <c r="B11970" s="1" t="n">
        <v>45538</v>
      </c>
      <c r="C11970" s="1" t="n">
        <v>45677</v>
      </c>
      <c r="D11970" t="inlineStr">
        <is>
          <t>GÄVLEBORGS LÄN</t>
        </is>
      </c>
      <c r="E11970" t="inlineStr">
        <is>
          <t>OVANÅKER</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36947-2024</t>
        </is>
      </c>
      <c r="B11971" s="1" t="n">
        <v>45538</v>
      </c>
      <c r="C11971" s="1" t="n">
        <v>45677</v>
      </c>
      <c r="D11971" t="inlineStr">
        <is>
          <t>GÄVLEBORGS LÄN</t>
        </is>
      </c>
      <c r="E11971" t="inlineStr">
        <is>
          <t>HUDIKSVALL</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36925-2024</t>
        </is>
      </c>
      <c r="B11972" s="1" t="n">
        <v>45538</v>
      </c>
      <c r="C11972" s="1" t="n">
        <v>45677</v>
      </c>
      <c r="D11972" t="inlineStr">
        <is>
          <t>GÄVLEBORGS LÄN</t>
        </is>
      </c>
      <c r="E11972" t="inlineStr">
        <is>
          <t>NORDANSTIG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36920-2024</t>
        </is>
      </c>
      <c r="B11973" s="1" t="n">
        <v>45538</v>
      </c>
      <c r="C11973" s="1" t="n">
        <v>45677</v>
      </c>
      <c r="D11973" t="inlineStr">
        <is>
          <t>GÄVLEBORGS LÄN</t>
        </is>
      </c>
      <c r="E11973" t="inlineStr">
        <is>
          <t>LJUSDAL</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36990-2024</t>
        </is>
      </c>
      <c r="B11974" s="1" t="n">
        <v>45539</v>
      </c>
      <c r="C11974" s="1" t="n">
        <v>45677</v>
      </c>
      <c r="D11974" t="inlineStr">
        <is>
          <t>GÄVLEBORGS LÄN</t>
        </is>
      </c>
      <c r="E11974" t="inlineStr">
        <is>
          <t>OVANÅKER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37031-2024</t>
        </is>
      </c>
      <c r="B11975" s="1" t="n">
        <v>45539</v>
      </c>
      <c r="C11975" s="1" t="n">
        <v>45677</v>
      </c>
      <c r="D11975" t="inlineStr">
        <is>
          <t>GÄVLEBORGS LÄN</t>
        </is>
      </c>
      <c r="E11975" t="inlineStr">
        <is>
          <t>NORDANSTIG</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37100-2024</t>
        </is>
      </c>
      <c r="B11976" s="1" t="n">
        <v>45539</v>
      </c>
      <c r="C11976" s="1" t="n">
        <v>45677</v>
      </c>
      <c r="D11976" t="inlineStr">
        <is>
          <t>GÄVLEBORGS LÄN</t>
        </is>
      </c>
      <c r="E11976" t="inlineStr">
        <is>
          <t>GÄVLE</t>
        </is>
      </c>
      <c r="F11976" t="inlineStr">
        <is>
          <t>Bergvik skog öst AB</t>
        </is>
      </c>
      <c r="G11976" t="n">
        <v>16.5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37112-2024</t>
        </is>
      </c>
      <c r="B11977" s="1" t="n">
        <v>45539</v>
      </c>
      <c r="C11977" s="1" t="n">
        <v>45677</v>
      </c>
      <c r="D11977" t="inlineStr">
        <is>
          <t>GÄVLEBORGS LÄN</t>
        </is>
      </c>
      <c r="E11977" t="inlineStr">
        <is>
          <t>OVANÅKER</t>
        </is>
      </c>
      <c r="F11977" t="inlineStr">
        <is>
          <t>Bergvik skog väst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37128-2024</t>
        </is>
      </c>
      <c r="B11978" s="1" t="n">
        <v>45539</v>
      </c>
      <c r="C11978" s="1" t="n">
        <v>45677</v>
      </c>
      <c r="D11978" t="inlineStr">
        <is>
          <t>GÄVLEBORGS LÄN</t>
        </is>
      </c>
      <c r="E11978" t="inlineStr">
        <is>
          <t>BOLLNÄS</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36991-2024</t>
        </is>
      </c>
      <c r="B11979" s="1" t="n">
        <v>45539</v>
      </c>
      <c r="C11979" s="1" t="n">
        <v>45677</v>
      </c>
      <c r="D11979" t="inlineStr">
        <is>
          <t>GÄVLEBORGS LÄN</t>
        </is>
      </c>
      <c r="E11979" t="inlineStr">
        <is>
          <t>OVANÅKER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37110-2024</t>
        </is>
      </c>
      <c r="B11980" s="1" t="n">
        <v>45539</v>
      </c>
      <c r="C11980" s="1" t="n">
        <v>45677</v>
      </c>
      <c r="D11980" t="inlineStr">
        <is>
          <t>GÄVLEBORGS LÄN</t>
        </is>
      </c>
      <c r="E11980" t="inlineStr">
        <is>
          <t>OVANÅKER</t>
        </is>
      </c>
      <c r="F11980" t="inlineStr">
        <is>
          <t>Bergvik skog väst AB</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37004-2024</t>
        </is>
      </c>
      <c r="B11981" s="1" t="n">
        <v>45539</v>
      </c>
      <c r="C11981" s="1" t="n">
        <v>45677</v>
      </c>
      <c r="D11981" t="inlineStr">
        <is>
          <t>GÄVLEBORGS LÄN</t>
        </is>
      </c>
      <c r="E11981" t="inlineStr">
        <is>
          <t>OVANÅKER</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37146-2024</t>
        </is>
      </c>
      <c r="B11982" s="1" t="n">
        <v>45539</v>
      </c>
      <c r="C11982" s="1" t="n">
        <v>45677</v>
      </c>
      <c r="D11982" t="inlineStr">
        <is>
          <t>GÄVLEBORGS LÄN</t>
        </is>
      </c>
      <c r="E11982" t="inlineStr">
        <is>
          <t>GÄVLE</t>
        </is>
      </c>
      <c r="G11982" t="n">
        <v>9.4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37158-2024</t>
        </is>
      </c>
      <c r="B11983" s="1" t="n">
        <v>45539</v>
      </c>
      <c r="C11983" s="1" t="n">
        <v>45677</v>
      </c>
      <c r="D11983" t="inlineStr">
        <is>
          <t>GÄVLEBORGS LÄN</t>
        </is>
      </c>
      <c r="E11983" t="inlineStr">
        <is>
          <t>OCKELBO</t>
        </is>
      </c>
      <c r="F11983" t="inlineStr">
        <is>
          <t>Bergvik skog väst AB</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37148-2024</t>
        </is>
      </c>
      <c r="B11984" s="1" t="n">
        <v>45539</v>
      </c>
      <c r="C11984" s="1" t="n">
        <v>45677</v>
      </c>
      <c r="D11984" t="inlineStr">
        <is>
          <t>GÄVLEBORGS LÄN</t>
        </is>
      </c>
      <c r="E11984" t="inlineStr">
        <is>
          <t>GÄVLE</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37176-2024</t>
        </is>
      </c>
      <c r="B11985" s="1" t="n">
        <v>45539</v>
      </c>
      <c r="C11985" s="1" t="n">
        <v>45677</v>
      </c>
      <c r="D11985" t="inlineStr">
        <is>
          <t>GÄVLEBORGS LÄN</t>
        </is>
      </c>
      <c r="E11985" t="inlineStr">
        <is>
          <t>OCKELBO</t>
        </is>
      </c>
      <c r="F11985" t="inlineStr">
        <is>
          <t>Bergvik skog väst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37167-2024</t>
        </is>
      </c>
      <c r="B11986" s="1" t="n">
        <v>45539</v>
      </c>
      <c r="C11986" s="1" t="n">
        <v>45677</v>
      </c>
      <c r="D11986" t="inlineStr">
        <is>
          <t>GÄVLEBORGS LÄN</t>
        </is>
      </c>
      <c r="E11986" t="inlineStr">
        <is>
          <t>OCKELBO</t>
        </is>
      </c>
      <c r="F11986" t="inlineStr">
        <is>
          <t>Bergvik skog väst AB</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37005-2024</t>
        </is>
      </c>
      <c r="B11987" s="1" t="n">
        <v>45539</v>
      </c>
      <c r="C11987" s="1" t="n">
        <v>45677</v>
      </c>
      <c r="D11987" t="inlineStr">
        <is>
          <t>GÄVLEBORGS LÄN</t>
        </is>
      </c>
      <c r="E11987" t="inlineStr">
        <is>
          <t>GÄVLE</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37217-2024</t>
        </is>
      </c>
      <c r="B11988" s="1" t="n">
        <v>45539</v>
      </c>
      <c r="C11988" s="1" t="n">
        <v>45677</v>
      </c>
      <c r="D11988" t="inlineStr">
        <is>
          <t>GÄVLEBORGS LÄN</t>
        </is>
      </c>
      <c r="E11988" t="inlineStr">
        <is>
          <t>NORDANSTIG</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37071-2024</t>
        </is>
      </c>
      <c r="B11989" s="1" t="n">
        <v>45539</v>
      </c>
      <c r="C11989" s="1" t="n">
        <v>45677</v>
      </c>
      <c r="D11989" t="inlineStr">
        <is>
          <t>GÄVLEBORGS LÄN</t>
        </is>
      </c>
      <c r="E11989" t="inlineStr">
        <is>
          <t>OVANÅKER</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37002-2024</t>
        </is>
      </c>
      <c r="B11990" s="1" t="n">
        <v>45539</v>
      </c>
      <c r="C11990" s="1" t="n">
        <v>45677</v>
      </c>
      <c r="D11990" t="inlineStr">
        <is>
          <t>GÄVLEBORGS LÄN</t>
        </is>
      </c>
      <c r="E11990" t="inlineStr">
        <is>
          <t>NORDANSTIG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37088-2024</t>
        </is>
      </c>
      <c r="B11991" s="1" t="n">
        <v>45539</v>
      </c>
      <c r="C11991" s="1" t="n">
        <v>45677</v>
      </c>
      <c r="D11991" t="inlineStr">
        <is>
          <t>GÄVLEBORGS LÄN</t>
        </is>
      </c>
      <c r="E11991" t="inlineStr">
        <is>
          <t>LJUSDAL</t>
        </is>
      </c>
      <c r="F11991" t="inlineStr">
        <is>
          <t>Sveaskog</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37258-2024</t>
        </is>
      </c>
      <c r="B11992" s="1" t="n">
        <v>45540</v>
      </c>
      <c r="C11992" s="1" t="n">
        <v>45677</v>
      </c>
      <c r="D11992" t="inlineStr">
        <is>
          <t>GÄVLEBORGS LÄN</t>
        </is>
      </c>
      <c r="E11992" t="inlineStr">
        <is>
          <t>GÄVLE</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37299-2024</t>
        </is>
      </c>
      <c r="B11993" s="1" t="n">
        <v>45540</v>
      </c>
      <c r="C11993" s="1" t="n">
        <v>45677</v>
      </c>
      <c r="D11993" t="inlineStr">
        <is>
          <t>GÄVLEBORGS LÄN</t>
        </is>
      </c>
      <c r="E11993" t="inlineStr">
        <is>
          <t>BOLLNÄS</t>
        </is>
      </c>
      <c r="F11993" t="inlineStr">
        <is>
          <t>Bergvik skog väst AB</t>
        </is>
      </c>
      <c r="G11993" t="n">
        <v>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37340-2024</t>
        </is>
      </c>
      <c r="B11994" s="1" t="n">
        <v>45540</v>
      </c>
      <c r="C11994" s="1" t="n">
        <v>45677</v>
      </c>
      <c r="D11994" t="inlineStr">
        <is>
          <t>GÄVLEBORGS LÄN</t>
        </is>
      </c>
      <c r="E11994" t="inlineStr">
        <is>
          <t>OVANÅKER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37345-2024</t>
        </is>
      </c>
      <c r="B11995" s="1" t="n">
        <v>45540</v>
      </c>
      <c r="C11995" s="1" t="n">
        <v>45677</v>
      </c>
      <c r="D11995" t="inlineStr">
        <is>
          <t>GÄVLEBORGS LÄN</t>
        </is>
      </c>
      <c r="E11995" t="inlineStr">
        <is>
          <t>BOLLNÄS</t>
        </is>
      </c>
      <c r="F11995" t="inlineStr">
        <is>
          <t>Bergvik skog väst AB</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37349-2024</t>
        </is>
      </c>
      <c r="B11996" s="1" t="n">
        <v>45540</v>
      </c>
      <c r="C11996" s="1" t="n">
        <v>45677</v>
      </c>
      <c r="D11996" t="inlineStr">
        <is>
          <t>GÄVLEBORGS LÄN</t>
        </is>
      </c>
      <c r="E11996" t="inlineStr">
        <is>
          <t>SANDVIKEN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37365-2024</t>
        </is>
      </c>
      <c r="B11997" s="1" t="n">
        <v>45540</v>
      </c>
      <c r="C11997" s="1" t="n">
        <v>45677</v>
      </c>
      <c r="D11997" t="inlineStr">
        <is>
          <t>GÄVLEBORGS LÄN</t>
        </is>
      </c>
      <c r="E11997" t="inlineStr">
        <is>
          <t>GÄVLE</t>
        </is>
      </c>
      <c r="F11997" t="inlineStr">
        <is>
          <t>Bergvik skog väst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37369-2024</t>
        </is>
      </c>
      <c r="B11998" s="1" t="n">
        <v>45540</v>
      </c>
      <c r="C11998" s="1" t="n">
        <v>45677</v>
      </c>
      <c r="D11998" t="inlineStr">
        <is>
          <t>GÄVLEBORGS LÄN</t>
        </is>
      </c>
      <c r="E11998" t="inlineStr">
        <is>
          <t>HUDIKSVALL</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37232-2024</t>
        </is>
      </c>
      <c r="B11999" s="1" t="n">
        <v>45540</v>
      </c>
      <c r="C11999" s="1" t="n">
        <v>45677</v>
      </c>
      <c r="D11999" t="inlineStr">
        <is>
          <t>GÄVLEBORGS LÄN</t>
        </is>
      </c>
      <c r="E11999" t="inlineStr">
        <is>
          <t>SANDVIKEN</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37243-2024</t>
        </is>
      </c>
      <c r="B12000" s="1" t="n">
        <v>45540</v>
      </c>
      <c r="C12000" s="1" t="n">
        <v>45677</v>
      </c>
      <c r="D12000" t="inlineStr">
        <is>
          <t>GÄVLEBORGS LÄN</t>
        </is>
      </c>
      <c r="E12000" t="inlineStr">
        <is>
          <t>NORDANSTIG</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37253-2024</t>
        </is>
      </c>
      <c r="B12001" s="1" t="n">
        <v>45540</v>
      </c>
      <c r="C12001" s="1" t="n">
        <v>45677</v>
      </c>
      <c r="D12001" t="inlineStr">
        <is>
          <t>GÄVLEBORGS LÄN</t>
        </is>
      </c>
      <c r="E12001" t="inlineStr">
        <is>
          <t>GÄVLE</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37294-2024</t>
        </is>
      </c>
      <c r="B12002" s="1" t="n">
        <v>45540</v>
      </c>
      <c r="C12002" s="1" t="n">
        <v>45677</v>
      </c>
      <c r="D12002" t="inlineStr">
        <is>
          <t>GÄVLEBORGS LÄN</t>
        </is>
      </c>
      <c r="E12002" t="inlineStr">
        <is>
          <t>NORDANSTIG</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37306-2024</t>
        </is>
      </c>
      <c r="B12003" s="1" t="n">
        <v>45540</v>
      </c>
      <c r="C12003" s="1" t="n">
        <v>45677</v>
      </c>
      <c r="D12003" t="inlineStr">
        <is>
          <t>GÄVLEBORGS LÄN</t>
        </is>
      </c>
      <c r="E12003" t="inlineStr">
        <is>
          <t>OVANÅKER</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37348-2024</t>
        </is>
      </c>
      <c r="B12004" s="1" t="n">
        <v>45540</v>
      </c>
      <c r="C12004" s="1" t="n">
        <v>45677</v>
      </c>
      <c r="D12004" t="inlineStr">
        <is>
          <t>GÄVLEBORGS LÄN</t>
        </is>
      </c>
      <c r="E12004" t="inlineStr">
        <is>
          <t>SANDVIKEN</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37352-2024</t>
        </is>
      </c>
      <c r="B12005" s="1" t="n">
        <v>45540</v>
      </c>
      <c r="C12005" s="1" t="n">
        <v>45677</v>
      </c>
      <c r="D12005" t="inlineStr">
        <is>
          <t>GÄVLEBORGS LÄN</t>
        </is>
      </c>
      <c r="E12005" t="inlineStr">
        <is>
          <t>GÄVLE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37360-2024</t>
        </is>
      </c>
      <c r="B12006" s="1" t="n">
        <v>45540</v>
      </c>
      <c r="C12006" s="1" t="n">
        <v>45677</v>
      </c>
      <c r="D12006" t="inlineStr">
        <is>
          <t>GÄVLEBORGS LÄN</t>
        </is>
      </c>
      <c r="E12006" t="inlineStr">
        <is>
          <t>BOLLNÄS</t>
        </is>
      </c>
      <c r="F12006" t="inlineStr">
        <is>
          <t>Bergvik skog väst AB</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37317-2024</t>
        </is>
      </c>
      <c r="B12007" s="1" t="n">
        <v>45540</v>
      </c>
      <c r="C12007" s="1" t="n">
        <v>45677</v>
      </c>
      <c r="D12007" t="inlineStr">
        <is>
          <t>GÄVLEBORGS LÄN</t>
        </is>
      </c>
      <c r="E12007" t="inlineStr">
        <is>
          <t>OVANÅKER</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37338-2024</t>
        </is>
      </c>
      <c r="B12008" s="1" t="n">
        <v>45540</v>
      </c>
      <c r="C12008" s="1" t="n">
        <v>45677</v>
      </c>
      <c r="D12008" t="inlineStr">
        <is>
          <t>GÄVLEBORGS LÄN</t>
        </is>
      </c>
      <c r="E12008" t="inlineStr">
        <is>
          <t>OVANÅKER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37342-2024</t>
        </is>
      </c>
      <c r="B12009" s="1" t="n">
        <v>45540</v>
      </c>
      <c r="C12009" s="1" t="n">
        <v>45677</v>
      </c>
      <c r="D12009" t="inlineStr">
        <is>
          <t>GÄVLEBORGS LÄN</t>
        </is>
      </c>
      <c r="E12009" t="inlineStr">
        <is>
          <t>OVANÅKER</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37363-2024</t>
        </is>
      </c>
      <c r="B12010" s="1" t="n">
        <v>45540</v>
      </c>
      <c r="C12010" s="1" t="n">
        <v>45677</v>
      </c>
      <c r="D12010" t="inlineStr">
        <is>
          <t>GÄVLEBORGS LÄN</t>
        </is>
      </c>
      <c r="E12010" t="inlineStr">
        <is>
          <t>GÄVLE</t>
        </is>
      </c>
      <c r="F12010" t="inlineStr">
        <is>
          <t>Bergvik skog väst AB</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37367-2024</t>
        </is>
      </c>
      <c r="B12011" s="1" t="n">
        <v>45540</v>
      </c>
      <c r="C12011" s="1" t="n">
        <v>45677</v>
      </c>
      <c r="D12011" t="inlineStr">
        <is>
          <t>GÄVLEBORGS LÄN</t>
        </is>
      </c>
      <c r="E12011" t="inlineStr">
        <is>
          <t>SANDVIKEN</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37443-2024</t>
        </is>
      </c>
      <c r="B12012" s="1" t="n">
        <v>45540</v>
      </c>
      <c r="C12012" s="1" t="n">
        <v>45677</v>
      </c>
      <c r="D12012" t="inlineStr">
        <is>
          <t>GÄVLEBORGS LÄN</t>
        </is>
      </c>
      <c r="E12012" t="inlineStr">
        <is>
          <t>SANDVIKEN</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37455-2024</t>
        </is>
      </c>
      <c r="B12013" s="1" t="n">
        <v>45540</v>
      </c>
      <c r="C12013" s="1" t="n">
        <v>45677</v>
      </c>
      <c r="D12013" t="inlineStr">
        <is>
          <t>GÄVLEBORGS LÄN</t>
        </is>
      </c>
      <c r="E12013" t="inlineStr">
        <is>
          <t>SANDVIKEN</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37459-2024</t>
        </is>
      </c>
      <c r="B12014" s="1" t="n">
        <v>45540</v>
      </c>
      <c r="C12014" s="1" t="n">
        <v>45677</v>
      </c>
      <c r="D12014" t="inlineStr">
        <is>
          <t>GÄVLEBORGS LÄN</t>
        </is>
      </c>
      <c r="E12014" t="inlineStr">
        <is>
          <t>SANDVIKEN</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37350-2024</t>
        </is>
      </c>
      <c r="B12015" s="1" t="n">
        <v>45540</v>
      </c>
      <c r="C12015" s="1" t="n">
        <v>45677</v>
      </c>
      <c r="D12015" t="inlineStr">
        <is>
          <t>GÄVLEBORGS LÄN</t>
        </is>
      </c>
      <c r="E12015" t="inlineStr">
        <is>
          <t>GÄVLE</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37414-2024</t>
        </is>
      </c>
      <c r="B12016" s="1" t="n">
        <v>45540</v>
      </c>
      <c r="C12016" s="1" t="n">
        <v>45677</v>
      </c>
      <c r="D12016" t="inlineStr">
        <is>
          <t>GÄVLEBORGS LÄN</t>
        </is>
      </c>
      <c r="E12016" t="inlineStr">
        <is>
          <t>LJUSDAL</t>
        </is>
      </c>
      <c r="F12016" t="inlineStr">
        <is>
          <t>Allmännings- och besparingsskogar</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37453-2024</t>
        </is>
      </c>
      <c r="B12017" s="1" t="n">
        <v>45540</v>
      </c>
      <c r="C12017" s="1" t="n">
        <v>45677</v>
      </c>
      <c r="D12017" t="inlineStr">
        <is>
          <t>GÄVLEBORGS LÄN</t>
        </is>
      </c>
      <c r="E12017" t="inlineStr">
        <is>
          <t>SANDVIKEN</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37456-2024</t>
        </is>
      </c>
      <c r="B12018" s="1" t="n">
        <v>45540</v>
      </c>
      <c r="C12018" s="1" t="n">
        <v>45677</v>
      </c>
      <c r="D12018" t="inlineStr">
        <is>
          <t>GÄVLEBORGS LÄN</t>
        </is>
      </c>
      <c r="E12018" t="inlineStr">
        <is>
          <t>SANDVIKEN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37458-2024</t>
        </is>
      </c>
      <c r="B12019" s="1" t="n">
        <v>45540</v>
      </c>
      <c r="C12019" s="1" t="n">
        <v>45677</v>
      </c>
      <c r="D12019" t="inlineStr">
        <is>
          <t>GÄVLEBORGS LÄN</t>
        </is>
      </c>
      <c r="E12019" t="inlineStr">
        <is>
          <t>SANDVIKEN</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37495-2024</t>
        </is>
      </c>
      <c r="B12020" s="1" t="n">
        <v>45541</v>
      </c>
      <c r="C12020" s="1" t="n">
        <v>45677</v>
      </c>
      <c r="D12020" t="inlineStr">
        <is>
          <t>GÄVLEBORGS LÄN</t>
        </is>
      </c>
      <c r="E12020" t="inlineStr">
        <is>
          <t>HUDIKSVALL</t>
        </is>
      </c>
      <c r="F12020" t="inlineStr">
        <is>
          <t>Naturvårdsverket</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37478-2024</t>
        </is>
      </c>
      <c r="B12021" s="1" t="n">
        <v>45541</v>
      </c>
      <c r="C12021" s="1" t="n">
        <v>45677</v>
      </c>
      <c r="D12021" t="inlineStr">
        <is>
          <t>GÄVLEBORGS LÄN</t>
        </is>
      </c>
      <c r="E12021" t="inlineStr">
        <is>
          <t>OVANÅKER</t>
        </is>
      </c>
      <c r="F12021" t="inlineStr">
        <is>
          <t>Bergvik skog väst AB</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37560-2024</t>
        </is>
      </c>
      <c r="B12022" s="1" t="n">
        <v>45541</v>
      </c>
      <c r="C12022" s="1" t="n">
        <v>45677</v>
      </c>
      <c r="D12022" t="inlineStr">
        <is>
          <t>GÄVLEBORGS LÄN</t>
        </is>
      </c>
      <c r="E12022" t="inlineStr">
        <is>
          <t>LJUSDAL</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37617-2024</t>
        </is>
      </c>
      <c r="B12023" s="1" t="n">
        <v>45541</v>
      </c>
      <c r="C12023" s="1" t="n">
        <v>45677</v>
      </c>
      <c r="D12023" t="inlineStr">
        <is>
          <t>GÄVLEBORGS LÄN</t>
        </is>
      </c>
      <c r="E12023" t="inlineStr">
        <is>
          <t>NORDANSTIG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37641-2024</t>
        </is>
      </c>
      <c r="B12024" s="1" t="n">
        <v>45541</v>
      </c>
      <c r="C12024" s="1" t="n">
        <v>45677</v>
      </c>
      <c r="D12024" t="inlineStr">
        <is>
          <t>GÄVLEBORGS LÄN</t>
        </is>
      </c>
      <c r="E12024" t="inlineStr">
        <is>
          <t>SANDVIKEN</t>
        </is>
      </c>
      <c r="F12024" t="inlineStr">
        <is>
          <t>Sveaskog</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37657-2024</t>
        </is>
      </c>
      <c r="B12025" s="1" t="n">
        <v>45541</v>
      </c>
      <c r="C12025" s="1" t="n">
        <v>45677</v>
      </c>
      <c r="D12025" t="inlineStr">
        <is>
          <t>GÄVLEBORGS LÄN</t>
        </is>
      </c>
      <c r="E12025" t="inlineStr">
        <is>
          <t>OCKELBO</t>
        </is>
      </c>
      <c r="F12025" t="inlineStr">
        <is>
          <t>Bergvik skog väst AB</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37686-2024</t>
        </is>
      </c>
      <c r="B12026" s="1" t="n">
        <v>45541</v>
      </c>
      <c r="C12026" s="1" t="n">
        <v>45677</v>
      </c>
      <c r="D12026" t="inlineStr">
        <is>
          <t>GÄVLEBORGS LÄN</t>
        </is>
      </c>
      <c r="E12026" t="inlineStr">
        <is>
          <t>NORDANSTIG</t>
        </is>
      </c>
      <c r="F12026" t="inlineStr">
        <is>
          <t>Holmen skog AB</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37692-2024</t>
        </is>
      </c>
      <c r="B12027" s="1" t="n">
        <v>45541</v>
      </c>
      <c r="C12027" s="1" t="n">
        <v>45677</v>
      </c>
      <c r="D12027" t="inlineStr">
        <is>
          <t>GÄVLEBORGS LÄN</t>
        </is>
      </c>
      <c r="E12027" t="inlineStr">
        <is>
          <t>SÖDERHAMN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37696-2024</t>
        </is>
      </c>
      <c r="B12028" s="1" t="n">
        <v>45541</v>
      </c>
      <c r="C12028" s="1" t="n">
        <v>45677</v>
      </c>
      <c r="D12028" t="inlineStr">
        <is>
          <t>GÄVLEBORGS LÄN</t>
        </is>
      </c>
      <c r="E12028" t="inlineStr">
        <is>
          <t>NORDANSTIG</t>
        </is>
      </c>
      <c r="F12028" t="inlineStr">
        <is>
          <t>Holmen skog AB</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37700-2024</t>
        </is>
      </c>
      <c r="B12029" s="1" t="n">
        <v>45541</v>
      </c>
      <c r="C12029" s="1" t="n">
        <v>45677</v>
      </c>
      <c r="D12029" t="inlineStr">
        <is>
          <t>GÄVLEBORGS LÄN</t>
        </is>
      </c>
      <c r="E12029" t="inlineStr">
        <is>
          <t>HUDIKSVALL</t>
        </is>
      </c>
      <c r="F12029" t="inlineStr">
        <is>
          <t>Kommuner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37604-2024</t>
        </is>
      </c>
      <c r="B12030" s="1" t="n">
        <v>45541</v>
      </c>
      <c r="C12030" s="1" t="n">
        <v>45677</v>
      </c>
      <c r="D12030" t="inlineStr">
        <is>
          <t>GÄVLEBORGS LÄN</t>
        </is>
      </c>
      <c r="E12030" t="inlineStr">
        <is>
          <t>SANDVIKEN</t>
        </is>
      </c>
      <c r="F12030" t="inlineStr">
        <is>
          <t>Sveaskog</t>
        </is>
      </c>
      <c r="G12030" t="n">
        <v>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37689-2024</t>
        </is>
      </c>
      <c r="B12031" s="1" t="n">
        <v>45541</v>
      </c>
      <c r="C12031" s="1" t="n">
        <v>45677</v>
      </c>
      <c r="D12031" t="inlineStr">
        <is>
          <t>GÄVLEBORGS LÄN</t>
        </is>
      </c>
      <c r="E12031" t="inlineStr">
        <is>
          <t>HUDIKSVALL</t>
        </is>
      </c>
      <c r="F12031" t="inlineStr">
        <is>
          <t>Kommuner</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37541-2024</t>
        </is>
      </c>
      <c r="B12032" s="1" t="n">
        <v>45541</v>
      </c>
      <c r="C12032" s="1" t="n">
        <v>45677</v>
      </c>
      <c r="D12032" t="inlineStr">
        <is>
          <t>GÄVLEBORGS LÄN</t>
        </is>
      </c>
      <c r="E12032" t="inlineStr">
        <is>
          <t>HUDIKSVALL</t>
        </is>
      </c>
      <c r="F12032" t="inlineStr">
        <is>
          <t>Naturvårdsverket</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37619-2024</t>
        </is>
      </c>
      <c r="B12033" s="1" t="n">
        <v>45541</v>
      </c>
      <c r="C12033" s="1" t="n">
        <v>45677</v>
      </c>
      <c r="D12033" t="inlineStr">
        <is>
          <t>GÄVLEBORGS LÄN</t>
        </is>
      </c>
      <c r="E12033" t="inlineStr">
        <is>
          <t>NORDANSTIG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37643-2024</t>
        </is>
      </c>
      <c r="B12034" s="1" t="n">
        <v>45541</v>
      </c>
      <c r="C12034" s="1" t="n">
        <v>45677</v>
      </c>
      <c r="D12034" t="inlineStr">
        <is>
          <t>GÄVLEBORGS LÄN</t>
        </is>
      </c>
      <c r="E12034" t="inlineStr">
        <is>
          <t>SANDVIKEN</t>
        </is>
      </c>
      <c r="F12034" t="inlineStr">
        <is>
          <t>Sveaskog</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37693-2024</t>
        </is>
      </c>
      <c r="B12035" s="1" t="n">
        <v>45541</v>
      </c>
      <c r="C12035" s="1" t="n">
        <v>45677</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37697-2024</t>
        </is>
      </c>
      <c r="B12036" s="1" t="n">
        <v>45541</v>
      </c>
      <c r="C12036" s="1" t="n">
        <v>45677</v>
      </c>
      <c r="D12036" t="inlineStr">
        <is>
          <t>GÄVLEBORGS LÄN</t>
        </is>
      </c>
      <c r="E12036" t="inlineStr">
        <is>
          <t>HUDIKSVALL</t>
        </is>
      </c>
      <c r="F12036" t="inlineStr">
        <is>
          <t>Kommuner</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37764-2024</t>
        </is>
      </c>
      <c r="B12037" s="1" t="n">
        <v>45541</v>
      </c>
      <c r="C12037" s="1" t="n">
        <v>45677</v>
      </c>
      <c r="D12037" t="inlineStr">
        <is>
          <t>GÄVLEBORGS LÄN</t>
        </is>
      </c>
      <c r="E12037" t="inlineStr">
        <is>
          <t>LJUSDAL</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37768-2024</t>
        </is>
      </c>
      <c r="B12038" s="1" t="n">
        <v>45541</v>
      </c>
      <c r="C12038" s="1" t="n">
        <v>45677</v>
      </c>
      <c r="D12038" t="inlineStr">
        <is>
          <t>GÄVLEBORGS LÄN</t>
        </is>
      </c>
      <c r="E12038" t="inlineStr">
        <is>
          <t>OVANÅKER</t>
        </is>
      </c>
      <c r="F12038" t="inlineStr">
        <is>
          <t>Bergvik skog väst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37739-2024</t>
        </is>
      </c>
      <c r="B12039" s="1" t="n">
        <v>45541</v>
      </c>
      <c r="C12039" s="1" t="n">
        <v>45677</v>
      </c>
      <c r="D12039" t="inlineStr">
        <is>
          <t>GÄVLEBORGS LÄN</t>
        </is>
      </c>
      <c r="E12039" t="inlineStr">
        <is>
          <t>NORDANSTIG</t>
        </is>
      </c>
      <c r="F12039" t="inlineStr">
        <is>
          <t>Holmen skog AB</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37763-2024</t>
        </is>
      </c>
      <c r="B12040" s="1" t="n">
        <v>45541</v>
      </c>
      <c r="C12040" s="1" t="n">
        <v>45677</v>
      </c>
      <c r="D12040" t="inlineStr">
        <is>
          <t>GÄVLEBORGS LÄN</t>
        </is>
      </c>
      <c r="E12040" t="inlineStr">
        <is>
          <t>LJUSDAL</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37767-2024</t>
        </is>
      </c>
      <c r="B12041" s="1" t="n">
        <v>45541</v>
      </c>
      <c r="C12041" s="1" t="n">
        <v>45677</v>
      </c>
      <c r="D12041" t="inlineStr">
        <is>
          <t>GÄVLEBORGS LÄN</t>
        </is>
      </c>
      <c r="E12041" t="inlineStr">
        <is>
          <t>LJUSDAL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37765-2024</t>
        </is>
      </c>
      <c r="B12042" s="1" t="n">
        <v>45541</v>
      </c>
      <c r="C12042" s="1" t="n">
        <v>45677</v>
      </c>
      <c r="D12042" t="inlineStr">
        <is>
          <t>GÄVLEBORGS LÄN</t>
        </is>
      </c>
      <c r="E12042" t="inlineStr">
        <is>
          <t>OVANÅKER</t>
        </is>
      </c>
      <c r="F12042" t="inlineStr">
        <is>
          <t>Bergvik skog väst AB</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37758-2024</t>
        </is>
      </c>
      <c r="B12043" s="1" t="n">
        <v>45541</v>
      </c>
      <c r="C12043" s="1" t="n">
        <v>45677</v>
      </c>
      <c r="D12043" t="inlineStr">
        <is>
          <t>GÄVLEBORGS LÄN</t>
        </is>
      </c>
      <c r="E12043" t="inlineStr">
        <is>
          <t>LJUSDAL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37779-2024</t>
        </is>
      </c>
      <c r="B12044" s="1" t="n">
        <v>45542</v>
      </c>
      <c r="C12044" s="1" t="n">
        <v>45677</v>
      </c>
      <c r="D12044" t="inlineStr">
        <is>
          <t>GÄVLEBORGS LÄN</t>
        </is>
      </c>
      <c r="E12044" t="inlineStr">
        <is>
          <t>BOLLNÄS</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37778-2024</t>
        </is>
      </c>
      <c r="B12045" s="1" t="n">
        <v>45542</v>
      </c>
      <c r="C12045" s="1" t="n">
        <v>45677</v>
      </c>
      <c r="D12045" t="inlineStr">
        <is>
          <t>GÄVLEBORGS LÄN</t>
        </is>
      </c>
      <c r="E12045" t="inlineStr">
        <is>
          <t>HUDIKSVALL</t>
        </is>
      </c>
      <c r="F12045" t="inlineStr">
        <is>
          <t>Holmen skog AB</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37780-2024</t>
        </is>
      </c>
      <c r="B12046" s="1" t="n">
        <v>45542</v>
      </c>
      <c r="C12046" s="1" t="n">
        <v>45677</v>
      </c>
      <c r="D12046" t="inlineStr">
        <is>
          <t>GÄVLEBORGS LÄN</t>
        </is>
      </c>
      <c r="E12046" t="inlineStr">
        <is>
          <t>BOLLNÄS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37777-2024</t>
        </is>
      </c>
      <c r="B12047" s="1" t="n">
        <v>45542</v>
      </c>
      <c r="C12047" s="1" t="n">
        <v>45677</v>
      </c>
      <c r="D12047" t="inlineStr">
        <is>
          <t>GÄVLEBORGS LÄN</t>
        </is>
      </c>
      <c r="E12047" t="inlineStr">
        <is>
          <t>OVANÅKER</t>
        </is>
      </c>
      <c r="F12047" t="inlineStr">
        <is>
          <t>Bergvik skog väst AB</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37848-2024</t>
        </is>
      </c>
      <c r="B12048" s="1" t="n">
        <v>45544</v>
      </c>
      <c r="C12048" s="1" t="n">
        <v>45677</v>
      </c>
      <c r="D12048" t="inlineStr">
        <is>
          <t>GÄVLEBORGS LÄN</t>
        </is>
      </c>
      <c r="E12048" t="inlineStr">
        <is>
          <t>OCKELBO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37916-2024</t>
        </is>
      </c>
      <c r="B12049" s="1" t="n">
        <v>45544</v>
      </c>
      <c r="C12049" s="1" t="n">
        <v>45677</v>
      </c>
      <c r="D12049" t="inlineStr">
        <is>
          <t>GÄVLEBORGS LÄN</t>
        </is>
      </c>
      <c r="E12049" t="inlineStr">
        <is>
          <t>SÖDERHAMN</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37837-2024</t>
        </is>
      </c>
      <c r="B12050" s="1" t="n">
        <v>45544</v>
      </c>
      <c r="C12050" s="1" t="n">
        <v>45677</v>
      </c>
      <c r="D12050" t="inlineStr">
        <is>
          <t>GÄVLEBORGS LÄN</t>
        </is>
      </c>
      <c r="E12050" t="inlineStr">
        <is>
          <t>SÖDERHAMN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37845-2024</t>
        </is>
      </c>
      <c r="B12051" s="1" t="n">
        <v>45544</v>
      </c>
      <c r="C12051" s="1" t="n">
        <v>45677</v>
      </c>
      <c r="D12051" t="inlineStr">
        <is>
          <t>GÄVLEBORGS LÄN</t>
        </is>
      </c>
      <c r="E12051" t="inlineStr">
        <is>
          <t>OCKELBO</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37996-2024</t>
        </is>
      </c>
      <c r="B12052" s="1" t="n">
        <v>45544</v>
      </c>
      <c r="C12052" s="1" t="n">
        <v>45677</v>
      </c>
      <c r="D12052" t="inlineStr">
        <is>
          <t>GÄVLEBORGS LÄN</t>
        </is>
      </c>
      <c r="E12052" t="inlineStr">
        <is>
          <t>SANDVIKEN</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37893-2024</t>
        </is>
      </c>
      <c r="B12053" s="1" t="n">
        <v>45544</v>
      </c>
      <c r="C12053" s="1" t="n">
        <v>45677</v>
      </c>
      <c r="D12053" t="inlineStr">
        <is>
          <t>GÄVLEBORGS LÄN</t>
        </is>
      </c>
      <c r="E12053" t="inlineStr">
        <is>
          <t>GÄVLE</t>
        </is>
      </c>
      <c r="F12053" t="inlineStr">
        <is>
          <t>Bergvik skog öst AB</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38001-2024</t>
        </is>
      </c>
      <c r="B12054" s="1" t="n">
        <v>45544</v>
      </c>
      <c r="C12054" s="1" t="n">
        <v>45677</v>
      </c>
      <c r="D12054" t="inlineStr">
        <is>
          <t>GÄVLEBORGS LÄN</t>
        </is>
      </c>
      <c r="E12054" t="inlineStr">
        <is>
          <t>BOLLNÄS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37974-2024</t>
        </is>
      </c>
      <c r="B12055" s="1" t="n">
        <v>45544</v>
      </c>
      <c r="C12055" s="1" t="n">
        <v>45677</v>
      </c>
      <c r="D12055" t="inlineStr">
        <is>
          <t>GÄVLEBORGS LÄN</t>
        </is>
      </c>
      <c r="E12055" t="inlineStr">
        <is>
          <t>NORDANSTIG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38022-2024</t>
        </is>
      </c>
      <c r="B12056" s="1" t="n">
        <v>45544</v>
      </c>
      <c r="C12056" s="1" t="n">
        <v>45677</v>
      </c>
      <c r="D12056" t="inlineStr">
        <is>
          <t>GÄVLEBORGS LÄN</t>
        </is>
      </c>
      <c r="E12056" t="inlineStr">
        <is>
          <t>HUDIKSVALL</t>
        </is>
      </c>
      <c r="F12056" t="inlineStr">
        <is>
          <t>Kommuner</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38050-2024</t>
        </is>
      </c>
      <c r="B12057" s="1" t="n">
        <v>45544</v>
      </c>
      <c r="C12057" s="1" t="n">
        <v>45677</v>
      </c>
      <c r="D12057" t="inlineStr">
        <is>
          <t>GÄVLEBORGS LÄN</t>
        </is>
      </c>
      <c r="E12057" t="inlineStr">
        <is>
          <t>NORDANSTIG</t>
        </is>
      </c>
      <c r="F12057" t="inlineStr">
        <is>
          <t>Holmen skog AB</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38048-2024</t>
        </is>
      </c>
      <c r="B12058" s="1" t="n">
        <v>45544</v>
      </c>
      <c r="C12058" s="1" t="n">
        <v>45677</v>
      </c>
      <c r="D12058" t="inlineStr">
        <is>
          <t>GÄVLEBORGS LÄN</t>
        </is>
      </c>
      <c r="E12058" t="inlineStr">
        <is>
          <t>NORDANSTIG</t>
        </is>
      </c>
      <c r="F12058" t="inlineStr">
        <is>
          <t>Holmen skog AB</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38049-2024</t>
        </is>
      </c>
      <c r="B12059" s="1" t="n">
        <v>45544</v>
      </c>
      <c r="C12059" s="1" t="n">
        <v>45677</v>
      </c>
      <c r="D12059" t="inlineStr">
        <is>
          <t>GÄVLEBORGS LÄN</t>
        </is>
      </c>
      <c r="E12059" t="inlineStr">
        <is>
          <t>BOLLNÄS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38103-2024</t>
        </is>
      </c>
      <c r="B12060" s="1" t="n">
        <v>45545</v>
      </c>
      <c r="C12060" s="1" t="n">
        <v>45677</v>
      </c>
      <c r="D12060" t="inlineStr">
        <is>
          <t>GÄVLEBORGS LÄN</t>
        </is>
      </c>
      <c r="E12060" t="inlineStr">
        <is>
          <t>BOLLNÄS</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38142-2024</t>
        </is>
      </c>
      <c r="B12061" s="1" t="n">
        <v>45545</v>
      </c>
      <c r="C12061" s="1" t="n">
        <v>45677</v>
      </c>
      <c r="D12061" t="inlineStr">
        <is>
          <t>GÄVLEBORGS LÄN</t>
        </is>
      </c>
      <c r="E12061" t="inlineStr">
        <is>
          <t>HUDIKSVALL</t>
        </is>
      </c>
      <c r="F12061" t="inlineStr">
        <is>
          <t>Holmen skog AB</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38110-2024</t>
        </is>
      </c>
      <c r="B12062" s="1" t="n">
        <v>45545</v>
      </c>
      <c r="C12062" s="1" t="n">
        <v>45677</v>
      </c>
      <c r="D12062" t="inlineStr">
        <is>
          <t>GÄVLEBORGS LÄN</t>
        </is>
      </c>
      <c r="E12062" t="inlineStr">
        <is>
          <t>SÖDERHAMN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38122-2024</t>
        </is>
      </c>
      <c r="B12063" s="1" t="n">
        <v>45545</v>
      </c>
      <c r="C12063" s="1" t="n">
        <v>45677</v>
      </c>
      <c r="D12063" t="inlineStr">
        <is>
          <t>GÄVLEBORGS LÄN</t>
        </is>
      </c>
      <c r="E12063" t="inlineStr">
        <is>
          <t>BOLLNÄS</t>
        </is>
      </c>
      <c r="F12063" t="inlineStr">
        <is>
          <t>Bergvik skog väst AB</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38167-2024</t>
        </is>
      </c>
      <c r="B12064" s="1" t="n">
        <v>45545</v>
      </c>
      <c r="C12064" s="1" t="n">
        <v>45677</v>
      </c>
      <c r="D12064" t="inlineStr">
        <is>
          <t>GÄVLEBORGS LÄN</t>
        </is>
      </c>
      <c r="E12064" t="inlineStr">
        <is>
          <t>HUDIKSVALL</t>
        </is>
      </c>
      <c r="F12064" t="inlineStr">
        <is>
          <t>Holmen skog AB</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38111-2024</t>
        </is>
      </c>
      <c r="B12065" s="1" t="n">
        <v>45545</v>
      </c>
      <c r="C12065" s="1" t="n">
        <v>45677</v>
      </c>
      <c r="D12065" t="inlineStr">
        <is>
          <t>GÄVLEBORGS LÄN</t>
        </is>
      </c>
      <c r="E12065" t="inlineStr">
        <is>
          <t>SÖDERHAMN</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38200-2024</t>
        </is>
      </c>
      <c r="B12066" s="1" t="n">
        <v>45545</v>
      </c>
      <c r="C12066" s="1" t="n">
        <v>45677</v>
      </c>
      <c r="D12066" t="inlineStr">
        <is>
          <t>GÄVLEBORGS LÄN</t>
        </is>
      </c>
      <c r="E12066" t="inlineStr">
        <is>
          <t>SANDVIKEN</t>
        </is>
      </c>
      <c r="F12066" t="inlineStr">
        <is>
          <t>Sveaskog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38220-2024</t>
        </is>
      </c>
      <c r="B12067" s="1" t="n">
        <v>45545</v>
      </c>
      <c r="C12067" s="1" t="n">
        <v>45677</v>
      </c>
      <c r="D12067" t="inlineStr">
        <is>
          <t>GÄVLEBORGS LÄN</t>
        </is>
      </c>
      <c r="E12067" t="inlineStr">
        <is>
          <t>HUDIKSVALL</t>
        </is>
      </c>
      <c r="F12067" t="inlineStr">
        <is>
          <t>Holmen skog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38224-2024</t>
        </is>
      </c>
      <c r="B12068" s="1" t="n">
        <v>45545</v>
      </c>
      <c r="C12068" s="1" t="n">
        <v>45677</v>
      </c>
      <c r="D12068" t="inlineStr">
        <is>
          <t>GÄVLEBORGS LÄN</t>
        </is>
      </c>
      <c r="E12068" t="inlineStr">
        <is>
          <t>LJUSDAL</t>
        </is>
      </c>
      <c r="F12068" t="inlineStr">
        <is>
          <t>Bergvik skog väst AB</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38201-2024</t>
        </is>
      </c>
      <c r="B12069" s="1" t="n">
        <v>45545</v>
      </c>
      <c r="C12069" s="1" t="n">
        <v>45677</v>
      </c>
      <c r="D12069" t="inlineStr">
        <is>
          <t>GÄVLEBORGS LÄN</t>
        </is>
      </c>
      <c r="E12069" t="inlineStr">
        <is>
          <t>HUDIKSVALL</t>
        </is>
      </c>
      <c r="F12069" t="inlineStr">
        <is>
          <t>Holmen skog AB</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38221-2024</t>
        </is>
      </c>
      <c r="B12070" s="1" t="n">
        <v>45545</v>
      </c>
      <c r="C12070" s="1" t="n">
        <v>45677</v>
      </c>
      <c r="D12070" t="inlineStr">
        <is>
          <t>GÄVLEBORGS LÄN</t>
        </is>
      </c>
      <c r="E12070" t="inlineStr">
        <is>
          <t>LJUSDAL</t>
        </is>
      </c>
      <c r="F12070" t="inlineStr">
        <is>
          <t>Bergvik skog väst AB</t>
        </is>
      </c>
      <c r="G12070" t="n">
        <v>7.9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38241-2024</t>
        </is>
      </c>
      <c r="B12071" s="1" t="n">
        <v>45545</v>
      </c>
      <c r="C12071" s="1" t="n">
        <v>45677</v>
      </c>
      <c r="D12071" t="inlineStr">
        <is>
          <t>GÄVLEBORGS LÄN</t>
        </is>
      </c>
      <c r="E12071" t="inlineStr">
        <is>
          <t>NORDANSTIG</t>
        </is>
      </c>
      <c r="F12071" t="inlineStr">
        <is>
          <t>Holmen skog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38079-2024</t>
        </is>
      </c>
      <c r="B12072" s="1" t="n">
        <v>45545</v>
      </c>
      <c r="C12072" s="1" t="n">
        <v>45677</v>
      </c>
      <c r="D12072" t="inlineStr">
        <is>
          <t>GÄVLEBORGS LÄN</t>
        </is>
      </c>
      <c r="E12072" t="inlineStr">
        <is>
          <t>SÖDERHAMN</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38202-2024</t>
        </is>
      </c>
      <c r="B12073" s="1" t="n">
        <v>45545</v>
      </c>
      <c r="C12073" s="1" t="n">
        <v>45677</v>
      </c>
      <c r="D12073" t="inlineStr">
        <is>
          <t>GÄVLEBORGS LÄN</t>
        </is>
      </c>
      <c r="E12073" t="inlineStr">
        <is>
          <t>SANDVIKEN</t>
        </is>
      </c>
      <c r="F12073" t="inlineStr">
        <is>
          <t>Sveaskog</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38218-2024</t>
        </is>
      </c>
      <c r="B12074" s="1" t="n">
        <v>45545</v>
      </c>
      <c r="C12074" s="1" t="n">
        <v>45677</v>
      </c>
      <c r="D12074" t="inlineStr">
        <is>
          <t>GÄVLEBORGS LÄN</t>
        </is>
      </c>
      <c r="E12074" t="inlineStr">
        <is>
          <t>LJUSDAL</t>
        </is>
      </c>
      <c r="F12074" t="inlineStr">
        <is>
          <t>Bergvik skog väst AB</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38230-2024</t>
        </is>
      </c>
      <c r="B12075" s="1" t="n">
        <v>45545</v>
      </c>
      <c r="C12075" s="1" t="n">
        <v>45677</v>
      </c>
      <c r="D12075" t="inlineStr">
        <is>
          <t>GÄVLEBORGS LÄN</t>
        </is>
      </c>
      <c r="E12075" t="inlineStr">
        <is>
          <t>OCKELBO</t>
        </is>
      </c>
      <c r="F12075" t="inlineStr">
        <is>
          <t>Bergvik skog väst AB</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38089-2024</t>
        </is>
      </c>
      <c r="B12076" s="1" t="n">
        <v>45545</v>
      </c>
      <c r="C12076" s="1" t="n">
        <v>45677</v>
      </c>
      <c r="D12076" t="inlineStr">
        <is>
          <t>GÄVLEBORGS LÄN</t>
        </is>
      </c>
      <c r="E12076" t="inlineStr">
        <is>
          <t>NORDANSTIG</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38298-2024</t>
        </is>
      </c>
      <c r="B12077" s="1" t="n">
        <v>45545</v>
      </c>
      <c r="C12077" s="1" t="n">
        <v>45677</v>
      </c>
      <c r="D12077" t="inlineStr">
        <is>
          <t>GÄVLEBORGS LÄN</t>
        </is>
      </c>
      <c r="E12077" t="inlineStr">
        <is>
          <t>NORDANSTIG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38295-2024</t>
        </is>
      </c>
      <c r="B12078" s="1" t="n">
        <v>45545</v>
      </c>
      <c r="C12078" s="1" t="n">
        <v>45677</v>
      </c>
      <c r="D12078" t="inlineStr">
        <is>
          <t>GÄVLEBORGS LÄN</t>
        </is>
      </c>
      <c r="E12078" t="inlineStr">
        <is>
          <t>HUDIKSVALL</t>
        </is>
      </c>
      <c r="F12078" t="inlineStr">
        <is>
          <t>Holmen skog AB</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38323-2024</t>
        </is>
      </c>
      <c r="B12079" s="1" t="n">
        <v>45545</v>
      </c>
      <c r="C12079" s="1" t="n">
        <v>45677</v>
      </c>
      <c r="D12079" t="inlineStr">
        <is>
          <t>GÄVLEBORGS LÄN</t>
        </is>
      </c>
      <c r="E12079" t="inlineStr">
        <is>
          <t>SANDVIKEN</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38363-2024</t>
        </is>
      </c>
      <c r="B12080" s="1" t="n">
        <v>45545</v>
      </c>
      <c r="C12080" s="1" t="n">
        <v>45677</v>
      </c>
      <c r="D12080" t="inlineStr">
        <is>
          <t>GÄVLEBORGS LÄN</t>
        </is>
      </c>
      <c r="E12080" t="inlineStr">
        <is>
          <t>SANDVIKEN</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38367-2024</t>
        </is>
      </c>
      <c r="B12081" s="1" t="n">
        <v>45545</v>
      </c>
      <c r="C12081" s="1" t="n">
        <v>45677</v>
      </c>
      <c r="D12081" t="inlineStr">
        <is>
          <t>GÄVLEBORGS LÄN</t>
        </is>
      </c>
      <c r="E12081" t="inlineStr">
        <is>
          <t>OVANÅKER</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38342-2024</t>
        </is>
      </c>
      <c r="B12082" s="1" t="n">
        <v>45545</v>
      </c>
      <c r="C12082" s="1" t="n">
        <v>45677</v>
      </c>
      <c r="D12082" t="inlineStr">
        <is>
          <t>GÄVLEBORGS LÄN</t>
        </is>
      </c>
      <c r="E12082" t="inlineStr">
        <is>
          <t>NORDANSTIG</t>
        </is>
      </c>
      <c r="F12082" t="inlineStr">
        <is>
          <t>Holmen skog AB</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38346-2024</t>
        </is>
      </c>
      <c r="B12083" s="1" t="n">
        <v>45545</v>
      </c>
      <c r="C12083" s="1" t="n">
        <v>45677</v>
      </c>
      <c r="D12083" t="inlineStr">
        <is>
          <t>GÄVLEBORGS LÄN</t>
        </is>
      </c>
      <c r="E12083" t="inlineStr">
        <is>
          <t>NORDANSTIG</t>
        </is>
      </c>
      <c r="F12083" t="inlineStr">
        <is>
          <t>Holmen skog AB</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38309-2024</t>
        </is>
      </c>
      <c r="B12084" s="1" t="n">
        <v>45545</v>
      </c>
      <c r="C12084" s="1" t="n">
        <v>45677</v>
      </c>
      <c r="D12084" t="inlineStr">
        <is>
          <t>GÄVLEBORGS LÄN</t>
        </is>
      </c>
      <c r="E12084" t="inlineStr">
        <is>
          <t>OVANÅKER</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38369-2024</t>
        </is>
      </c>
      <c r="B12085" s="1" t="n">
        <v>45545</v>
      </c>
      <c r="C12085" s="1" t="n">
        <v>45677</v>
      </c>
      <c r="D12085" t="inlineStr">
        <is>
          <t>GÄVLEBORGS LÄN</t>
        </is>
      </c>
      <c r="E12085" t="inlineStr">
        <is>
          <t>OVANÅKER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38232-2024</t>
        </is>
      </c>
      <c r="B12086" s="1" t="n">
        <v>45545</v>
      </c>
      <c r="C12086" s="1" t="n">
        <v>45677</v>
      </c>
      <c r="D12086" t="inlineStr">
        <is>
          <t>GÄVLEBORGS LÄN</t>
        </is>
      </c>
      <c r="E12086" t="inlineStr">
        <is>
          <t>LJUSDAL</t>
        </is>
      </c>
      <c r="F12086" t="inlineStr">
        <is>
          <t>Sveaskog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38240-2024</t>
        </is>
      </c>
      <c r="B12087" s="1" t="n">
        <v>45545</v>
      </c>
      <c r="C12087" s="1" t="n">
        <v>45677</v>
      </c>
      <c r="D12087" t="inlineStr">
        <is>
          <t>GÄVLEBORGS LÄN</t>
        </is>
      </c>
      <c r="E12087" t="inlineStr">
        <is>
          <t>GÄVLE</t>
        </is>
      </c>
      <c r="F12087" t="inlineStr">
        <is>
          <t>Bergvik skog väst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38320-2024</t>
        </is>
      </c>
      <c r="B12088" s="1" t="n">
        <v>45545</v>
      </c>
      <c r="C12088" s="1" t="n">
        <v>45677</v>
      </c>
      <c r="D12088" t="inlineStr">
        <is>
          <t>GÄVLEBORGS LÄN</t>
        </is>
      </c>
      <c r="E12088" t="inlineStr">
        <is>
          <t>HUDIKSVALL</t>
        </is>
      </c>
      <c r="F12088" t="inlineStr">
        <is>
          <t>Holmen skog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38332-2024</t>
        </is>
      </c>
      <c r="B12089" s="1" t="n">
        <v>45545</v>
      </c>
      <c r="C12089" s="1" t="n">
        <v>45677</v>
      </c>
      <c r="D12089" t="inlineStr">
        <is>
          <t>GÄVLEBORGS LÄN</t>
        </is>
      </c>
      <c r="E12089" t="inlineStr">
        <is>
          <t>NORDANSTIG</t>
        </is>
      </c>
      <c r="G12089" t="n">
        <v>11.5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38364-2024</t>
        </is>
      </c>
      <c r="B12090" s="1" t="n">
        <v>45545</v>
      </c>
      <c r="C12090" s="1" t="n">
        <v>45677</v>
      </c>
      <c r="D12090" t="inlineStr">
        <is>
          <t>GÄVLEBORGS LÄN</t>
        </is>
      </c>
      <c r="E12090" t="inlineStr">
        <is>
          <t>SANDVIKEN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38578-2024</t>
        </is>
      </c>
      <c r="B12091" s="1" t="n">
        <v>45546</v>
      </c>
      <c r="C12091" s="1" t="n">
        <v>45677</v>
      </c>
      <c r="D12091" t="inlineStr">
        <is>
          <t>GÄVLEBORGS LÄN</t>
        </is>
      </c>
      <c r="E12091" t="inlineStr">
        <is>
          <t>HUDIKSVALL</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38451-2024</t>
        </is>
      </c>
      <c r="B12092" s="1" t="n">
        <v>45546</v>
      </c>
      <c r="C12092" s="1" t="n">
        <v>45677</v>
      </c>
      <c r="D12092" t="inlineStr">
        <is>
          <t>GÄVLEBORGS LÄN</t>
        </is>
      </c>
      <c r="E12092" t="inlineStr">
        <is>
          <t>NORDANSTIG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38515-2024</t>
        </is>
      </c>
      <c r="B12093" s="1" t="n">
        <v>45546</v>
      </c>
      <c r="C12093" s="1" t="n">
        <v>45677</v>
      </c>
      <c r="D12093" t="inlineStr">
        <is>
          <t>GÄVLEBORGS LÄN</t>
        </is>
      </c>
      <c r="E12093" t="inlineStr">
        <is>
          <t>SANDVIKEN</t>
        </is>
      </c>
      <c r="G12093" t="n">
        <v>18.1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38520-2024</t>
        </is>
      </c>
      <c r="B12094" s="1" t="n">
        <v>45546</v>
      </c>
      <c r="C12094" s="1" t="n">
        <v>45677</v>
      </c>
      <c r="D12094" t="inlineStr">
        <is>
          <t>GÄVLEBORGS LÄN</t>
        </is>
      </c>
      <c r="E12094" t="inlineStr">
        <is>
          <t>SANDVIKEN</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38541-2024</t>
        </is>
      </c>
      <c r="B12095" s="1" t="n">
        <v>45546</v>
      </c>
      <c r="C12095" s="1" t="n">
        <v>45677</v>
      </c>
      <c r="D12095" t="inlineStr">
        <is>
          <t>GÄVLEBORGS LÄN</t>
        </is>
      </c>
      <c r="E12095" t="inlineStr">
        <is>
          <t>GÄVLE</t>
        </is>
      </c>
      <c r="F12095" t="inlineStr">
        <is>
          <t>Bergvik skog öst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38581-2024</t>
        </is>
      </c>
      <c r="B12096" s="1" t="n">
        <v>45546</v>
      </c>
      <c r="C12096" s="1" t="n">
        <v>45677</v>
      </c>
      <c r="D12096" t="inlineStr">
        <is>
          <t>GÄVLEBORGS LÄN</t>
        </is>
      </c>
      <c r="E12096" t="inlineStr">
        <is>
          <t>NORDANSTIG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38585-2024</t>
        </is>
      </c>
      <c r="B12097" s="1" t="n">
        <v>45546</v>
      </c>
      <c r="C12097" s="1" t="n">
        <v>45677</v>
      </c>
      <c r="D12097" t="inlineStr">
        <is>
          <t>GÄVLEBORGS LÄN</t>
        </is>
      </c>
      <c r="E12097" t="inlineStr">
        <is>
          <t>HUDIKSVALL</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38589-2024</t>
        </is>
      </c>
      <c r="B12098" s="1" t="n">
        <v>45546</v>
      </c>
      <c r="C12098" s="1" t="n">
        <v>45677</v>
      </c>
      <c r="D12098" t="inlineStr">
        <is>
          <t>GÄVLEBORGS LÄN</t>
        </is>
      </c>
      <c r="E12098" t="inlineStr">
        <is>
          <t>NORDANSTIG</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38594-2024</t>
        </is>
      </c>
      <c r="B12099" s="1" t="n">
        <v>45546</v>
      </c>
      <c r="C12099" s="1" t="n">
        <v>45677</v>
      </c>
      <c r="D12099" t="inlineStr">
        <is>
          <t>GÄVLEBORGS LÄN</t>
        </is>
      </c>
      <c r="E12099" t="inlineStr">
        <is>
          <t>BOLLNÄS</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38610-2024</t>
        </is>
      </c>
      <c r="B12100" s="1" t="n">
        <v>45546</v>
      </c>
      <c r="C12100" s="1" t="n">
        <v>45677</v>
      </c>
      <c r="D12100" t="inlineStr">
        <is>
          <t>GÄVLEBORGS LÄN</t>
        </is>
      </c>
      <c r="E12100" t="inlineStr">
        <is>
          <t>BOLLNÄS</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38672-2024</t>
        </is>
      </c>
      <c r="B12101" s="1" t="n">
        <v>45547</v>
      </c>
      <c r="C12101" s="1" t="n">
        <v>45677</v>
      </c>
      <c r="D12101" t="inlineStr">
        <is>
          <t>GÄVLEBORGS LÄN</t>
        </is>
      </c>
      <c r="E12101" t="inlineStr">
        <is>
          <t>LJUSDAL</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38694-2024</t>
        </is>
      </c>
      <c r="B12102" s="1" t="n">
        <v>45547</v>
      </c>
      <c r="C12102" s="1" t="n">
        <v>45677</v>
      </c>
      <c r="D12102" t="inlineStr">
        <is>
          <t>GÄVLEBORGS LÄN</t>
        </is>
      </c>
      <c r="E12102" t="inlineStr">
        <is>
          <t>GÄVLE</t>
        </is>
      </c>
      <c r="F12102" t="inlineStr">
        <is>
          <t>Bergvik skog öst AB</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38675-2024</t>
        </is>
      </c>
      <c r="B12103" s="1" t="n">
        <v>45547</v>
      </c>
      <c r="C12103" s="1" t="n">
        <v>45677</v>
      </c>
      <c r="D12103" t="inlineStr">
        <is>
          <t>GÄVLEBORGS LÄN</t>
        </is>
      </c>
      <c r="E12103" t="inlineStr">
        <is>
          <t>LJUSDAL</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38702-2024</t>
        </is>
      </c>
      <c r="B12104" s="1" t="n">
        <v>45547</v>
      </c>
      <c r="C12104" s="1" t="n">
        <v>45677</v>
      </c>
      <c r="D12104" t="inlineStr">
        <is>
          <t>GÄVLEBORGS LÄN</t>
        </is>
      </c>
      <c r="E12104" t="inlineStr">
        <is>
          <t>HUDIKSVALL</t>
        </is>
      </c>
      <c r="G12104" t="n">
        <v>9.4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38687-2024</t>
        </is>
      </c>
      <c r="B12105" s="1" t="n">
        <v>45547</v>
      </c>
      <c r="C12105" s="1" t="n">
        <v>45677</v>
      </c>
      <c r="D12105" t="inlineStr">
        <is>
          <t>GÄVLEBORGS LÄN</t>
        </is>
      </c>
      <c r="E12105" t="inlineStr">
        <is>
          <t>HUDIKSVALL</t>
        </is>
      </c>
      <c r="G12105" t="n">
        <v>8.9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38701-2024</t>
        </is>
      </c>
      <c r="B12106" s="1" t="n">
        <v>45547</v>
      </c>
      <c r="C12106" s="1" t="n">
        <v>45677</v>
      </c>
      <c r="D12106" t="inlineStr">
        <is>
          <t>GÄVLEBORGS LÄN</t>
        </is>
      </c>
      <c r="E12106" t="inlineStr">
        <is>
          <t>HUDIKSVALL</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38732-2024</t>
        </is>
      </c>
      <c r="B12107" s="1" t="n">
        <v>45547</v>
      </c>
      <c r="C12107" s="1" t="n">
        <v>45677</v>
      </c>
      <c r="D12107" t="inlineStr">
        <is>
          <t>GÄVLEBORGS LÄN</t>
        </is>
      </c>
      <c r="E12107" t="inlineStr">
        <is>
          <t>HUDIKSVALL</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38793-2024</t>
        </is>
      </c>
      <c r="B12108" s="1" t="n">
        <v>45547</v>
      </c>
      <c r="C12108" s="1" t="n">
        <v>45677</v>
      </c>
      <c r="D12108" t="inlineStr">
        <is>
          <t>GÄVLEBORGS LÄN</t>
        </is>
      </c>
      <c r="E12108" t="inlineStr">
        <is>
          <t>GÄVLE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38673-2024</t>
        </is>
      </c>
      <c r="B12109" s="1" t="n">
        <v>45547</v>
      </c>
      <c r="C12109" s="1" t="n">
        <v>45677</v>
      </c>
      <c r="D12109" t="inlineStr">
        <is>
          <t>GÄVLEBORGS LÄN</t>
        </is>
      </c>
      <c r="E12109" t="inlineStr">
        <is>
          <t>GÄVLE</t>
        </is>
      </c>
      <c r="F12109" t="inlineStr">
        <is>
          <t>Bergvik skog öst AB</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38703-2024</t>
        </is>
      </c>
      <c r="B12110" s="1" t="n">
        <v>45547</v>
      </c>
      <c r="C12110" s="1" t="n">
        <v>45677</v>
      </c>
      <c r="D12110" t="inlineStr">
        <is>
          <t>GÄVLEBORGS LÄN</t>
        </is>
      </c>
      <c r="E12110" t="inlineStr">
        <is>
          <t>HUDIKSVALL</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38755-2024</t>
        </is>
      </c>
      <c r="B12111" s="1" t="n">
        <v>45547</v>
      </c>
      <c r="C12111" s="1" t="n">
        <v>45677</v>
      </c>
      <c r="D12111" t="inlineStr">
        <is>
          <t>GÄVLEBORGS LÄN</t>
        </is>
      </c>
      <c r="E12111" t="inlineStr">
        <is>
          <t>HUDIKSVALL</t>
        </is>
      </c>
      <c r="F12111" t="inlineStr">
        <is>
          <t>Holmen skog AB</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38799-2024</t>
        </is>
      </c>
      <c r="B12112" s="1" t="n">
        <v>45547</v>
      </c>
      <c r="C12112" s="1" t="n">
        <v>45677</v>
      </c>
      <c r="D12112" t="inlineStr">
        <is>
          <t>GÄVLEBORGS LÄN</t>
        </is>
      </c>
      <c r="E12112" t="inlineStr">
        <is>
          <t>OCKELBO</t>
        </is>
      </c>
      <c r="F12112" t="inlineStr">
        <is>
          <t>Kyrkan</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38814-2024</t>
        </is>
      </c>
      <c r="B12113" s="1" t="n">
        <v>45547</v>
      </c>
      <c r="C12113" s="1" t="n">
        <v>45677</v>
      </c>
      <c r="D12113" t="inlineStr">
        <is>
          <t>GÄVLEBORGS LÄN</t>
        </is>
      </c>
      <c r="E12113" t="inlineStr">
        <is>
          <t>LJUSDAL</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38826-2024</t>
        </is>
      </c>
      <c r="B12114" s="1" t="n">
        <v>45547</v>
      </c>
      <c r="C12114" s="1" t="n">
        <v>45677</v>
      </c>
      <c r="D12114" t="inlineStr">
        <is>
          <t>GÄVLEBORGS LÄN</t>
        </is>
      </c>
      <c r="E12114" t="inlineStr">
        <is>
          <t>HUDIKSVALL</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38805-2024</t>
        </is>
      </c>
      <c r="B12115" s="1" t="n">
        <v>45547</v>
      </c>
      <c r="C12115" s="1" t="n">
        <v>45677</v>
      </c>
      <c r="D12115" t="inlineStr">
        <is>
          <t>GÄVLEBORGS LÄN</t>
        </is>
      </c>
      <c r="E12115" t="inlineStr">
        <is>
          <t>LJUSDAL</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38837-2024</t>
        </is>
      </c>
      <c r="B12116" s="1" t="n">
        <v>45547</v>
      </c>
      <c r="C12116" s="1" t="n">
        <v>45677</v>
      </c>
      <c r="D12116" t="inlineStr">
        <is>
          <t>GÄVLEBORGS LÄN</t>
        </is>
      </c>
      <c r="E12116" t="inlineStr">
        <is>
          <t>BOLLNÄS</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38849-2024</t>
        </is>
      </c>
      <c r="B12117" s="1" t="n">
        <v>45547</v>
      </c>
      <c r="C12117" s="1" t="n">
        <v>45677</v>
      </c>
      <c r="D12117" t="inlineStr">
        <is>
          <t>GÄVLEBORGS LÄN</t>
        </is>
      </c>
      <c r="E12117" t="inlineStr">
        <is>
          <t>OCKELBO</t>
        </is>
      </c>
      <c r="G12117" t="n">
        <v>10.4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38843-2024</t>
        </is>
      </c>
      <c r="B12118" s="1" t="n">
        <v>45547</v>
      </c>
      <c r="C12118" s="1" t="n">
        <v>45677</v>
      </c>
      <c r="D12118" t="inlineStr">
        <is>
          <t>GÄVLEBORGS LÄN</t>
        </is>
      </c>
      <c r="E12118" t="inlineStr">
        <is>
          <t>OVANÅKER</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38870-2024</t>
        </is>
      </c>
      <c r="B12119" s="1" t="n">
        <v>45547</v>
      </c>
      <c r="C12119" s="1" t="n">
        <v>45677</v>
      </c>
      <c r="D12119" t="inlineStr">
        <is>
          <t>GÄVLEBORGS LÄN</t>
        </is>
      </c>
      <c r="E12119" t="inlineStr">
        <is>
          <t>LJUSDAL</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38804-2024</t>
        </is>
      </c>
      <c r="B12120" s="1" t="n">
        <v>45547</v>
      </c>
      <c r="C12120" s="1" t="n">
        <v>45677</v>
      </c>
      <c r="D12120" t="inlineStr">
        <is>
          <t>GÄVLEBORGS LÄN</t>
        </is>
      </c>
      <c r="E12120" t="inlineStr">
        <is>
          <t>LJUSDAL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38936-2024</t>
        </is>
      </c>
      <c r="B12121" s="1" t="n">
        <v>45548</v>
      </c>
      <c r="C12121" s="1" t="n">
        <v>45677</v>
      </c>
      <c r="D12121" t="inlineStr">
        <is>
          <t>GÄVLEBORGS LÄN</t>
        </is>
      </c>
      <c r="E12121" t="inlineStr">
        <is>
          <t>BOLLNÄS</t>
        </is>
      </c>
      <c r="F12121" t="inlineStr">
        <is>
          <t>Sveaskog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38934-2024</t>
        </is>
      </c>
      <c r="B12122" s="1" t="n">
        <v>45548</v>
      </c>
      <c r="C12122" s="1" t="n">
        <v>45677</v>
      </c>
      <c r="D12122" t="inlineStr">
        <is>
          <t>GÄVLEBORGS LÄN</t>
        </is>
      </c>
      <c r="E12122" t="inlineStr">
        <is>
          <t>BOLLNÄS</t>
        </is>
      </c>
      <c r="F12122" t="inlineStr">
        <is>
          <t>Sveaskog</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38950-2024</t>
        </is>
      </c>
      <c r="B12123" s="1" t="n">
        <v>45548</v>
      </c>
      <c r="C12123" s="1" t="n">
        <v>45677</v>
      </c>
      <c r="D12123" t="inlineStr">
        <is>
          <t>GÄVLEBORGS LÄN</t>
        </is>
      </c>
      <c r="E12123" t="inlineStr">
        <is>
          <t>HUDIKSVALL</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38964-2024</t>
        </is>
      </c>
      <c r="B12124" s="1" t="n">
        <v>45548</v>
      </c>
      <c r="C12124" s="1" t="n">
        <v>45677</v>
      </c>
      <c r="D12124" t="inlineStr">
        <is>
          <t>GÄVLEBORGS LÄN</t>
        </is>
      </c>
      <c r="E12124" t="inlineStr">
        <is>
          <t>GÄVLE</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38981-2024</t>
        </is>
      </c>
      <c r="B12125" s="1" t="n">
        <v>45548</v>
      </c>
      <c r="C12125" s="1" t="n">
        <v>45677</v>
      </c>
      <c r="D12125" t="inlineStr">
        <is>
          <t>GÄVLEBORGS LÄN</t>
        </is>
      </c>
      <c r="E12125" t="inlineStr">
        <is>
          <t>HUDIKSVALL</t>
        </is>
      </c>
      <c r="F12125" t="inlineStr">
        <is>
          <t>Holmen skog AB</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39047-2024</t>
        </is>
      </c>
      <c r="B12126" s="1" t="n">
        <v>45548</v>
      </c>
      <c r="C12126" s="1" t="n">
        <v>45677</v>
      </c>
      <c r="D12126" t="inlineStr">
        <is>
          <t>GÄVLEBORGS LÄN</t>
        </is>
      </c>
      <c r="E12126" t="inlineStr">
        <is>
          <t>SANDVIKEN</t>
        </is>
      </c>
      <c r="F12126" t="inlineStr">
        <is>
          <t>Sveaskog</t>
        </is>
      </c>
      <c r="G12126" t="n">
        <v>12.9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39051-2024</t>
        </is>
      </c>
      <c r="B12127" s="1" t="n">
        <v>45548</v>
      </c>
      <c r="C12127" s="1" t="n">
        <v>45677</v>
      </c>
      <c r="D12127" t="inlineStr">
        <is>
          <t>GÄVLEBORGS LÄN</t>
        </is>
      </c>
      <c r="E12127" t="inlineStr">
        <is>
          <t>HUDIKSVALL</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39026-2024</t>
        </is>
      </c>
      <c r="B12128" s="1" t="n">
        <v>45548</v>
      </c>
      <c r="C12128" s="1" t="n">
        <v>45677</v>
      </c>
      <c r="D12128" t="inlineStr">
        <is>
          <t>GÄVLEBORGS LÄN</t>
        </is>
      </c>
      <c r="E12128" t="inlineStr">
        <is>
          <t>HUDIKSVALL</t>
        </is>
      </c>
      <c r="F12128" t="inlineStr">
        <is>
          <t>Naturvårdsverket</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39029-2024</t>
        </is>
      </c>
      <c r="B12129" s="1" t="n">
        <v>45548</v>
      </c>
      <c r="C12129" s="1" t="n">
        <v>45677</v>
      </c>
      <c r="D12129" t="inlineStr">
        <is>
          <t>GÄVLEBORGS LÄN</t>
        </is>
      </c>
      <c r="E12129" t="inlineStr">
        <is>
          <t>LJUSDAL</t>
        </is>
      </c>
      <c r="F12129" t="inlineStr">
        <is>
          <t>Sveaskog</t>
        </is>
      </c>
      <c r="G12129" t="n">
        <v>13.4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39041-2024</t>
        </is>
      </c>
      <c r="B12130" s="1" t="n">
        <v>45548</v>
      </c>
      <c r="C12130" s="1" t="n">
        <v>45677</v>
      </c>
      <c r="D12130" t="inlineStr">
        <is>
          <t>GÄVLEBORGS LÄN</t>
        </is>
      </c>
      <c r="E12130" t="inlineStr">
        <is>
          <t>NORDANSTIG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39062-2024</t>
        </is>
      </c>
      <c r="B12131" s="1" t="n">
        <v>45548</v>
      </c>
      <c r="C12131" s="1" t="n">
        <v>45677</v>
      </c>
      <c r="D12131" t="inlineStr">
        <is>
          <t>GÄVLEBORGS LÄN</t>
        </is>
      </c>
      <c r="E12131" t="inlineStr">
        <is>
          <t>OCKELBO</t>
        </is>
      </c>
      <c r="F12131" t="inlineStr">
        <is>
          <t>Bergvik skog väst AB</t>
        </is>
      </c>
      <c r="G12131" t="n">
        <v>10.1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39083-2024</t>
        </is>
      </c>
      <c r="B12132" s="1" t="n">
        <v>45548</v>
      </c>
      <c r="C12132" s="1" t="n">
        <v>45677</v>
      </c>
      <c r="D12132" t="inlineStr">
        <is>
          <t>GÄVLEBORGS LÄN</t>
        </is>
      </c>
      <c r="E12132" t="inlineStr">
        <is>
          <t>HOFORS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38979-2024</t>
        </is>
      </c>
      <c r="B12133" s="1" t="n">
        <v>45548</v>
      </c>
      <c r="C12133" s="1" t="n">
        <v>45677</v>
      </c>
      <c r="D12133" t="inlineStr">
        <is>
          <t>GÄVLEBORGS LÄN</t>
        </is>
      </c>
      <c r="E12133" t="inlineStr">
        <is>
          <t>SANDVIKEN</t>
        </is>
      </c>
      <c r="F12133" t="inlineStr">
        <is>
          <t>Sveaskog</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39012-2024</t>
        </is>
      </c>
      <c r="B12134" s="1" t="n">
        <v>45548</v>
      </c>
      <c r="C12134" s="1" t="n">
        <v>45677</v>
      </c>
      <c r="D12134" t="inlineStr">
        <is>
          <t>GÄVLEBORGS LÄN</t>
        </is>
      </c>
      <c r="E12134" t="inlineStr">
        <is>
          <t>LJUSDAL</t>
        </is>
      </c>
      <c r="F12134" t="inlineStr">
        <is>
          <t>Sveaskog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39078-2024</t>
        </is>
      </c>
      <c r="B12135" s="1" t="n">
        <v>45548</v>
      </c>
      <c r="C12135" s="1" t="n">
        <v>45677</v>
      </c>
      <c r="D12135" t="inlineStr">
        <is>
          <t>GÄVLEBORGS LÄN</t>
        </is>
      </c>
      <c r="E12135" t="inlineStr">
        <is>
          <t>HUDIKSVALL</t>
        </is>
      </c>
      <c r="F12135" t="inlineStr">
        <is>
          <t>Holmen skog AB</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39091-2024</t>
        </is>
      </c>
      <c r="B12136" s="1" t="n">
        <v>45548</v>
      </c>
      <c r="C12136" s="1" t="n">
        <v>45677</v>
      </c>
      <c r="D12136" t="inlineStr">
        <is>
          <t>GÄVLEBORGS LÄN</t>
        </is>
      </c>
      <c r="E12136" t="inlineStr">
        <is>
          <t>BOLLNÄS</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39163-2024</t>
        </is>
      </c>
      <c r="B12137" s="1" t="n">
        <v>45548</v>
      </c>
      <c r="C12137" s="1" t="n">
        <v>45677</v>
      </c>
      <c r="D12137" t="inlineStr">
        <is>
          <t>GÄVLEBORGS LÄN</t>
        </is>
      </c>
      <c r="E12137" t="inlineStr">
        <is>
          <t>OVANÅKER</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39207-2024</t>
        </is>
      </c>
      <c r="B12138" s="1" t="n">
        <v>45548</v>
      </c>
      <c r="C12138" s="1" t="n">
        <v>45677</v>
      </c>
      <c r="D12138" t="inlineStr">
        <is>
          <t>GÄVLEBORGS LÄN</t>
        </is>
      </c>
      <c r="E12138" t="inlineStr">
        <is>
          <t>SÖDERHAMN</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39173-2024</t>
        </is>
      </c>
      <c r="B12139" s="1" t="n">
        <v>45548</v>
      </c>
      <c r="C12139" s="1" t="n">
        <v>45677</v>
      </c>
      <c r="D12139" t="inlineStr">
        <is>
          <t>GÄVLEBORGS LÄN</t>
        </is>
      </c>
      <c r="E12139" t="inlineStr">
        <is>
          <t>OVANÅKER</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39189-2024</t>
        </is>
      </c>
      <c r="B12140" s="1" t="n">
        <v>45548</v>
      </c>
      <c r="C12140" s="1" t="n">
        <v>45677</v>
      </c>
      <c r="D12140" t="inlineStr">
        <is>
          <t>GÄVLEBORGS LÄN</t>
        </is>
      </c>
      <c r="E12140" t="inlineStr">
        <is>
          <t>OVANÅKER</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39194-2024</t>
        </is>
      </c>
      <c r="B12141" s="1" t="n">
        <v>45548</v>
      </c>
      <c r="C12141" s="1" t="n">
        <v>45677</v>
      </c>
      <c r="D12141" t="inlineStr">
        <is>
          <t>GÄVLEBORGS LÄN</t>
        </is>
      </c>
      <c r="E12141" t="inlineStr">
        <is>
          <t>OVANÅKER</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39183-2024</t>
        </is>
      </c>
      <c r="B12142" s="1" t="n">
        <v>45548</v>
      </c>
      <c r="C12142" s="1" t="n">
        <v>45677</v>
      </c>
      <c r="D12142" t="inlineStr">
        <is>
          <t>GÄVLEBORGS LÄN</t>
        </is>
      </c>
      <c r="E12142" t="inlineStr">
        <is>
          <t>GÄVLE</t>
        </is>
      </c>
      <c r="F12142" t="inlineStr">
        <is>
          <t>Bergvik skog väst AB</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39196-2024</t>
        </is>
      </c>
      <c r="B12143" s="1" t="n">
        <v>45548</v>
      </c>
      <c r="C12143" s="1" t="n">
        <v>45677</v>
      </c>
      <c r="D12143" t="inlineStr">
        <is>
          <t>GÄVLEBORGS LÄN</t>
        </is>
      </c>
      <c r="E12143" t="inlineStr">
        <is>
          <t>BOLLNÄS</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39208-2024</t>
        </is>
      </c>
      <c r="B12144" s="1" t="n">
        <v>45548</v>
      </c>
      <c r="C12144" s="1" t="n">
        <v>45677</v>
      </c>
      <c r="D12144" t="inlineStr">
        <is>
          <t>GÄVLEBORGS LÄN</t>
        </is>
      </c>
      <c r="E12144" t="inlineStr">
        <is>
          <t>SÖDERHAMN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39249-2024</t>
        </is>
      </c>
      <c r="B12145" s="1" t="n">
        <v>45551</v>
      </c>
      <c r="C12145" s="1" t="n">
        <v>45677</v>
      </c>
      <c r="D12145" t="inlineStr">
        <is>
          <t>GÄVLEBORGS LÄN</t>
        </is>
      </c>
      <c r="E12145" t="inlineStr">
        <is>
          <t>OVANÅKER</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39275-2024</t>
        </is>
      </c>
      <c r="B12146" s="1" t="n">
        <v>45551</v>
      </c>
      <c r="C12146" s="1" t="n">
        <v>45677</v>
      </c>
      <c r="D12146" t="inlineStr">
        <is>
          <t>GÄVLEBORGS LÄN</t>
        </is>
      </c>
      <c r="E12146" t="inlineStr">
        <is>
          <t>HUDIKSVALL</t>
        </is>
      </c>
      <c r="F12146" t="inlineStr">
        <is>
          <t>Holmen skog AB</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39424-2024</t>
        </is>
      </c>
      <c r="B12147" s="1" t="n">
        <v>45551</v>
      </c>
      <c r="C12147" s="1" t="n">
        <v>45677</v>
      </c>
      <c r="D12147" t="inlineStr">
        <is>
          <t>GÄVLEBORGS LÄN</t>
        </is>
      </c>
      <c r="E12147" t="inlineStr">
        <is>
          <t>OCKELBO</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39440-2024</t>
        </is>
      </c>
      <c r="B12148" s="1" t="n">
        <v>45551</v>
      </c>
      <c r="C12148" s="1" t="n">
        <v>45677</v>
      </c>
      <c r="D12148" t="inlineStr">
        <is>
          <t>GÄVLEBORGS LÄN</t>
        </is>
      </c>
      <c r="E12148" t="inlineStr">
        <is>
          <t>HUDIKSVALL</t>
        </is>
      </c>
      <c r="F12148" t="inlineStr">
        <is>
          <t>Holmen skog AB</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39340-2024</t>
        </is>
      </c>
      <c r="B12149" s="1" t="n">
        <v>45551</v>
      </c>
      <c r="C12149" s="1" t="n">
        <v>45677</v>
      </c>
      <c r="D12149" t="inlineStr">
        <is>
          <t>GÄVLEBORGS LÄN</t>
        </is>
      </c>
      <c r="E12149" t="inlineStr">
        <is>
          <t>SANDVIKEN</t>
        </is>
      </c>
      <c r="F12149" t="inlineStr">
        <is>
          <t>Sveaskog</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39457-2024</t>
        </is>
      </c>
      <c r="B12150" s="1" t="n">
        <v>45551</v>
      </c>
      <c r="C12150" s="1" t="n">
        <v>45677</v>
      </c>
      <c r="D12150" t="inlineStr">
        <is>
          <t>GÄVLEBORGS LÄN</t>
        </is>
      </c>
      <c r="E12150" t="inlineStr">
        <is>
          <t>LJUSDAL</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39329-2024</t>
        </is>
      </c>
      <c r="B12151" s="1" t="n">
        <v>45551</v>
      </c>
      <c r="C12151" s="1" t="n">
        <v>45677</v>
      </c>
      <c r="D12151" t="inlineStr">
        <is>
          <t>GÄVLEBORGS LÄN</t>
        </is>
      </c>
      <c r="E12151" t="inlineStr">
        <is>
          <t>OVANÅKER</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39337-2024</t>
        </is>
      </c>
      <c r="B12152" s="1" t="n">
        <v>45551</v>
      </c>
      <c r="C12152" s="1" t="n">
        <v>45677</v>
      </c>
      <c r="D12152" t="inlineStr">
        <is>
          <t>GÄVLEBORGS LÄN</t>
        </is>
      </c>
      <c r="E12152" t="inlineStr">
        <is>
          <t>SANDVIKEN</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39322-2024</t>
        </is>
      </c>
      <c r="B12153" s="1" t="n">
        <v>45551</v>
      </c>
      <c r="C12153" s="1" t="n">
        <v>45677</v>
      </c>
      <c r="D12153" t="inlineStr">
        <is>
          <t>GÄVLEBORGS LÄN</t>
        </is>
      </c>
      <c r="E12153" t="inlineStr">
        <is>
          <t>NORDANSTIG</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39473-2024</t>
        </is>
      </c>
      <c r="B12154" s="1" t="n">
        <v>45551</v>
      </c>
      <c r="C12154" s="1" t="n">
        <v>45677</v>
      </c>
      <c r="D12154" t="inlineStr">
        <is>
          <t>GÄVLEBORGS LÄN</t>
        </is>
      </c>
      <c r="E12154" t="inlineStr">
        <is>
          <t>OVANÅKER</t>
        </is>
      </c>
      <c r="F12154" t="inlineStr">
        <is>
          <t>Bergvik skog väst AB</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39373-2024</t>
        </is>
      </c>
      <c r="B12155" s="1" t="n">
        <v>45551</v>
      </c>
      <c r="C12155" s="1" t="n">
        <v>45677</v>
      </c>
      <c r="D12155" t="inlineStr">
        <is>
          <t>GÄVLEBORGS LÄN</t>
        </is>
      </c>
      <c r="E12155" t="inlineStr">
        <is>
          <t>OVANÅKER</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39417-2024</t>
        </is>
      </c>
      <c r="B12156" s="1" t="n">
        <v>45551</v>
      </c>
      <c r="C12156" s="1" t="n">
        <v>45677</v>
      </c>
      <c r="D12156" t="inlineStr">
        <is>
          <t>GÄVLEBORGS LÄN</t>
        </is>
      </c>
      <c r="E12156" t="inlineStr">
        <is>
          <t>LJUSDAL</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39430-2024</t>
        </is>
      </c>
      <c r="B12157" s="1" t="n">
        <v>45551</v>
      </c>
      <c r="C12157" s="1" t="n">
        <v>45677</v>
      </c>
      <c r="D12157" t="inlineStr">
        <is>
          <t>GÄVLEBORGS LÄN</t>
        </is>
      </c>
      <c r="E12157" t="inlineStr">
        <is>
          <t>OCKELBO</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39342-2024</t>
        </is>
      </c>
      <c r="B12158" s="1" t="n">
        <v>45551</v>
      </c>
      <c r="C12158" s="1" t="n">
        <v>45677</v>
      </c>
      <c r="D12158" t="inlineStr">
        <is>
          <t>GÄVLEBORGS LÄN</t>
        </is>
      </c>
      <c r="E12158" t="inlineStr">
        <is>
          <t>SANDVIKEN</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39346-2024</t>
        </is>
      </c>
      <c r="B12159" s="1" t="n">
        <v>45551</v>
      </c>
      <c r="C12159" s="1" t="n">
        <v>45677</v>
      </c>
      <c r="D12159" t="inlineStr">
        <is>
          <t>GÄVLEBORGS LÄN</t>
        </is>
      </c>
      <c r="E12159" t="inlineStr">
        <is>
          <t>SÖDERHAMN</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39418-2024</t>
        </is>
      </c>
      <c r="B12160" s="1" t="n">
        <v>45551</v>
      </c>
      <c r="C12160" s="1" t="n">
        <v>45677</v>
      </c>
      <c r="D12160" t="inlineStr">
        <is>
          <t>GÄVLEBORGS LÄN</t>
        </is>
      </c>
      <c r="E12160" t="inlineStr">
        <is>
          <t>LJUSDAL</t>
        </is>
      </c>
      <c r="F12160" t="inlineStr">
        <is>
          <t>Allmännings- och besparingsskogar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39447-2024</t>
        </is>
      </c>
      <c r="B12161" s="1" t="n">
        <v>45551</v>
      </c>
      <c r="C12161" s="1" t="n">
        <v>45677</v>
      </c>
      <c r="D12161" t="inlineStr">
        <is>
          <t>GÄVLEBORGS LÄN</t>
        </is>
      </c>
      <c r="E12161" t="inlineStr">
        <is>
          <t>OCKELBO</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39463-2024</t>
        </is>
      </c>
      <c r="B12162" s="1" t="n">
        <v>45551</v>
      </c>
      <c r="C12162" s="1" t="n">
        <v>45677</v>
      </c>
      <c r="D12162" t="inlineStr">
        <is>
          <t>GÄVLEBORGS LÄN</t>
        </is>
      </c>
      <c r="E12162" t="inlineStr">
        <is>
          <t>LJUSDAL</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39539-2024</t>
        </is>
      </c>
      <c r="B12163" s="1" t="n">
        <v>45552</v>
      </c>
      <c r="C12163" s="1" t="n">
        <v>45677</v>
      </c>
      <c r="D12163" t="inlineStr">
        <is>
          <t>GÄVLEBORGS LÄN</t>
        </is>
      </c>
      <c r="E12163" t="inlineStr">
        <is>
          <t>OVANÅKER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39541-2024</t>
        </is>
      </c>
      <c r="B12164" s="1" t="n">
        <v>45552</v>
      </c>
      <c r="C12164" s="1" t="n">
        <v>45677</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39540-2024</t>
        </is>
      </c>
      <c r="B12165" s="1" t="n">
        <v>45552</v>
      </c>
      <c r="C12165" s="1" t="n">
        <v>45677</v>
      </c>
      <c r="D12165" t="inlineStr">
        <is>
          <t>GÄVLEBORGS LÄN</t>
        </is>
      </c>
      <c r="E12165" t="inlineStr">
        <is>
          <t>OVANÅKER</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39597-2024</t>
        </is>
      </c>
      <c r="B12166" s="1" t="n">
        <v>45552</v>
      </c>
      <c r="C12166" s="1" t="n">
        <v>45677</v>
      </c>
      <c r="D12166" t="inlineStr">
        <is>
          <t>GÄVLEBORGS LÄN</t>
        </is>
      </c>
      <c r="E12166" t="inlineStr">
        <is>
          <t>LJUSDAL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39591-2024</t>
        </is>
      </c>
      <c r="B12167" s="1" t="n">
        <v>45552</v>
      </c>
      <c r="C12167" s="1" t="n">
        <v>45677</v>
      </c>
      <c r="D12167" t="inlineStr">
        <is>
          <t>GÄVLEBORGS LÄN</t>
        </is>
      </c>
      <c r="E12167" t="inlineStr">
        <is>
          <t>SANDVIKEN</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39665-2024</t>
        </is>
      </c>
      <c r="B12168" s="1" t="n">
        <v>45552</v>
      </c>
      <c r="C12168" s="1" t="n">
        <v>45677</v>
      </c>
      <c r="D12168" t="inlineStr">
        <is>
          <t>GÄVLEBORGS LÄN</t>
        </is>
      </c>
      <c r="E12168" t="inlineStr">
        <is>
          <t>LJUSDAL</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39729-2024</t>
        </is>
      </c>
      <c r="B12169" s="1" t="n">
        <v>45552</v>
      </c>
      <c r="C12169" s="1" t="n">
        <v>45677</v>
      </c>
      <c r="D12169" t="inlineStr">
        <is>
          <t>GÄVLEBORGS LÄN</t>
        </is>
      </c>
      <c r="E12169" t="inlineStr">
        <is>
          <t>OVANÅKER</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39657-2024</t>
        </is>
      </c>
      <c r="B12170" s="1" t="n">
        <v>45552</v>
      </c>
      <c r="C12170" s="1" t="n">
        <v>45677</v>
      </c>
      <c r="D12170" t="inlineStr">
        <is>
          <t>GÄVLEBORGS LÄN</t>
        </is>
      </c>
      <c r="E12170" t="inlineStr">
        <is>
          <t>LJUSDAL</t>
        </is>
      </c>
      <c r="F12170" t="inlineStr">
        <is>
          <t>Holmen skog AB</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39917-2024</t>
        </is>
      </c>
      <c r="B12171" s="1" t="n">
        <v>45553</v>
      </c>
      <c r="C12171" s="1" t="n">
        <v>45677</v>
      </c>
      <c r="D12171" t="inlineStr">
        <is>
          <t>GÄVLEBORGS LÄN</t>
        </is>
      </c>
      <c r="E12171" t="inlineStr">
        <is>
          <t>LJUSDAL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39927-2024</t>
        </is>
      </c>
      <c r="B12172" s="1" t="n">
        <v>45553</v>
      </c>
      <c r="C12172" s="1" t="n">
        <v>45677</v>
      </c>
      <c r="D12172" t="inlineStr">
        <is>
          <t>GÄVLEBORGS LÄN</t>
        </is>
      </c>
      <c r="E12172" t="inlineStr">
        <is>
          <t>LJUSDAL</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39943-2024</t>
        </is>
      </c>
      <c r="B12173" s="1" t="n">
        <v>45553</v>
      </c>
      <c r="C12173" s="1" t="n">
        <v>45677</v>
      </c>
      <c r="D12173" t="inlineStr">
        <is>
          <t>GÄVLEBORGS LÄN</t>
        </is>
      </c>
      <c r="E12173" t="inlineStr">
        <is>
          <t>NORDANSTIG</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39947-2024</t>
        </is>
      </c>
      <c r="B12174" s="1" t="n">
        <v>45553</v>
      </c>
      <c r="C12174" s="1" t="n">
        <v>45677</v>
      </c>
      <c r="D12174" t="inlineStr">
        <is>
          <t>GÄVLEBORGS LÄN</t>
        </is>
      </c>
      <c r="E12174" t="inlineStr">
        <is>
          <t>LJUSDAL</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39999-2024</t>
        </is>
      </c>
      <c r="B12175" s="1" t="n">
        <v>45553</v>
      </c>
      <c r="C12175" s="1" t="n">
        <v>45677</v>
      </c>
      <c r="D12175" t="inlineStr">
        <is>
          <t>GÄVLEBORGS LÄN</t>
        </is>
      </c>
      <c r="E12175" t="inlineStr">
        <is>
          <t>GÄVLE</t>
        </is>
      </c>
      <c r="F12175" t="inlineStr">
        <is>
          <t>Bergvik skog väst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40048-2024</t>
        </is>
      </c>
      <c r="B12176" s="1" t="n">
        <v>45553</v>
      </c>
      <c r="C12176" s="1" t="n">
        <v>45677</v>
      </c>
      <c r="D12176" t="inlineStr">
        <is>
          <t>GÄVLEBORGS LÄN</t>
        </is>
      </c>
      <c r="E12176" t="inlineStr">
        <is>
          <t>LJUSDAL</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39804-2024</t>
        </is>
      </c>
      <c r="B12177" s="1" t="n">
        <v>45553</v>
      </c>
      <c r="C12177" s="1" t="n">
        <v>45677</v>
      </c>
      <c r="D12177" t="inlineStr">
        <is>
          <t>GÄVLEBORGS LÄN</t>
        </is>
      </c>
      <c r="E12177" t="inlineStr">
        <is>
          <t>GÄVLE</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39928-2024</t>
        </is>
      </c>
      <c r="B12178" s="1" t="n">
        <v>45553</v>
      </c>
      <c r="C12178" s="1" t="n">
        <v>45677</v>
      </c>
      <c r="D12178" t="inlineStr">
        <is>
          <t>GÄVLEBORGS LÄN</t>
        </is>
      </c>
      <c r="E12178" t="inlineStr">
        <is>
          <t>LJUSDAL</t>
        </is>
      </c>
      <c r="F12178" t="inlineStr">
        <is>
          <t>Holmen skog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40096-2024</t>
        </is>
      </c>
      <c r="B12179" s="1" t="n">
        <v>45554</v>
      </c>
      <c r="C12179" s="1" t="n">
        <v>45677</v>
      </c>
      <c r="D12179" t="inlineStr">
        <is>
          <t>GÄVLEBORGS LÄN</t>
        </is>
      </c>
      <c r="E12179" t="inlineStr">
        <is>
          <t>HUDIKSVALL</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40104-2024</t>
        </is>
      </c>
      <c r="B12180" s="1" t="n">
        <v>45554</v>
      </c>
      <c r="C12180" s="1" t="n">
        <v>45677</v>
      </c>
      <c r="D12180" t="inlineStr">
        <is>
          <t>GÄVLEBORGS LÄN</t>
        </is>
      </c>
      <c r="E12180" t="inlineStr">
        <is>
          <t>NORDANSTIG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40112-2024</t>
        </is>
      </c>
      <c r="B12181" s="1" t="n">
        <v>45554</v>
      </c>
      <c r="C12181" s="1" t="n">
        <v>45677</v>
      </c>
      <c r="D12181" t="inlineStr">
        <is>
          <t>GÄVLEBORGS LÄN</t>
        </is>
      </c>
      <c r="E12181" t="inlineStr">
        <is>
          <t>OCKELBO</t>
        </is>
      </c>
      <c r="G12181" t="n">
        <v>17.7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40078-2024</t>
        </is>
      </c>
      <c r="B12182" s="1" t="n">
        <v>45554</v>
      </c>
      <c r="C12182" s="1" t="n">
        <v>45677</v>
      </c>
      <c r="D12182" t="inlineStr">
        <is>
          <t>GÄVLEBORGS LÄN</t>
        </is>
      </c>
      <c r="E12182" t="inlineStr">
        <is>
          <t>NORDANSTIG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40098-2024</t>
        </is>
      </c>
      <c r="B12183" s="1" t="n">
        <v>45554</v>
      </c>
      <c r="C12183" s="1" t="n">
        <v>45677</v>
      </c>
      <c r="D12183" t="inlineStr">
        <is>
          <t>GÄVLEBORGS LÄN</t>
        </is>
      </c>
      <c r="E12183" t="inlineStr">
        <is>
          <t>LJUSDAL</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40102-2024</t>
        </is>
      </c>
      <c r="B12184" s="1" t="n">
        <v>45554</v>
      </c>
      <c r="C12184" s="1" t="n">
        <v>45677</v>
      </c>
      <c r="D12184" t="inlineStr">
        <is>
          <t>GÄVLEBORGS LÄN</t>
        </is>
      </c>
      <c r="E12184" t="inlineStr">
        <is>
          <t>HUDIKSVALL</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40106-2024</t>
        </is>
      </c>
      <c r="B12185" s="1" t="n">
        <v>45554</v>
      </c>
      <c r="C12185" s="1" t="n">
        <v>45677</v>
      </c>
      <c r="D12185" t="inlineStr">
        <is>
          <t>GÄVLEBORGS LÄN</t>
        </is>
      </c>
      <c r="E12185" t="inlineStr">
        <is>
          <t>LJUSDAL</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40243-2024</t>
        </is>
      </c>
      <c r="B12186" s="1" t="n">
        <v>45554</v>
      </c>
      <c r="C12186" s="1" t="n">
        <v>45677</v>
      </c>
      <c r="D12186" t="inlineStr">
        <is>
          <t>GÄVLEBORGS LÄN</t>
        </is>
      </c>
      <c r="E12186" t="inlineStr">
        <is>
          <t>OCKELBO</t>
        </is>
      </c>
      <c r="F12186" t="inlineStr">
        <is>
          <t>Bergvik skog väst AB</t>
        </is>
      </c>
      <c r="G12186" t="n">
        <v>14.8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40245-2024</t>
        </is>
      </c>
      <c r="B12187" s="1" t="n">
        <v>45554</v>
      </c>
      <c r="C12187" s="1" t="n">
        <v>45677</v>
      </c>
      <c r="D12187" t="inlineStr">
        <is>
          <t>GÄVLEBORGS LÄN</t>
        </is>
      </c>
      <c r="E12187" t="inlineStr">
        <is>
          <t>OCKELBO</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40321-2024</t>
        </is>
      </c>
      <c r="B12188" s="1" t="n">
        <v>45554</v>
      </c>
      <c r="C12188" s="1" t="n">
        <v>45677</v>
      </c>
      <c r="D12188" t="inlineStr">
        <is>
          <t>GÄVLEBORGS LÄN</t>
        </is>
      </c>
      <c r="E12188" t="inlineStr">
        <is>
          <t>HUDIKSVALL</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40073-2024</t>
        </is>
      </c>
      <c r="B12189" s="1" t="n">
        <v>45554</v>
      </c>
      <c r="C12189" s="1" t="n">
        <v>45677</v>
      </c>
      <c r="D12189" t="inlineStr">
        <is>
          <t>GÄVLEBORGS LÄN</t>
        </is>
      </c>
      <c r="E12189" t="inlineStr">
        <is>
          <t>HUDIKSVALL</t>
        </is>
      </c>
      <c r="F12189" t="inlineStr">
        <is>
          <t>Naturvårdsverket</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40097-2024</t>
        </is>
      </c>
      <c r="B12190" s="1" t="n">
        <v>45554</v>
      </c>
      <c r="C12190" s="1" t="n">
        <v>45677</v>
      </c>
      <c r="D12190" t="inlineStr">
        <is>
          <t>GÄVLEBORGS LÄN</t>
        </is>
      </c>
      <c r="E12190" t="inlineStr">
        <is>
          <t>SÖDERHAMN</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40105-2024</t>
        </is>
      </c>
      <c r="B12191" s="1" t="n">
        <v>45554</v>
      </c>
      <c r="C12191" s="1" t="n">
        <v>45677</v>
      </c>
      <c r="D12191" t="inlineStr">
        <is>
          <t>GÄVLEBORGS LÄN</t>
        </is>
      </c>
      <c r="E12191" t="inlineStr">
        <is>
          <t>SANDVIKEN</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40177-2024</t>
        </is>
      </c>
      <c r="B12192" s="1" t="n">
        <v>45554</v>
      </c>
      <c r="C12192" s="1" t="n">
        <v>45677</v>
      </c>
      <c r="D12192" t="inlineStr">
        <is>
          <t>GÄVLEBORGS LÄN</t>
        </is>
      </c>
      <c r="E12192" t="inlineStr">
        <is>
          <t>HUDIKSVALL</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40281-2024</t>
        </is>
      </c>
      <c r="B12193" s="1" t="n">
        <v>45554</v>
      </c>
      <c r="C12193" s="1" t="n">
        <v>45677</v>
      </c>
      <c r="D12193" t="inlineStr">
        <is>
          <t>GÄVLEBORGS LÄN</t>
        </is>
      </c>
      <c r="E12193" t="inlineStr">
        <is>
          <t>OCKELBO</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40071-2024</t>
        </is>
      </c>
      <c r="B12194" s="1" t="n">
        <v>45554</v>
      </c>
      <c r="C12194" s="1" t="n">
        <v>45677</v>
      </c>
      <c r="D12194" t="inlineStr">
        <is>
          <t>GÄVLEBORGS LÄN</t>
        </is>
      </c>
      <c r="E12194" t="inlineStr">
        <is>
          <t>GÄVLE</t>
        </is>
      </c>
      <c r="F12194" t="inlineStr">
        <is>
          <t>Bergvik skog öst AB</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40196-2024</t>
        </is>
      </c>
      <c r="B12195" s="1" t="n">
        <v>45554</v>
      </c>
      <c r="C12195" s="1" t="n">
        <v>45677</v>
      </c>
      <c r="D12195" t="inlineStr">
        <is>
          <t>GÄVLEBORGS LÄN</t>
        </is>
      </c>
      <c r="E12195" t="inlineStr">
        <is>
          <t>OCKELBO</t>
        </is>
      </c>
      <c r="F12195" t="inlineStr">
        <is>
          <t>Bergvik skog väst AB</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40259-2024</t>
        </is>
      </c>
      <c r="B12196" s="1" t="n">
        <v>45554</v>
      </c>
      <c r="C12196" s="1" t="n">
        <v>45677</v>
      </c>
      <c r="D12196" t="inlineStr">
        <is>
          <t>GÄVLEBORGS LÄN</t>
        </is>
      </c>
      <c r="E12196" t="inlineStr">
        <is>
          <t>SANDVIKEN</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40283-2024</t>
        </is>
      </c>
      <c r="B12197" s="1" t="n">
        <v>45554</v>
      </c>
      <c r="C12197" s="1" t="n">
        <v>45677</v>
      </c>
      <c r="D12197" t="inlineStr">
        <is>
          <t>GÄVLEBORGS LÄN</t>
        </is>
      </c>
      <c r="E12197" t="inlineStr">
        <is>
          <t>OCKELBO</t>
        </is>
      </c>
      <c r="F12197" t="inlineStr">
        <is>
          <t>Bergvik skog väst AB</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40318-2024</t>
        </is>
      </c>
      <c r="B12198" s="1" t="n">
        <v>45554</v>
      </c>
      <c r="C12198" s="1" t="n">
        <v>45677</v>
      </c>
      <c r="D12198" t="inlineStr">
        <is>
          <t>GÄVLEBORGS LÄN</t>
        </is>
      </c>
      <c r="E12198" t="inlineStr">
        <is>
          <t>LJUSDAL</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40364-2024</t>
        </is>
      </c>
      <c r="B12199" s="1" t="n">
        <v>45555</v>
      </c>
      <c r="C12199" s="1" t="n">
        <v>45677</v>
      </c>
      <c r="D12199" t="inlineStr">
        <is>
          <t>GÄVLEBORGS LÄN</t>
        </is>
      </c>
      <c r="E12199" t="inlineStr">
        <is>
          <t>HUDIKSVALL</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40332-2024</t>
        </is>
      </c>
      <c r="B12200" s="1" t="n">
        <v>45555</v>
      </c>
      <c r="C12200" s="1" t="n">
        <v>45677</v>
      </c>
      <c r="D12200" t="inlineStr">
        <is>
          <t>GÄVLEBORGS LÄN</t>
        </is>
      </c>
      <c r="E12200" t="inlineStr">
        <is>
          <t>HUDIKSVALL</t>
        </is>
      </c>
      <c r="F12200" t="inlineStr">
        <is>
          <t>Naturvårdsverket</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40336-2024</t>
        </is>
      </c>
      <c r="B12201" s="1" t="n">
        <v>45555</v>
      </c>
      <c r="C12201" s="1" t="n">
        <v>45677</v>
      </c>
      <c r="D12201" t="inlineStr">
        <is>
          <t>GÄVLEBORGS LÄN</t>
        </is>
      </c>
      <c r="E12201" t="inlineStr">
        <is>
          <t>BOLLNÄS</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40453-2024</t>
        </is>
      </c>
      <c r="B12202" s="1" t="n">
        <v>45555</v>
      </c>
      <c r="C12202" s="1" t="n">
        <v>45677</v>
      </c>
      <c r="D12202" t="inlineStr">
        <is>
          <t>GÄVLEBORGS LÄN</t>
        </is>
      </c>
      <c r="E12202" t="inlineStr">
        <is>
          <t>BOLLNÄS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40460-2024</t>
        </is>
      </c>
      <c r="B12203" s="1" t="n">
        <v>45555</v>
      </c>
      <c r="C12203" s="1" t="n">
        <v>45677</v>
      </c>
      <c r="D12203" t="inlineStr">
        <is>
          <t>GÄVLEBORGS LÄN</t>
        </is>
      </c>
      <c r="E12203" t="inlineStr">
        <is>
          <t>SANDVIKEN</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40477-2024</t>
        </is>
      </c>
      <c r="B12204" s="1" t="n">
        <v>45555</v>
      </c>
      <c r="C12204" s="1" t="n">
        <v>45677</v>
      </c>
      <c r="D12204" t="inlineStr">
        <is>
          <t>GÄVLEBORGS LÄN</t>
        </is>
      </c>
      <c r="E12204" t="inlineStr">
        <is>
          <t>NORDANSTIG</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40481-2024</t>
        </is>
      </c>
      <c r="B12205" s="1" t="n">
        <v>45555</v>
      </c>
      <c r="C12205" s="1" t="n">
        <v>45677</v>
      </c>
      <c r="D12205" t="inlineStr">
        <is>
          <t>GÄVLEBORGS LÄN</t>
        </is>
      </c>
      <c r="E12205" t="inlineStr">
        <is>
          <t>BOLLNÄS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40476-2024</t>
        </is>
      </c>
      <c r="B12206" s="1" t="n">
        <v>45555</v>
      </c>
      <c r="C12206" s="1" t="n">
        <v>45677</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40480-2024</t>
        </is>
      </c>
      <c r="B12207" s="1" t="n">
        <v>45555</v>
      </c>
      <c r="C12207" s="1" t="n">
        <v>45677</v>
      </c>
      <c r="D12207" t="inlineStr">
        <is>
          <t>GÄVLEBORGS LÄN</t>
        </is>
      </c>
      <c r="E12207" t="inlineStr">
        <is>
          <t>NORDANSTIG</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40520-2024</t>
        </is>
      </c>
      <c r="B12208" s="1" t="n">
        <v>45555</v>
      </c>
      <c r="C12208" s="1" t="n">
        <v>45677</v>
      </c>
      <c r="D12208" t="inlineStr">
        <is>
          <t>GÄVLEBORGS LÄN</t>
        </is>
      </c>
      <c r="E12208" t="inlineStr">
        <is>
          <t>BOLLNÄS</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40474-2024</t>
        </is>
      </c>
      <c r="B12209" s="1" t="n">
        <v>45555</v>
      </c>
      <c r="C12209" s="1" t="n">
        <v>45677</v>
      </c>
      <c r="D12209" t="inlineStr">
        <is>
          <t>GÄVLEBORGS LÄN</t>
        </is>
      </c>
      <c r="E12209" t="inlineStr">
        <is>
          <t>OVANÅKER</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40486-2024</t>
        </is>
      </c>
      <c r="B12210" s="1" t="n">
        <v>45555</v>
      </c>
      <c r="C12210" s="1" t="n">
        <v>45677</v>
      </c>
      <c r="D12210" t="inlineStr">
        <is>
          <t>GÄVLEBORGS LÄN</t>
        </is>
      </c>
      <c r="E12210" t="inlineStr">
        <is>
          <t>BOLLNÄS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40498-2024</t>
        </is>
      </c>
      <c r="B12211" s="1" t="n">
        <v>45555</v>
      </c>
      <c r="C12211" s="1" t="n">
        <v>45677</v>
      </c>
      <c r="D12211" t="inlineStr">
        <is>
          <t>GÄVLEBORGS LÄN</t>
        </is>
      </c>
      <c r="E12211" t="inlineStr">
        <is>
          <t>NORDANSTIG</t>
        </is>
      </c>
      <c r="G12211" t="n">
        <v>12.5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40386-2024</t>
        </is>
      </c>
      <c r="B12212" s="1" t="n">
        <v>45555</v>
      </c>
      <c r="C12212" s="1" t="n">
        <v>45677</v>
      </c>
      <c r="D12212" t="inlineStr">
        <is>
          <t>GÄVLEBORGS LÄN</t>
        </is>
      </c>
      <c r="E12212" t="inlineStr">
        <is>
          <t>BOLLNÄS</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40402-2024</t>
        </is>
      </c>
      <c r="B12213" s="1" t="n">
        <v>45555</v>
      </c>
      <c r="C12213" s="1" t="n">
        <v>45677</v>
      </c>
      <c r="D12213" t="inlineStr">
        <is>
          <t>GÄVLEBORGS LÄN</t>
        </is>
      </c>
      <c r="E12213" t="inlineStr">
        <is>
          <t>GÄVLE</t>
        </is>
      </c>
      <c r="F12213" t="inlineStr">
        <is>
          <t>Kyrkan</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40459-2024</t>
        </is>
      </c>
      <c r="B12214" s="1" t="n">
        <v>45555</v>
      </c>
      <c r="C12214" s="1" t="n">
        <v>45677</v>
      </c>
      <c r="D12214" t="inlineStr">
        <is>
          <t>GÄVLEBORGS LÄN</t>
        </is>
      </c>
      <c r="E12214" t="inlineStr">
        <is>
          <t>BOLLNÄS</t>
        </is>
      </c>
      <c r="F12214" t="inlineStr">
        <is>
          <t>Bergvik skog väst AB</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40479-2024</t>
        </is>
      </c>
      <c r="B12215" s="1" t="n">
        <v>45555</v>
      </c>
      <c r="C12215" s="1" t="n">
        <v>45677</v>
      </c>
      <c r="D12215" t="inlineStr">
        <is>
          <t>GÄVLEBORGS LÄN</t>
        </is>
      </c>
      <c r="E12215" t="inlineStr">
        <is>
          <t>OVANÅKER</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40487-2024</t>
        </is>
      </c>
      <c r="B12216" s="1" t="n">
        <v>45555</v>
      </c>
      <c r="C12216" s="1" t="n">
        <v>45677</v>
      </c>
      <c r="D12216" t="inlineStr">
        <is>
          <t>GÄVLEBORGS LÄN</t>
        </is>
      </c>
      <c r="E12216" t="inlineStr">
        <is>
          <t>BOLLNÄS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40507-2024</t>
        </is>
      </c>
      <c r="B12217" s="1" t="n">
        <v>45555</v>
      </c>
      <c r="C12217" s="1" t="n">
        <v>45677</v>
      </c>
      <c r="D12217" t="inlineStr">
        <is>
          <t>GÄVLEBORGS LÄN</t>
        </is>
      </c>
      <c r="E12217" t="inlineStr">
        <is>
          <t>GÄVLE</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40515-2024</t>
        </is>
      </c>
      <c r="B12218" s="1" t="n">
        <v>45555</v>
      </c>
      <c r="C12218" s="1" t="n">
        <v>45677</v>
      </c>
      <c r="D12218" t="inlineStr">
        <is>
          <t>GÄVLEBORGS LÄN</t>
        </is>
      </c>
      <c r="E12218" t="inlineStr">
        <is>
          <t>GÄVLE</t>
        </is>
      </c>
      <c r="F12218" t="inlineStr">
        <is>
          <t>Bergvik skog öst AB</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40637-2024</t>
        </is>
      </c>
      <c r="B12219" s="1" t="n">
        <v>45558</v>
      </c>
      <c r="C12219" s="1" t="n">
        <v>45677</v>
      </c>
      <c r="D12219" t="inlineStr">
        <is>
          <t>GÄVLEBORGS LÄN</t>
        </is>
      </c>
      <c r="E12219" t="inlineStr">
        <is>
          <t>NORDANSTIG</t>
        </is>
      </c>
      <c r="F12219" t="inlineStr">
        <is>
          <t>Holmen skog AB</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40641-2024</t>
        </is>
      </c>
      <c r="B12220" s="1" t="n">
        <v>45558</v>
      </c>
      <c r="C12220" s="1" t="n">
        <v>45677</v>
      </c>
      <c r="D12220" t="inlineStr">
        <is>
          <t>GÄVLEBORGS LÄN</t>
        </is>
      </c>
      <c r="E12220" t="inlineStr">
        <is>
          <t>NORDANSTIG</t>
        </is>
      </c>
      <c r="F12220" t="inlineStr">
        <is>
          <t>Holmen skog AB</t>
        </is>
      </c>
      <c r="G12220" t="n">
        <v>15.7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40861-2024</t>
        </is>
      </c>
      <c r="B12221" s="1" t="n">
        <v>45558</v>
      </c>
      <c r="C12221" s="1" t="n">
        <v>45677</v>
      </c>
      <c r="D12221" t="inlineStr">
        <is>
          <t>GÄVLEBORGS LÄN</t>
        </is>
      </c>
      <c r="E12221" t="inlineStr">
        <is>
          <t>HOFORS</t>
        </is>
      </c>
      <c r="F12221" t="inlineStr">
        <is>
          <t>Sveaskog</t>
        </is>
      </c>
      <c r="G12221" t="n">
        <v>19.5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40745-2024</t>
        </is>
      </c>
      <c r="B12222" s="1" t="n">
        <v>45558</v>
      </c>
      <c r="C12222" s="1" t="n">
        <v>45677</v>
      </c>
      <c r="D12222" t="inlineStr">
        <is>
          <t>GÄVLEBORGS LÄN</t>
        </is>
      </c>
      <c r="E12222" t="inlineStr">
        <is>
          <t>SANDVIKEN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40723-2024</t>
        </is>
      </c>
      <c r="B12223" s="1" t="n">
        <v>45558</v>
      </c>
      <c r="C12223" s="1" t="n">
        <v>45677</v>
      </c>
      <c r="D12223" t="inlineStr">
        <is>
          <t>GÄVLEBORGS LÄN</t>
        </is>
      </c>
      <c r="E12223" t="inlineStr">
        <is>
          <t>HUDIKSVALL</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40942-2024</t>
        </is>
      </c>
      <c r="B12224" s="1" t="n">
        <v>45558</v>
      </c>
      <c r="C12224" s="1" t="n">
        <v>45677</v>
      </c>
      <c r="D12224" t="inlineStr">
        <is>
          <t>GÄVLEBORGS LÄN</t>
        </is>
      </c>
      <c r="E12224" t="inlineStr">
        <is>
          <t>OVANÅKER</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40946-2024</t>
        </is>
      </c>
      <c r="B12225" s="1" t="n">
        <v>45558</v>
      </c>
      <c r="C12225" s="1" t="n">
        <v>45677</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40945-2024</t>
        </is>
      </c>
      <c r="B12226" s="1" t="n">
        <v>45558</v>
      </c>
      <c r="C12226" s="1" t="n">
        <v>45677</v>
      </c>
      <c r="D12226" t="inlineStr">
        <is>
          <t>GÄVLEBORGS LÄN</t>
        </is>
      </c>
      <c r="E12226" t="inlineStr">
        <is>
          <t>OVANÅKER</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40953-2024</t>
        </is>
      </c>
      <c r="B12227" s="1" t="n">
        <v>45558</v>
      </c>
      <c r="C12227" s="1" t="n">
        <v>45677</v>
      </c>
      <c r="D12227" t="inlineStr">
        <is>
          <t>GÄVLEBORGS LÄN</t>
        </is>
      </c>
      <c r="E12227" t="inlineStr">
        <is>
          <t>OVANÅKER</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40794-2024</t>
        </is>
      </c>
      <c r="B12228" s="1" t="n">
        <v>45558</v>
      </c>
      <c r="C12228" s="1" t="n">
        <v>45677</v>
      </c>
      <c r="D12228" t="inlineStr">
        <is>
          <t>GÄVLEBORGS LÄN</t>
        </is>
      </c>
      <c r="E12228" t="inlineStr">
        <is>
          <t>OCKELBO</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40863-2024</t>
        </is>
      </c>
      <c r="B12229" s="1" t="n">
        <v>45558</v>
      </c>
      <c r="C12229" s="1" t="n">
        <v>45677</v>
      </c>
      <c r="D12229" t="inlineStr">
        <is>
          <t>GÄVLEBORGS LÄN</t>
        </is>
      </c>
      <c r="E12229" t="inlineStr">
        <is>
          <t>HOFORS</t>
        </is>
      </c>
      <c r="F12229" t="inlineStr">
        <is>
          <t>Sveaskog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40928-2024</t>
        </is>
      </c>
      <c r="B12230" s="1" t="n">
        <v>45558</v>
      </c>
      <c r="C12230" s="1" t="n">
        <v>45677</v>
      </c>
      <c r="D12230" t="inlineStr">
        <is>
          <t>GÄVLEBORGS LÄN</t>
        </is>
      </c>
      <c r="E12230" t="inlineStr">
        <is>
          <t>BOLLNÄS</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40793-2024</t>
        </is>
      </c>
      <c r="B12231" s="1" t="n">
        <v>45558</v>
      </c>
      <c r="C12231" s="1" t="n">
        <v>45677</v>
      </c>
      <c r="D12231" t="inlineStr">
        <is>
          <t>GÄVLEBORGS LÄN</t>
        </is>
      </c>
      <c r="E12231" t="inlineStr">
        <is>
          <t>SÖDERHAMN</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40886-2024</t>
        </is>
      </c>
      <c r="B12232" s="1" t="n">
        <v>45558</v>
      </c>
      <c r="C12232" s="1" t="n">
        <v>45677</v>
      </c>
      <c r="D12232" t="inlineStr">
        <is>
          <t>GÄVLEBORGS LÄN</t>
        </is>
      </c>
      <c r="E12232" t="inlineStr">
        <is>
          <t>OVANÅKER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40907-2024</t>
        </is>
      </c>
      <c r="B12233" s="1" t="n">
        <v>45558</v>
      </c>
      <c r="C12233" s="1" t="n">
        <v>45677</v>
      </c>
      <c r="D12233" t="inlineStr">
        <is>
          <t>GÄVLEBORGS LÄN</t>
        </is>
      </c>
      <c r="E12233" t="inlineStr">
        <is>
          <t>LJUSDAL</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40979-2024</t>
        </is>
      </c>
      <c r="B12234" s="1" t="n">
        <v>45558</v>
      </c>
      <c r="C12234" s="1" t="n">
        <v>45677</v>
      </c>
      <c r="D12234" t="inlineStr">
        <is>
          <t>GÄVLEBORGS LÄN</t>
        </is>
      </c>
      <c r="E12234" t="inlineStr">
        <is>
          <t>LJUSDAL</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41074-2024</t>
        </is>
      </c>
      <c r="B12235" s="1" t="n">
        <v>45559</v>
      </c>
      <c r="C12235" s="1" t="n">
        <v>45677</v>
      </c>
      <c r="D12235" t="inlineStr">
        <is>
          <t>GÄVLEBORGS LÄN</t>
        </is>
      </c>
      <c r="E12235" t="inlineStr">
        <is>
          <t>OCKELBO</t>
        </is>
      </c>
      <c r="F12235" t="inlineStr">
        <is>
          <t>Bergvik skog väst AB</t>
        </is>
      </c>
      <c r="G12235" t="n">
        <v>11.2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41094-2024</t>
        </is>
      </c>
      <c r="B12236" s="1" t="n">
        <v>45559</v>
      </c>
      <c r="C12236" s="1" t="n">
        <v>45677</v>
      </c>
      <c r="D12236" t="inlineStr">
        <is>
          <t>GÄVLEBORGS LÄN</t>
        </is>
      </c>
      <c r="E12236" t="inlineStr">
        <is>
          <t>LJUSDAL</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41098-2024</t>
        </is>
      </c>
      <c r="B12237" s="1" t="n">
        <v>45559</v>
      </c>
      <c r="C12237" s="1" t="n">
        <v>45677</v>
      </c>
      <c r="D12237" t="inlineStr">
        <is>
          <t>GÄVLEBORGS LÄN</t>
        </is>
      </c>
      <c r="E12237" t="inlineStr">
        <is>
          <t>GÄVLE</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41100-2024</t>
        </is>
      </c>
      <c r="B12238" s="1" t="n">
        <v>45559</v>
      </c>
      <c r="C12238" s="1" t="n">
        <v>45677</v>
      </c>
      <c r="D12238" t="inlineStr">
        <is>
          <t>GÄVLEBORGS LÄN</t>
        </is>
      </c>
      <c r="E12238" t="inlineStr">
        <is>
          <t>GÄVLE</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41117-2024</t>
        </is>
      </c>
      <c r="B12239" s="1" t="n">
        <v>45559</v>
      </c>
      <c r="C12239" s="1" t="n">
        <v>45677</v>
      </c>
      <c r="D12239" t="inlineStr">
        <is>
          <t>GÄVLEBORGS LÄN</t>
        </is>
      </c>
      <c r="E12239" t="inlineStr">
        <is>
          <t>GÄVLE</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41171-2024</t>
        </is>
      </c>
      <c r="B12240" s="1" t="n">
        <v>45559</v>
      </c>
      <c r="C12240" s="1" t="n">
        <v>45677</v>
      </c>
      <c r="D12240" t="inlineStr">
        <is>
          <t>GÄVLEBORGS LÄN</t>
        </is>
      </c>
      <c r="E12240" t="inlineStr">
        <is>
          <t>GÄVLE</t>
        </is>
      </c>
      <c r="F12240" t="inlineStr">
        <is>
          <t>Bergvik skog öst AB</t>
        </is>
      </c>
      <c r="G12240" t="n">
        <v>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41191-2024</t>
        </is>
      </c>
      <c r="B12241" s="1" t="n">
        <v>45559</v>
      </c>
      <c r="C12241" s="1" t="n">
        <v>45677</v>
      </c>
      <c r="D12241" t="inlineStr">
        <is>
          <t>GÄVLEBORGS LÄN</t>
        </is>
      </c>
      <c r="E12241" t="inlineStr">
        <is>
          <t>HUDIKSVALL</t>
        </is>
      </c>
      <c r="F12241" t="inlineStr">
        <is>
          <t>Holmen skog AB</t>
        </is>
      </c>
      <c r="G12241" t="n">
        <v>15.7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41179-2024</t>
        </is>
      </c>
      <c r="B12242" s="1" t="n">
        <v>45559</v>
      </c>
      <c r="C12242" s="1" t="n">
        <v>45677</v>
      </c>
      <c r="D12242" t="inlineStr">
        <is>
          <t>GÄVLEBORGS LÄN</t>
        </is>
      </c>
      <c r="E12242" t="inlineStr">
        <is>
          <t>SANDVIKEN</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41183-2024</t>
        </is>
      </c>
      <c r="B12243" s="1" t="n">
        <v>45559</v>
      </c>
      <c r="C12243" s="1" t="n">
        <v>45677</v>
      </c>
      <c r="D12243" t="inlineStr">
        <is>
          <t>GÄVLEBORGS LÄN</t>
        </is>
      </c>
      <c r="E12243" t="inlineStr">
        <is>
          <t>SANDVIKEN</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41207-2024</t>
        </is>
      </c>
      <c r="B12244" s="1" t="n">
        <v>45559</v>
      </c>
      <c r="C12244" s="1" t="n">
        <v>45677</v>
      </c>
      <c r="D12244" t="inlineStr">
        <is>
          <t>GÄVLEBORGS LÄN</t>
        </is>
      </c>
      <c r="E12244" t="inlineStr">
        <is>
          <t>NORDANSTIG</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41168-2024</t>
        </is>
      </c>
      <c r="B12245" s="1" t="n">
        <v>45559</v>
      </c>
      <c r="C12245" s="1" t="n">
        <v>45677</v>
      </c>
      <c r="D12245" t="inlineStr">
        <is>
          <t>GÄVLEBORGS LÄN</t>
        </is>
      </c>
      <c r="E12245" t="inlineStr">
        <is>
          <t>HUDIKSVALL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41194-2024</t>
        </is>
      </c>
      <c r="B12246" s="1" t="n">
        <v>45559</v>
      </c>
      <c r="C12246" s="1" t="n">
        <v>45677</v>
      </c>
      <c r="D12246" t="inlineStr">
        <is>
          <t>GÄVLEBORGS LÄN</t>
        </is>
      </c>
      <c r="E12246" t="inlineStr">
        <is>
          <t>LJUSDAL</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41230-2024</t>
        </is>
      </c>
      <c r="B12247" s="1" t="n">
        <v>45559</v>
      </c>
      <c r="C12247" s="1" t="n">
        <v>45677</v>
      </c>
      <c r="D12247" t="inlineStr">
        <is>
          <t>GÄVLEBORGS LÄN</t>
        </is>
      </c>
      <c r="E12247" t="inlineStr">
        <is>
          <t>HUDIKSVALL</t>
        </is>
      </c>
      <c r="F12247" t="inlineStr">
        <is>
          <t>Holmen skog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41208-2024</t>
        </is>
      </c>
      <c r="B12248" s="1" t="n">
        <v>45559</v>
      </c>
      <c r="C12248" s="1" t="n">
        <v>45677</v>
      </c>
      <c r="D12248" t="inlineStr">
        <is>
          <t>GÄVLEBORGS LÄN</t>
        </is>
      </c>
      <c r="E12248" t="inlineStr">
        <is>
          <t>NORDANSTIG</t>
        </is>
      </c>
      <c r="G12248" t="n">
        <v>23.3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41249-2024</t>
        </is>
      </c>
      <c r="B12249" s="1" t="n">
        <v>45559</v>
      </c>
      <c r="C12249" s="1" t="n">
        <v>45677</v>
      </c>
      <c r="D12249" t="inlineStr">
        <is>
          <t>GÄVLEBORGS LÄN</t>
        </is>
      </c>
      <c r="E12249" t="inlineStr">
        <is>
          <t>HUDIKSVALL</t>
        </is>
      </c>
      <c r="F12249" t="inlineStr">
        <is>
          <t>Holmen skog AB</t>
        </is>
      </c>
      <c r="G12249" t="n">
        <v>16.3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41357-2024</t>
        </is>
      </c>
      <c r="B12250" s="1" t="n">
        <v>45559</v>
      </c>
      <c r="C12250" s="1" t="n">
        <v>45677</v>
      </c>
      <c r="D12250" t="inlineStr">
        <is>
          <t>GÄVLEBORGS LÄN</t>
        </is>
      </c>
      <c r="E12250" t="inlineStr">
        <is>
          <t>SANDVIKEN</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41167-2024</t>
        </is>
      </c>
      <c r="B12251" s="1" t="n">
        <v>45559</v>
      </c>
      <c r="C12251" s="1" t="n">
        <v>45677</v>
      </c>
      <c r="D12251" t="inlineStr">
        <is>
          <t>GÄVLEBORGS LÄN</t>
        </is>
      </c>
      <c r="E12251" t="inlineStr">
        <is>
          <t>LJUSDAL</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41197-2024</t>
        </is>
      </c>
      <c r="B12252" s="1" t="n">
        <v>45559</v>
      </c>
      <c r="C12252" s="1" t="n">
        <v>45677</v>
      </c>
      <c r="D12252" t="inlineStr">
        <is>
          <t>GÄVLEBORGS LÄN</t>
        </is>
      </c>
      <c r="E12252" t="inlineStr">
        <is>
          <t>SÖDERHAMN</t>
        </is>
      </c>
      <c r="G12252" t="n">
        <v>9.1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41254-2024</t>
        </is>
      </c>
      <c r="B12253" s="1" t="n">
        <v>45559</v>
      </c>
      <c r="C12253" s="1" t="n">
        <v>45677</v>
      </c>
      <c r="D12253" t="inlineStr">
        <is>
          <t>GÄVLEBORGS LÄN</t>
        </is>
      </c>
      <c r="E12253" t="inlineStr">
        <is>
          <t>HUDIKSVALL</t>
        </is>
      </c>
      <c r="F12253" t="inlineStr">
        <is>
          <t>Holmen skog AB</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41258-2024</t>
        </is>
      </c>
      <c r="B12254" s="1" t="n">
        <v>45559</v>
      </c>
      <c r="C12254" s="1" t="n">
        <v>45677</v>
      </c>
      <c r="D12254" t="inlineStr">
        <is>
          <t>GÄVLEBORGS LÄN</t>
        </is>
      </c>
      <c r="E12254" t="inlineStr">
        <is>
          <t>HUDIKSVALL</t>
        </is>
      </c>
      <c r="F12254" t="inlineStr">
        <is>
          <t>Holmen skog AB</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41318-2024</t>
        </is>
      </c>
      <c r="B12255" s="1" t="n">
        <v>45559</v>
      </c>
      <c r="C12255" s="1" t="n">
        <v>45677</v>
      </c>
      <c r="D12255" t="inlineStr">
        <is>
          <t>GÄVLEBORGS LÄN</t>
        </is>
      </c>
      <c r="E12255" t="inlineStr">
        <is>
          <t>NORDANSTIG</t>
        </is>
      </c>
      <c r="F12255" t="inlineStr">
        <is>
          <t>Holmen skog AB</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41453-2024</t>
        </is>
      </c>
      <c r="B12256" s="1" t="n">
        <v>45560</v>
      </c>
      <c r="C12256" s="1" t="n">
        <v>45677</v>
      </c>
      <c r="D12256" t="inlineStr">
        <is>
          <t>GÄVLEBORGS LÄN</t>
        </is>
      </c>
      <c r="E12256" t="inlineStr">
        <is>
          <t>GÄVLE</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41546-2024</t>
        </is>
      </c>
      <c r="B12257" s="1" t="n">
        <v>45560</v>
      </c>
      <c r="C12257" s="1" t="n">
        <v>45677</v>
      </c>
      <c r="D12257" t="inlineStr">
        <is>
          <t>GÄVLEBORGS LÄN</t>
        </is>
      </c>
      <c r="E12257" t="inlineStr">
        <is>
          <t>OVANÅKER</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41650-2024</t>
        </is>
      </c>
      <c r="B12258" s="1" t="n">
        <v>45560</v>
      </c>
      <c r="C12258" s="1" t="n">
        <v>45677</v>
      </c>
      <c r="D12258" t="inlineStr">
        <is>
          <t>GÄVLEBORGS LÄN</t>
        </is>
      </c>
      <c r="E12258" t="inlineStr">
        <is>
          <t>SÖDERHAMN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41608-2024</t>
        </is>
      </c>
      <c r="B12259" s="1" t="n">
        <v>45560</v>
      </c>
      <c r="C12259" s="1" t="n">
        <v>45677</v>
      </c>
      <c r="D12259" t="inlineStr">
        <is>
          <t>GÄVLEBORGS LÄN</t>
        </is>
      </c>
      <c r="E12259" t="inlineStr">
        <is>
          <t>NORDANSTIG</t>
        </is>
      </c>
      <c r="F12259" t="inlineStr">
        <is>
          <t>Holmen skog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41735-2024</t>
        </is>
      </c>
      <c r="B12260" s="1" t="n">
        <v>45560</v>
      </c>
      <c r="C12260" s="1" t="n">
        <v>45677</v>
      </c>
      <c r="D12260" t="inlineStr">
        <is>
          <t>GÄVLEBORGS LÄN</t>
        </is>
      </c>
      <c r="E12260" t="inlineStr">
        <is>
          <t>BOLLNÄS</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41648-2024</t>
        </is>
      </c>
      <c r="B12261" s="1" t="n">
        <v>45560</v>
      </c>
      <c r="C12261" s="1" t="n">
        <v>45677</v>
      </c>
      <c r="D12261" t="inlineStr">
        <is>
          <t>GÄVLEBORGS LÄN</t>
        </is>
      </c>
      <c r="E12261" t="inlineStr">
        <is>
          <t>SÖDERHAMN</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41385-2024</t>
        </is>
      </c>
      <c r="B12262" s="1" t="n">
        <v>45560</v>
      </c>
      <c r="C12262" s="1" t="n">
        <v>45677</v>
      </c>
      <c r="D12262" t="inlineStr">
        <is>
          <t>GÄVLEBORGS LÄN</t>
        </is>
      </c>
      <c r="E12262" t="inlineStr">
        <is>
          <t>LJUSDAL</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41525-2024</t>
        </is>
      </c>
      <c r="B12263" s="1" t="n">
        <v>45560</v>
      </c>
      <c r="C12263" s="1" t="n">
        <v>45677</v>
      </c>
      <c r="D12263" t="inlineStr">
        <is>
          <t>GÄVLEBORGS LÄN</t>
        </is>
      </c>
      <c r="E12263" t="inlineStr">
        <is>
          <t>GÄVLE</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41521-2024</t>
        </is>
      </c>
      <c r="B12264" s="1" t="n">
        <v>45560</v>
      </c>
      <c r="C12264" s="1" t="n">
        <v>45677</v>
      </c>
      <c r="D12264" t="inlineStr">
        <is>
          <t>GÄVLEBORGS LÄN</t>
        </is>
      </c>
      <c r="E12264" t="inlineStr">
        <is>
          <t>HUDIKSVALL</t>
        </is>
      </c>
      <c r="F12264" t="inlineStr">
        <is>
          <t>Holmen skog AB</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41545-2024</t>
        </is>
      </c>
      <c r="B12265" s="1" t="n">
        <v>45560</v>
      </c>
      <c r="C12265" s="1" t="n">
        <v>45677</v>
      </c>
      <c r="D12265" t="inlineStr">
        <is>
          <t>GÄVLEBORGS LÄN</t>
        </is>
      </c>
      <c r="E12265" t="inlineStr">
        <is>
          <t>OVANÅKER</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41535-2024</t>
        </is>
      </c>
      <c r="B12266" s="1" t="n">
        <v>45560</v>
      </c>
      <c r="C12266" s="1" t="n">
        <v>45677</v>
      </c>
      <c r="D12266" t="inlineStr">
        <is>
          <t>GÄVLEBORGS LÄN</t>
        </is>
      </c>
      <c r="E12266" t="inlineStr">
        <is>
          <t>HUDIKSVALL</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41597-2024</t>
        </is>
      </c>
      <c r="B12267" s="1" t="n">
        <v>45560</v>
      </c>
      <c r="C12267" s="1" t="n">
        <v>45677</v>
      </c>
      <c r="D12267" t="inlineStr">
        <is>
          <t>GÄVLEBORGS LÄN</t>
        </is>
      </c>
      <c r="E12267" t="inlineStr">
        <is>
          <t>BOLLNÄS</t>
        </is>
      </c>
      <c r="G12267" t="n">
        <v>21.8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41384-2024</t>
        </is>
      </c>
      <c r="B12268" s="1" t="n">
        <v>45560</v>
      </c>
      <c r="C12268" s="1" t="n">
        <v>45677</v>
      </c>
      <c r="D12268" t="inlineStr">
        <is>
          <t>GÄVLEBORGS LÄN</t>
        </is>
      </c>
      <c r="E12268" t="inlineStr">
        <is>
          <t>SANDVIKEN</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41731-2024</t>
        </is>
      </c>
      <c r="B12269" s="1" t="n">
        <v>45560</v>
      </c>
      <c r="C12269" s="1" t="n">
        <v>45677</v>
      </c>
      <c r="D12269" t="inlineStr">
        <is>
          <t>GÄVLEBORGS LÄN</t>
        </is>
      </c>
      <c r="E12269" t="inlineStr">
        <is>
          <t>LJUSDAL</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41649-2024</t>
        </is>
      </c>
      <c r="B12270" s="1" t="n">
        <v>45560</v>
      </c>
      <c r="C12270" s="1" t="n">
        <v>45677</v>
      </c>
      <c r="D12270" t="inlineStr">
        <is>
          <t>GÄVLEBORGS LÄN</t>
        </is>
      </c>
      <c r="E12270" t="inlineStr">
        <is>
          <t>SÖDERHAMN</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41670-2024</t>
        </is>
      </c>
      <c r="B12271" s="1" t="n">
        <v>45560</v>
      </c>
      <c r="C12271" s="1" t="n">
        <v>45677</v>
      </c>
      <c r="D12271" t="inlineStr">
        <is>
          <t>GÄVLEBORGS LÄN</t>
        </is>
      </c>
      <c r="E12271" t="inlineStr">
        <is>
          <t>BOLLNÄS</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41736-2024</t>
        </is>
      </c>
      <c r="B12272" s="1" t="n">
        <v>45560</v>
      </c>
      <c r="C12272" s="1" t="n">
        <v>45677</v>
      </c>
      <c r="D12272" t="inlineStr">
        <is>
          <t>GÄVLEBORGS LÄN</t>
        </is>
      </c>
      <c r="E12272" t="inlineStr">
        <is>
          <t>BOLLNÄS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41547-2024</t>
        </is>
      </c>
      <c r="B12273" s="1" t="n">
        <v>45560</v>
      </c>
      <c r="C12273" s="1" t="n">
        <v>45677</v>
      </c>
      <c r="D12273" t="inlineStr">
        <is>
          <t>GÄVLEBORGS LÄN</t>
        </is>
      </c>
      <c r="E12273" t="inlineStr">
        <is>
          <t>OVANÅKER</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41555-2024</t>
        </is>
      </c>
      <c r="B12274" s="1" t="n">
        <v>45560</v>
      </c>
      <c r="C12274" s="1" t="n">
        <v>45677</v>
      </c>
      <c r="D12274" t="inlineStr">
        <is>
          <t>GÄVLEBORGS LÄN</t>
        </is>
      </c>
      <c r="E12274" t="inlineStr">
        <is>
          <t>HUDIKSVALL</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41559-2024</t>
        </is>
      </c>
      <c r="B12275" s="1" t="n">
        <v>45560</v>
      </c>
      <c r="C12275" s="1" t="n">
        <v>45677</v>
      </c>
      <c r="D12275" t="inlineStr">
        <is>
          <t>GÄVLEBORGS LÄN</t>
        </is>
      </c>
      <c r="E12275" t="inlineStr">
        <is>
          <t>LJUSDAL</t>
        </is>
      </c>
      <c r="F12275" t="inlineStr">
        <is>
          <t>Bergvik skog väst AB</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41591-2024</t>
        </is>
      </c>
      <c r="B12276" s="1" t="n">
        <v>45560</v>
      </c>
      <c r="C12276" s="1" t="n">
        <v>45677</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41383-2024</t>
        </is>
      </c>
      <c r="B12277" s="1" t="n">
        <v>45560</v>
      </c>
      <c r="C12277" s="1" t="n">
        <v>45677</v>
      </c>
      <c r="D12277" t="inlineStr">
        <is>
          <t>GÄVLEBORGS LÄN</t>
        </is>
      </c>
      <c r="E12277" t="inlineStr">
        <is>
          <t>SANDVIKEN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41712-2024</t>
        </is>
      </c>
      <c r="B12278" s="1" t="n">
        <v>45560</v>
      </c>
      <c r="C12278" s="1" t="n">
        <v>45677</v>
      </c>
      <c r="D12278" t="inlineStr">
        <is>
          <t>GÄVLEBORGS LÄN</t>
        </is>
      </c>
      <c r="E12278" t="inlineStr">
        <is>
          <t>BOLLNÄS</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41730-2024</t>
        </is>
      </c>
      <c r="B12279" s="1" t="n">
        <v>45560</v>
      </c>
      <c r="C12279" s="1" t="n">
        <v>45677</v>
      </c>
      <c r="D12279" t="inlineStr">
        <is>
          <t>GÄVLEBORGS LÄN</t>
        </is>
      </c>
      <c r="E12279" t="inlineStr">
        <is>
          <t>LJUSDAL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41734-2024</t>
        </is>
      </c>
      <c r="B12280" s="1" t="n">
        <v>45560</v>
      </c>
      <c r="C12280" s="1" t="n">
        <v>45677</v>
      </c>
      <c r="D12280" t="inlineStr">
        <is>
          <t>GÄVLEBORGS LÄN</t>
        </is>
      </c>
      <c r="E12280" t="inlineStr">
        <is>
          <t>BOLLNÄS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41790-2024</t>
        </is>
      </c>
      <c r="B12281" s="1" t="n">
        <v>45561</v>
      </c>
      <c r="C12281" s="1" t="n">
        <v>45677</v>
      </c>
      <c r="D12281" t="inlineStr">
        <is>
          <t>GÄVLEBORGS LÄN</t>
        </is>
      </c>
      <c r="E12281" t="inlineStr">
        <is>
          <t>SANDVIKEN</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41839-2024</t>
        </is>
      </c>
      <c r="B12282" s="1" t="n">
        <v>45561</v>
      </c>
      <c r="C12282" s="1" t="n">
        <v>45677</v>
      </c>
      <c r="D12282" t="inlineStr">
        <is>
          <t>GÄVLEBORGS LÄN</t>
        </is>
      </c>
      <c r="E12282" t="inlineStr">
        <is>
          <t>HUDIKSVALL</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41863-2024</t>
        </is>
      </c>
      <c r="B12283" s="1" t="n">
        <v>45561</v>
      </c>
      <c r="C12283" s="1" t="n">
        <v>45677</v>
      </c>
      <c r="D12283" t="inlineStr">
        <is>
          <t>GÄVLEBORGS LÄN</t>
        </is>
      </c>
      <c r="E12283" t="inlineStr">
        <is>
          <t>BOLLNÄS</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41750-2024</t>
        </is>
      </c>
      <c r="B12284" s="1" t="n">
        <v>45561</v>
      </c>
      <c r="C12284" s="1" t="n">
        <v>45677</v>
      </c>
      <c r="D12284" t="inlineStr">
        <is>
          <t>GÄVLEBORGS LÄN</t>
        </is>
      </c>
      <c r="E12284" t="inlineStr">
        <is>
          <t>HUDIKSVALL</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41774-2024</t>
        </is>
      </c>
      <c r="B12285" s="1" t="n">
        <v>45561</v>
      </c>
      <c r="C12285" s="1" t="n">
        <v>45677</v>
      </c>
      <c r="D12285" t="inlineStr">
        <is>
          <t>GÄVLEBORGS LÄN</t>
        </is>
      </c>
      <c r="E12285" t="inlineStr">
        <is>
          <t>SÖDERHAMN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41803-2024</t>
        </is>
      </c>
      <c r="B12286" s="1" t="n">
        <v>45561</v>
      </c>
      <c r="C12286" s="1" t="n">
        <v>45677</v>
      </c>
      <c r="D12286" t="inlineStr">
        <is>
          <t>GÄVLEBORGS LÄN</t>
        </is>
      </c>
      <c r="E12286" t="inlineStr">
        <is>
          <t>LJUSDAL</t>
        </is>
      </c>
      <c r="F12286" t="inlineStr">
        <is>
          <t>Bergvik skog väst AB</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41922-2024</t>
        </is>
      </c>
      <c r="B12287" s="1" t="n">
        <v>45561</v>
      </c>
      <c r="C12287" s="1" t="n">
        <v>45677</v>
      </c>
      <c r="D12287" t="inlineStr">
        <is>
          <t>GÄVLEBORGS LÄN</t>
        </is>
      </c>
      <c r="E12287" t="inlineStr">
        <is>
          <t>LJUSDAL</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41879-2024</t>
        </is>
      </c>
      <c r="B12288" s="1" t="n">
        <v>45561</v>
      </c>
      <c r="C12288" s="1" t="n">
        <v>45677</v>
      </c>
      <c r="D12288" t="inlineStr">
        <is>
          <t>GÄVLEBORGS LÄN</t>
        </is>
      </c>
      <c r="E12288" t="inlineStr">
        <is>
          <t>LJUSDAL</t>
        </is>
      </c>
      <c r="G12288" t="n">
        <v>13.1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41985-2024</t>
        </is>
      </c>
      <c r="B12289" s="1" t="n">
        <v>45561</v>
      </c>
      <c r="C12289" s="1" t="n">
        <v>45677</v>
      </c>
      <c r="D12289" t="inlineStr">
        <is>
          <t>GÄVLEBORGS LÄN</t>
        </is>
      </c>
      <c r="E12289" t="inlineStr">
        <is>
          <t>LJUSDAL</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41994-2024</t>
        </is>
      </c>
      <c r="B12290" s="1" t="n">
        <v>45561</v>
      </c>
      <c r="C12290" s="1" t="n">
        <v>45677</v>
      </c>
      <c r="D12290" t="inlineStr">
        <is>
          <t>GÄVLEBORGS LÄN</t>
        </is>
      </c>
      <c r="E12290" t="inlineStr">
        <is>
          <t>LJUSDAL</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41800-2024</t>
        </is>
      </c>
      <c r="B12291" s="1" t="n">
        <v>45561</v>
      </c>
      <c r="C12291" s="1" t="n">
        <v>45677</v>
      </c>
      <c r="D12291" t="inlineStr">
        <is>
          <t>GÄVLEBORGS LÄN</t>
        </is>
      </c>
      <c r="E12291" t="inlineStr">
        <is>
          <t>SANDVIKEN</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41857-2024</t>
        </is>
      </c>
      <c r="B12292" s="1" t="n">
        <v>45561</v>
      </c>
      <c r="C12292" s="1" t="n">
        <v>45677</v>
      </c>
      <c r="D12292" t="inlineStr">
        <is>
          <t>GÄVLEBORGS LÄN</t>
        </is>
      </c>
      <c r="E12292" t="inlineStr">
        <is>
          <t>HUDIKSVALL</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41865-2024</t>
        </is>
      </c>
      <c r="B12293" s="1" t="n">
        <v>45561</v>
      </c>
      <c r="C12293" s="1" t="n">
        <v>45677</v>
      </c>
      <c r="D12293" t="inlineStr">
        <is>
          <t>GÄVLEBORGS LÄN</t>
        </is>
      </c>
      <c r="E12293" t="inlineStr">
        <is>
          <t>BOLLNÄS</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42035-2024</t>
        </is>
      </c>
      <c r="B12294" s="1" t="n">
        <v>45561</v>
      </c>
      <c r="C12294" s="1" t="n">
        <v>45677</v>
      </c>
      <c r="D12294" t="inlineStr">
        <is>
          <t>GÄVLEBORGS LÄN</t>
        </is>
      </c>
      <c r="E12294" t="inlineStr">
        <is>
          <t>SÖDERHAMN</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41801-2024</t>
        </is>
      </c>
      <c r="B12295" s="1" t="n">
        <v>45561</v>
      </c>
      <c r="C12295" s="1" t="n">
        <v>45677</v>
      </c>
      <c r="D12295" t="inlineStr">
        <is>
          <t>GÄVLEBORGS LÄN</t>
        </is>
      </c>
      <c r="E12295" t="inlineStr">
        <is>
          <t>LJUSDAL</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41882-2024</t>
        </is>
      </c>
      <c r="B12296" s="1" t="n">
        <v>45561</v>
      </c>
      <c r="C12296" s="1" t="n">
        <v>45677</v>
      </c>
      <c r="D12296" t="inlineStr">
        <is>
          <t>GÄVLEBORGS LÄN</t>
        </is>
      </c>
      <c r="E12296" t="inlineStr">
        <is>
          <t>LJUSDAL</t>
        </is>
      </c>
      <c r="G12296" t="n">
        <v>11.9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42088-2024</t>
        </is>
      </c>
      <c r="B12297" s="1" t="n">
        <v>45562</v>
      </c>
      <c r="C12297" s="1" t="n">
        <v>45677</v>
      </c>
      <c r="D12297" t="inlineStr">
        <is>
          <t>GÄVLEBORGS LÄN</t>
        </is>
      </c>
      <c r="E12297" t="inlineStr">
        <is>
          <t>SANDVIKEN</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42136-2024</t>
        </is>
      </c>
      <c r="B12298" s="1" t="n">
        <v>45562</v>
      </c>
      <c r="C12298" s="1" t="n">
        <v>45677</v>
      </c>
      <c r="D12298" t="inlineStr">
        <is>
          <t>GÄVLEBORGS LÄN</t>
        </is>
      </c>
      <c r="E12298" t="inlineStr">
        <is>
          <t>HUDIKSVALL</t>
        </is>
      </c>
      <c r="F12298" t="inlineStr">
        <is>
          <t>Holmen skog AB</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42144-2024</t>
        </is>
      </c>
      <c r="B12299" s="1" t="n">
        <v>45562</v>
      </c>
      <c r="C12299" s="1" t="n">
        <v>45677</v>
      </c>
      <c r="D12299" t="inlineStr">
        <is>
          <t>GÄVLEBORGS LÄN</t>
        </is>
      </c>
      <c r="E12299" t="inlineStr">
        <is>
          <t>HUDIKSVALL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42152-2024</t>
        </is>
      </c>
      <c r="B12300" s="1" t="n">
        <v>45562</v>
      </c>
      <c r="C12300" s="1" t="n">
        <v>45677</v>
      </c>
      <c r="D12300" t="inlineStr">
        <is>
          <t>GÄVLEBORGS LÄN</t>
        </is>
      </c>
      <c r="E12300" t="inlineStr">
        <is>
          <t>LJUSDAL</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42217-2024</t>
        </is>
      </c>
      <c r="B12301" s="1" t="n">
        <v>45562</v>
      </c>
      <c r="C12301" s="1" t="n">
        <v>45677</v>
      </c>
      <c r="D12301" t="inlineStr">
        <is>
          <t>GÄVLEBORGS LÄN</t>
        </is>
      </c>
      <c r="E12301" t="inlineStr">
        <is>
          <t>HUDIKSVALL</t>
        </is>
      </c>
      <c r="F12301" t="inlineStr">
        <is>
          <t>Holmen skog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42071-2024</t>
        </is>
      </c>
      <c r="B12302" s="1" t="n">
        <v>45562</v>
      </c>
      <c r="C12302" s="1" t="n">
        <v>45677</v>
      </c>
      <c r="D12302" t="inlineStr">
        <is>
          <t>GÄVLEBORGS LÄN</t>
        </is>
      </c>
      <c r="E12302" t="inlineStr">
        <is>
          <t>SANDVIKEN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42101-2024</t>
        </is>
      </c>
      <c r="B12303" s="1" t="n">
        <v>45562</v>
      </c>
      <c r="C12303" s="1" t="n">
        <v>45677</v>
      </c>
      <c r="D12303" t="inlineStr">
        <is>
          <t>GÄVLEBORGS LÄN</t>
        </is>
      </c>
      <c r="E12303" t="inlineStr">
        <is>
          <t>HUDIKSVALL</t>
        </is>
      </c>
      <c r="F12303" t="inlineStr">
        <is>
          <t>Holmen skog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42253-2024</t>
        </is>
      </c>
      <c r="B12304" s="1" t="n">
        <v>45562</v>
      </c>
      <c r="C12304" s="1" t="n">
        <v>45677</v>
      </c>
      <c r="D12304" t="inlineStr">
        <is>
          <t>GÄVLEBORGS LÄN</t>
        </is>
      </c>
      <c r="E12304" t="inlineStr">
        <is>
          <t>NORDANSTIG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42265-2024</t>
        </is>
      </c>
      <c r="B12305" s="1" t="n">
        <v>45562</v>
      </c>
      <c r="C12305" s="1" t="n">
        <v>45677</v>
      </c>
      <c r="D12305" t="inlineStr">
        <is>
          <t>GÄVLEBORGS LÄN</t>
        </is>
      </c>
      <c r="E12305" t="inlineStr">
        <is>
          <t>SÖDERHAMN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42129-2024</t>
        </is>
      </c>
      <c r="B12306" s="1" t="n">
        <v>45562</v>
      </c>
      <c r="C12306" s="1" t="n">
        <v>45677</v>
      </c>
      <c r="D12306" t="inlineStr">
        <is>
          <t>GÄVLEBORGS LÄN</t>
        </is>
      </c>
      <c r="E12306" t="inlineStr">
        <is>
          <t>BOLLNÄS</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42153-2024</t>
        </is>
      </c>
      <c r="B12307" s="1" t="n">
        <v>45562</v>
      </c>
      <c r="C12307" s="1" t="n">
        <v>45677</v>
      </c>
      <c r="D12307" t="inlineStr">
        <is>
          <t>GÄVLEBORGS LÄN</t>
        </is>
      </c>
      <c r="E12307" t="inlineStr">
        <is>
          <t>LJUSDAL</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42210-2024</t>
        </is>
      </c>
      <c r="B12308" s="1" t="n">
        <v>45562</v>
      </c>
      <c r="C12308" s="1" t="n">
        <v>45677</v>
      </c>
      <c r="D12308" t="inlineStr">
        <is>
          <t>GÄVLEBORGS LÄN</t>
        </is>
      </c>
      <c r="E12308" t="inlineStr">
        <is>
          <t>GÄVLE</t>
        </is>
      </c>
      <c r="F12308" t="inlineStr">
        <is>
          <t>Bergvik skog väst AB</t>
        </is>
      </c>
      <c r="G12308" t="n">
        <v>10.7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42331-2024</t>
        </is>
      </c>
      <c r="B12309" s="1" t="n">
        <v>45562</v>
      </c>
      <c r="C12309" s="1" t="n">
        <v>45677</v>
      </c>
      <c r="D12309" t="inlineStr">
        <is>
          <t>GÄVLEBORGS LÄN</t>
        </is>
      </c>
      <c r="E12309" t="inlineStr">
        <is>
          <t>OVANÅKER</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42316-2024</t>
        </is>
      </c>
      <c r="B12310" s="1" t="n">
        <v>45562</v>
      </c>
      <c r="C12310" s="1" t="n">
        <v>45677</v>
      </c>
      <c r="D12310" t="inlineStr">
        <is>
          <t>GÄVLEBORGS LÄN</t>
        </is>
      </c>
      <c r="E12310" t="inlineStr">
        <is>
          <t>OVANÅKER</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42324-2024</t>
        </is>
      </c>
      <c r="B12311" s="1" t="n">
        <v>45562</v>
      </c>
      <c r="C12311" s="1" t="n">
        <v>45677</v>
      </c>
      <c r="D12311" t="inlineStr">
        <is>
          <t>GÄVLEBORGS LÄN</t>
        </is>
      </c>
      <c r="E12311" t="inlineStr">
        <is>
          <t>OVANÅKER</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42068-2024</t>
        </is>
      </c>
      <c r="B12312" s="1" t="n">
        <v>45562</v>
      </c>
      <c r="C12312" s="1" t="n">
        <v>45677</v>
      </c>
      <c r="D12312" t="inlineStr">
        <is>
          <t>GÄVLEBORGS LÄN</t>
        </is>
      </c>
      <c r="E12312" t="inlineStr">
        <is>
          <t>OVANÅKER</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42082-2024</t>
        </is>
      </c>
      <c r="B12313" s="1" t="n">
        <v>45562</v>
      </c>
      <c r="C12313" s="1" t="n">
        <v>45677</v>
      </c>
      <c r="D12313" t="inlineStr">
        <is>
          <t>GÄVLEBORGS LÄN</t>
        </is>
      </c>
      <c r="E12313" t="inlineStr">
        <is>
          <t>LJUSDAL</t>
        </is>
      </c>
      <c r="F12313" t="inlineStr">
        <is>
          <t>Bergvik skog väst AB</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42158-2024</t>
        </is>
      </c>
      <c r="B12314" s="1" t="n">
        <v>45562</v>
      </c>
      <c r="C12314" s="1" t="n">
        <v>45677</v>
      </c>
      <c r="D12314" t="inlineStr">
        <is>
          <t>GÄVLEBORGS LÄN</t>
        </is>
      </c>
      <c r="E12314" t="inlineStr">
        <is>
          <t>LJUSDAL</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42247-2024</t>
        </is>
      </c>
      <c r="B12315" s="1" t="n">
        <v>45562</v>
      </c>
      <c r="C12315" s="1" t="n">
        <v>45677</v>
      </c>
      <c r="D12315" t="inlineStr">
        <is>
          <t>GÄVLEBORGS LÄN</t>
        </is>
      </c>
      <c r="E12315" t="inlineStr">
        <is>
          <t>GÄVLE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42263-2024</t>
        </is>
      </c>
      <c r="B12316" s="1" t="n">
        <v>45562</v>
      </c>
      <c r="C12316" s="1" t="n">
        <v>45677</v>
      </c>
      <c r="D12316" t="inlineStr">
        <is>
          <t>GÄVLEBORGS LÄN</t>
        </is>
      </c>
      <c r="E12316" t="inlineStr">
        <is>
          <t>LJUSDAL</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42069-2024</t>
        </is>
      </c>
      <c r="B12317" s="1" t="n">
        <v>45562</v>
      </c>
      <c r="C12317" s="1" t="n">
        <v>45677</v>
      </c>
      <c r="D12317" t="inlineStr">
        <is>
          <t>GÄVLEBORGS LÄN</t>
        </is>
      </c>
      <c r="E12317" t="inlineStr">
        <is>
          <t>SANDVIKEN</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42095-2024</t>
        </is>
      </c>
      <c r="B12318" s="1" t="n">
        <v>45562</v>
      </c>
      <c r="C12318" s="1" t="n">
        <v>45677</v>
      </c>
      <c r="D12318" t="inlineStr">
        <is>
          <t>GÄVLEBORGS LÄN</t>
        </is>
      </c>
      <c r="E12318" t="inlineStr">
        <is>
          <t>LJUSDAL</t>
        </is>
      </c>
      <c r="F12318" t="inlineStr">
        <is>
          <t>SCA</t>
        </is>
      </c>
      <c r="G12318" t="n">
        <v>9.300000000000001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42107-2024</t>
        </is>
      </c>
      <c r="B12319" s="1" t="n">
        <v>45562</v>
      </c>
      <c r="C12319" s="1" t="n">
        <v>45677</v>
      </c>
      <c r="D12319" t="inlineStr">
        <is>
          <t>GÄVLEBORGS LÄN</t>
        </is>
      </c>
      <c r="E12319" t="inlineStr">
        <is>
          <t>SANDVIKEN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42164-2024</t>
        </is>
      </c>
      <c r="B12320" s="1" t="n">
        <v>45562</v>
      </c>
      <c r="C12320" s="1" t="n">
        <v>45677</v>
      </c>
      <c r="D12320" t="inlineStr">
        <is>
          <t>GÄVLEBORGS LÄN</t>
        </is>
      </c>
      <c r="E12320" t="inlineStr">
        <is>
          <t>LJUSDAL</t>
        </is>
      </c>
      <c r="F12320" t="inlineStr">
        <is>
          <t>Bergvik skog väst AB</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42273-2024</t>
        </is>
      </c>
      <c r="B12321" s="1" t="n">
        <v>45562</v>
      </c>
      <c r="C12321" s="1" t="n">
        <v>45677</v>
      </c>
      <c r="D12321" t="inlineStr">
        <is>
          <t>GÄVLEBORGS LÄN</t>
        </is>
      </c>
      <c r="E12321" t="inlineStr">
        <is>
          <t>SÖDERHAMN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42314-2024</t>
        </is>
      </c>
      <c r="B12322" s="1" t="n">
        <v>45562</v>
      </c>
      <c r="C12322" s="1" t="n">
        <v>45677</v>
      </c>
      <c r="D12322" t="inlineStr">
        <is>
          <t>GÄVLEBORGS LÄN</t>
        </is>
      </c>
      <c r="E12322" t="inlineStr">
        <is>
          <t>HUDIKSVALL</t>
        </is>
      </c>
      <c r="F12322" t="inlineStr">
        <is>
          <t>Holmen skog AB</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42322-2024</t>
        </is>
      </c>
      <c r="B12323" s="1" t="n">
        <v>45562</v>
      </c>
      <c r="C12323" s="1" t="n">
        <v>45677</v>
      </c>
      <c r="D12323" t="inlineStr">
        <is>
          <t>GÄVLEBORGS LÄN</t>
        </is>
      </c>
      <c r="E12323" t="inlineStr">
        <is>
          <t>OVANÅKER</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42334-2024</t>
        </is>
      </c>
      <c r="B12324" s="1" t="n">
        <v>45562</v>
      </c>
      <c r="C12324" s="1" t="n">
        <v>45677</v>
      </c>
      <c r="D12324" t="inlineStr">
        <is>
          <t>GÄVLEBORGS LÄN</t>
        </is>
      </c>
      <c r="E12324" t="inlineStr">
        <is>
          <t>OVANÅKER</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42360-2024</t>
        </is>
      </c>
      <c r="B12325" s="1" t="n">
        <v>45562</v>
      </c>
      <c r="C12325" s="1" t="n">
        <v>45677</v>
      </c>
      <c r="D12325" t="inlineStr">
        <is>
          <t>GÄVLEBORGS LÄN</t>
        </is>
      </c>
      <c r="E12325" t="inlineStr">
        <is>
          <t>GÄVLE</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42540-2024</t>
        </is>
      </c>
      <c r="B12326" s="1" t="n">
        <v>45565</v>
      </c>
      <c r="C12326" s="1" t="n">
        <v>45677</v>
      </c>
      <c r="D12326" t="inlineStr">
        <is>
          <t>GÄVLEBORGS LÄN</t>
        </is>
      </c>
      <c r="E12326" t="inlineStr">
        <is>
          <t>LJUSDAL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42392-2024</t>
        </is>
      </c>
      <c r="B12327" s="1" t="n">
        <v>45565</v>
      </c>
      <c r="C12327" s="1" t="n">
        <v>45677</v>
      </c>
      <c r="D12327" t="inlineStr">
        <is>
          <t>GÄVLEBORGS LÄN</t>
        </is>
      </c>
      <c r="E12327" t="inlineStr">
        <is>
          <t>LJUSDAL</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42400-2024</t>
        </is>
      </c>
      <c r="B12328" s="1" t="n">
        <v>45565</v>
      </c>
      <c r="C12328" s="1" t="n">
        <v>45677</v>
      </c>
      <c r="D12328" t="inlineStr">
        <is>
          <t>GÄVLEBORGS LÄN</t>
        </is>
      </c>
      <c r="E12328" t="inlineStr">
        <is>
          <t>GÄVLE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42521-2024</t>
        </is>
      </c>
      <c r="B12329" s="1" t="n">
        <v>45565</v>
      </c>
      <c r="C12329" s="1" t="n">
        <v>45677</v>
      </c>
      <c r="D12329" t="inlineStr">
        <is>
          <t>GÄVLEBORGS LÄN</t>
        </is>
      </c>
      <c r="E12329" t="inlineStr">
        <is>
          <t>HUDIKSVALL</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42537-2024</t>
        </is>
      </c>
      <c r="B12330" s="1" t="n">
        <v>45565</v>
      </c>
      <c r="C12330" s="1" t="n">
        <v>45677</v>
      </c>
      <c r="D12330" t="inlineStr">
        <is>
          <t>GÄVLEBORGS LÄN</t>
        </is>
      </c>
      <c r="E12330" t="inlineStr">
        <is>
          <t>LJUSDAL</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42541-2024</t>
        </is>
      </c>
      <c r="B12331" s="1" t="n">
        <v>45565</v>
      </c>
      <c r="C12331" s="1" t="n">
        <v>45677</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42549-2024</t>
        </is>
      </c>
      <c r="B12332" s="1" t="n">
        <v>45565</v>
      </c>
      <c r="C12332" s="1" t="n">
        <v>45677</v>
      </c>
      <c r="D12332" t="inlineStr">
        <is>
          <t>GÄVLEBORGS LÄN</t>
        </is>
      </c>
      <c r="E12332" t="inlineStr">
        <is>
          <t>SÖDERHAMN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42580-2024</t>
        </is>
      </c>
      <c r="B12333" s="1" t="n">
        <v>45565</v>
      </c>
      <c r="C12333" s="1" t="n">
        <v>45677</v>
      </c>
      <c r="D12333" t="inlineStr">
        <is>
          <t>GÄVLEBORGS LÄN</t>
        </is>
      </c>
      <c r="E12333" t="inlineStr">
        <is>
          <t>BOLLNÄS</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42417-2024</t>
        </is>
      </c>
      <c r="B12334" s="1" t="n">
        <v>45565</v>
      </c>
      <c r="C12334" s="1" t="n">
        <v>45677</v>
      </c>
      <c r="D12334" t="inlineStr">
        <is>
          <t>GÄVLEBORGS LÄN</t>
        </is>
      </c>
      <c r="E12334" t="inlineStr">
        <is>
          <t>LJUSDAL</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42518-2024</t>
        </is>
      </c>
      <c r="B12335" s="1" t="n">
        <v>45565</v>
      </c>
      <c r="C12335" s="1" t="n">
        <v>45677</v>
      </c>
      <c r="D12335" t="inlineStr">
        <is>
          <t>GÄVLEBORGS LÄN</t>
        </is>
      </c>
      <c r="E12335" t="inlineStr">
        <is>
          <t>HUDIKSVALL</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42509-2024</t>
        </is>
      </c>
      <c r="B12336" s="1" t="n">
        <v>45565</v>
      </c>
      <c r="C12336" s="1" t="n">
        <v>45677</v>
      </c>
      <c r="D12336" t="inlineStr">
        <is>
          <t>GÄVLEBORGS LÄN</t>
        </is>
      </c>
      <c r="E12336" t="inlineStr">
        <is>
          <t>HUDIKSVALL</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42570-2024</t>
        </is>
      </c>
      <c r="B12337" s="1" t="n">
        <v>45565</v>
      </c>
      <c r="C12337" s="1" t="n">
        <v>45677</v>
      </c>
      <c r="D12337" t="inlineStr">
        <is>
          <t>GÄVLEBORGS LÄN</t>
        </is>
      </c>
      <c r="E12337" t="inlineStr">
        <is>
          <t>BOLLNÄS</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42543-2024</t>
        </is>
      </c>
      <c r="B12338" s="1" t="n">
        <v>45565</v>
      </c>
      <c r="C12338" s="1" t="n">
        <v>45677</v>
      </c>
      <c r="D12338" t="inlineStr">
        <is>
          <t>GÄVLEBORGS LÄN</t>
        </is>
      </c>
      <c r="E12338" t="inlineStr">
        <is>
          <t>BOLLNÄS</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42629-2024</t>
        </is>
      </c>
      <c r="B12339" s="1" t="n">
        <v>45565</v>
      </c>
      <c r="C12339" s="1" t="n">
        <v>45677</v>
      </c>
      <c r="D12339" t="inlineStr">
        <is>
          <t>GÄVLEBORGS LÄN</t>
        </is>
      </c>
      <c r="E12339" t="inlineStr">
        <is>
          <t>HUDIKSVALL</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42527-2024</t>
        </is>
      </c>
      <c r="B12340" s="1" t="n">
        <v>45565</v>
      </c>
      <c r="C12340" s="1" t="n">
        <v>45677</v>
      </c>
      <c r="D12340" t="inlineStr">
        <is>
          <t>GÄVLEBORGS LÄN</t>
        </is>
      </c>
      <c r="E12340" t="inlineStr">
        <is>
          <t>OCKELBO</t>
        </is>
      </c>
      <c r="F12340" t="inlineStr">
        <is>
          <t>Bergvik skog väst AB</t>
        </is>
      </c>
      <c r="G12340" t="n">
        <v>11.4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42579-2024</t>
        </is>
      </c>
      <c r="B12341" s="1" t="n">
        <v>45565</v>
      </c>
      <c r="C12341" s="1" t="n">
        <v>45677</v>
      </c>
      <c r="D12341" t="inlineStr">
        <is>
          <t>GÄVLEBORGS LÄN</t>
        </is>
      </c>
      <c r="E12341" t="inlineStr">
        <is>
          <t>BOLLNÄS</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42575-2024</t>
        </is>
      </c>
      <c r="B12342" s="1" t="n">
        <v>45565</v>
      </c>
      <c r="C12342" s="1" t="n">
        <v>45677</v>
      </c>
      <c r="D12342" t="inlineStr">
        <is>
          <t>GÄVLEBORGS LÄN</t>
        </is>
      </c>
      <c r="E12342" t="inlineStr">
        <is>
          <t>BOLLNÄS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42701-2024</t>
        </is>
      </c>
      <c r="B12343" s="1" t="n">
        <v>45566</v>
      </c>
      <c r="C12343" s="1" t="n">
        <v>45677</v>
      </c>
      <c r="D12343" t="inlineStr">
        <is>
          <t>GÄVLEBORGS LÄN</t>
        </is>
      </c>
      <c r="E12343" t="inlineStr">
        <is>
          <t>NORDANSTIG</t>
        </is>
      </c>
      <c r="F12343" t="inlineStr">
        <is>
          <t>Holmen skog AB</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42873-2024</t>
        </is>
      </c>
      <c r="B12344" s="1" t="n">
        <v>45566</v>
      </c>
      <c r="C12344" s="1" t="n">
        <v>45677</v>
      </c>
      <c r="D12344" t="inlineStr">
        <is>
          <t>GÄVLEBORGS LÄN</t>
        </is>
      </c>
      <c r="E12344" t="inlineStr">
        <is>
          <t>OCKELBO</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42869-2024</t>
        </is>
      </c>
      <c r="B12345" s="1" t="n">
        <v>45566</v>
      </c>
      <c r="C12345" s="1" t="n">
        <v>45677</v>
      </c>
      <c r="D12345" t="inlineStr">
        <is>
          <t>GÄVLEBORGS LÄN</t>
        </is>
      </c>
      <c r="E12345" t="inlineStr">
        <is>
          <t>SANDVIKEN</t>
        </is>
      </c>
      <c r="F12345" t="inlineStr">
        <is>
          <t>Sveaskog</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42865-2024</t>
        </is>
      </c>
      <c r="B12346" s="1" t="n">
        <v>45566</v>
      </c>
      <c r="C12346" s="1" t="n">
        <v>45677</v>
      </c>
      <c r="D12346" t="inlineStr">
        <is>
          <t>GÄVLEBORGS LÄN</t>
        </is>
      </c>
      <c r="E12346" t="inlineStr">
        <is>
          <t>SANDVIKEN</t>
        </is>
      </c>
      <c r="F12346" t="inlineStr">
        <is>
          <t>Sveaskog</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42796-2024</t>
        </is>
      </c>
      <c r="B12347" s="1" t="n">
        <v>45566</v>
      </c>
      <c r="C12347" s="1" t="n">
        <v>45677</v>
      </c>
      <c r="D12347" t="inlineStr">
        <is>
          <t>GÄVLEBORGS LÄN</t>
        </is>
      </c>
      <c r="E12347" t="inlineStr">
        <is>
          <t>NORDANSTIG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42902-2024</t>
        </is>
      </c>
      <c r="B12348" s="1" t="n">
        <v>45566</v>
      </c>
      <c r="C12348" s="1" t="n">
        <v>45677</v>
      </c>
      <c r="D12348" t="inlineStr">
        <is>
          <t>GÄVLEBORGS LÄN</t>
        </is>
      </c>
      <c r="E12348" t="inlineStr">
        <is>
          <t>SÖDERHAMN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42858-2024</t>
        </is>
      </c>
      <c r="B12349" s="1" t="n">
        <v>45566</v>
      </c>
      <c r="C12349" s="1" t="n">
        <v>45677</v>
      </c>
      <c r="D12349" t="inlineStr">
        <is>
          <t>GÄVLEBORGS LÄN</t>
        </is>
      </c>
      <c r="E12349" t="inlineStr">
        <is>
          <t>NORDANSTIG</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42810-2024</t>
        </is>
      </c>
      <c r="B12350" s="1" t="n">
        <v>45566</v>
      </c>
      <c r="C12350" s="1" t="n">
        <v>45677</v>
      </c>
      <c r="D12350" t="inlineStr">
        <is>
          <t>GÄVLEBORGS LÄN</t>
        </is>
      </c>
      <c r="E12350" t="inlineStr">
        <is>
          <t>OCKELBO</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42717-2024</t>
        </is>
      </c>
      <c r="B12351" s="1" t="n">
        <v>45566</v>
      </c>
      <c r="C12351" s="1" t="n">
        <v>45677</v>
      </c>
      <c r="D12351" t="inlineStr">
        <is>
          <t>GÄVLEBORGS LÄN</t>
        </is>
      </c>
      <c r="E12351" t="inlineStr">
        <is>
          <t>NORDANSTIG</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42712-2024</t>
        </is>
      </c>
      <c r="B12352" s="1" t="n">
        <v>45566</v>
      </c>
      <c r="C12352" s="1" t="n">
        <v>45677</v>
      </c>
      <c r="D12352" t="inlineStr">
        <is>
          <t>GÄVLEBORGS LÄN</t>
        </is>
      </c>
      <c r="E12352" t="inlineStr">
        <is>
          <t>LJUSDAL</t>
        </is>
      </c>
      <c r="F12352" t="inlineStr">
        <is>
          <t>Kommuner</t>
        </is>
      </c>
      <c r="G12352" t="n">
        <v>6.9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42703-2024</t>
        </is>
      </c>
      <c r="B12353" s="1" t="n">
        <v>45566</v>
      </c>
      <c r="C12353" s="1" t="n">
        <v>45677</v>
      </c>
      <c r="D12353" t="inlineStr">
        <is>
          <t>GÄVLEBORGS LÄN</t>
        </is>
      </c>
      <c r="E12353" t="inlineStr">
        <is>
          <t>LJUSDAL</t>
        </is>
      </c>
      <c r="F12353" t="inlineStr">
        <is>
          <t>Kommuner</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42868-2024</t>
        </is>
      </c>
      <c r="B12354" s="1" t="n">
        <v>45566</v>
      </c>
      <c r="C12354" s="1" t="n">
        <v>45677</v>
      </c>
      <c r="D12354" t="inlineStr">
        <is>
          <t>GÄVLEBORGS LÄN</t>
        </is>
      </c>
      <c r="E12354" t="inlineStr">
        <is>
          <t>SANDVIKEN</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42864-2024</t>
        </is>
      </c>
      <c r="B12355" s="1" t="n">
        <v>45566</v>
      </c>
      <c r="C12355" s="1" t="n">
        <v>45677</v>
      </c>
      <c r="D12355" t="inlineStr">
        <is>
          <t>GÄVLEBORGS LÄN</t>
        </is>
      </c>
      <c r="E12355" t="inlineStr">
        <is>
          <t>SANDVIKEN</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42726-2024</t>
        </is>
      </c>
      <c r="B12356" s="1" t="n">
        <v>45566</v>
      </c>
      <c r="C12356" s="1" t="n">
        <v>45677</v>
      </c>
      <c r="D12356" t="inlineStr">
        <is>
          <t>GÄVLEBORGS LÄN</t>
        </is>
      </c>
      <c r="E12356" t="inlineStr">
        <is>
          <t>LJUSDAL</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42722-2024</t>
        </is>
      </c>
      <c r="B12357" s="1" t="n">
        <v>45566</v>
      </c>
      <c r="C12357" s="1" t="n">
        <v>45677</v>
      </c>
      <c r="D12357" t="inlineStr">
        <is>
          <t>GÄVLEBORGS LÄN</t>
        </is>
      </c>
      <c r="E12357" t="inlineStr">
        <is>
          <t>OVANÅKER</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42708-2024</t>
        </is>
      </c>
      <c r="B12358" s="1" t="n">
        <v>45566</v>
      </c>
      <c r="C12358" s="1" t="n">
        <v>45677</v>
      </c>
      <c r="D12358" t="inlineStr">
        <is>
          <t>GÄVLEBORGS LÄN</t>
        </is>
      </c>
      <c r="E12358" t="inlineStr">
        <is>
          <t>HUDIKSVALL</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42692-2024</t>
        </is>
      </c>
      <c r="B12359" s="1" t="n">
        <v>45566</v>
      </c>
      <c r="C12359" s="1" t="n">
        <v>45677</v>
      </c>
      <c r="D12359" t="inlineStr">
        <is>
          <t>GÄVLEBORGS LÄN</t>
        </is>
      </c>
      <c r="E12359" t="inlineStr">
        <is>
          <t>HUDIKSVALL</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42659-2024</t>
        </is>
      </c>
      <c r="B12360" s="1" t="n">
        <v>45566</v>
      </c>
      <c r="C12360" s="1" t="n">
        <v>45677</v>
      </c>
      <c r="D12360" t="inlineStr">
        <is>
          <t>GÄVLEBORGS LÄN</t>
        </is>
      </c>
      <c r="E12360" t="inlineStr">
        <is>
          <t>HUDIKSVALL</t>
        </is>
      </c>
      <c r="F12360" t="inlineStr">
        <is>
          <t>Holmen skog AB</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42643-2024</t>
        </is>
      </c>
      <c r="B12361" s="1" t="n">
        <v>45566</v>
      </c>
      <c r="C12361" s="1" t="n">
        <v>45677</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42720-2024</t>
        </is>
      </c>
      <c r="B12362" s="1" t="n">
        <v>45566</v>
      </c>
      <c r="C12362" s="1" t="n">
        <v>45677</v>
      </c>
      <c r="D12362" t="inlineStr">
        <is>
          <t>GÄVLEBORGS LÄN</t>
        </is>
      </c>
      <c r="E12362" t="inlineStr">
        <is>
          <t>LJUSDAL</t>
        </is>
      </c>
      <c r="F12362" t="inlineStr">
        <is>
          <t>Kommuner</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42657-2024</t>
        </is>
      </c>
      <c r="B12363" s="1" t="n">
        <v>45566</v>
      </c>
      <c r="C12363" s="1" t="n">
        <v>45677</v>
      </c>
      <c r="D12363" t="inlineStr">
        <is>
          <t>GÄVLEBORGS LÄN</t>
        </is>
      </c>
      <c r="E12363" t="inlineStr">
        <is>
          <t>HUDIKSVALL</t>
        </is>
      </c>
      <c r="F12363" t="inlineStr">
        <is>
          <t>Holmen skog AB</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42687-2024</t>
        </is>
      </c>
      <c r="B12364" s="1" t="n">
        <v>45566</v>
      </c>
      <c r="C12364" s="1" t="n">
        <v>45677</v>
      </c>
      <c r="D12364" t="inlineStr">
        <is>
          <t>GÄVLEBORGS LÄN</t>
        </is>
      </c>
      <c r="E12364" t="inlineStr">
        <is>
          <t>HUDIKSVALL</t>
        </is>
      </c>
      <c r="F12364" t="inlineStr">
        <is>
          <t>Holmen skog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42644-2024</t>
        </is>
      </c>
      <c r="B12365" s="1" t="n">
        <v>45566</v>
      </c>
      <c r="C12365" s="1" t="n">
        <v>45677</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43070-2024</t>
        </is>
      </c>
      <c r="B12366" s="1" t="n">
        <v>45567</v>
      </c>
      <c r="C12366" s="1" t="n">
        <v>45677</v>
      </c>
      <c r="D12366" t="inlineStr">
        <is>
          <t>GÄVLEBORGS LÄN</t>
        </is>
      </c>
      <c r="E12366" t="inlineStr">
        <is>
          <t>HUDIKSVALL</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43207-2024</t>
        </is>
      </c>
      <c r="B12367" s="1" t="n">
        <v>45567</v>
      </c>
      <c r="C12367" s="1" t="n">
        <v>45677</v>
      </c>
      <c r="D12367" t="inlineStr">
        <is>
          <t>GÄVLEBORGS LÄN</t>
        </is>
      </c>
      <c r="E12367" t="inlineStr">
        <is>
          <t>SANDVIKEN</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43191-2024</t>
        </is>
      </c>
      <c r="B12368" s="1" t="n">
        <v>45567</v>
      </c>
      <c r="C12368" s="1" t="n">
        <v>45677</v>
      </c>
      <c r="D12368" t="inlineStr">
        <is>
          <t>GÄVLEBORGS LÄN</t>
        </is>
      </c>
      <c r="E12368" t="inlineStr">
        <is>
          <t>SÖDERHAMN</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43179-2024</t>
        </is>
      </c>
      <c r="B12369" s="1" t="n">
        <v>45567</v>
      </c>
      <c r="C12369" s="1" t="n">
        <v>45677</v>
      </c>
      <c r="D12369" t="inlineStr">
        <is>
          <t>GÄVLEBORGS LÄN</t>
        </is>
      </c>
      <c r="E12369" t="inlineStr">
        <is>
          <t>LJUSDAL</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43175-2024</t>
        </is>
      </c>
      <c r="B12370" s="1" t="n">
        <v>45567</v>
      </c>
      <c r="C12370" s="1" t="n">
        <v>45677</v>
      </c>
      <c r="D12370" t="inlineStr">
        <is>
          <t>GÄVLEBORGS LÄN</t>
        </is>
      </c>
      <c r="E12370" t="inlineStr">
        <is>
          <t>OVANÅKER</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43151-2024</t>
        </is>
      </c>
      <c r="B12371" s="1" t="n">
        <v>45567</v>
      </c>
      <c r="C12371" s="1" t="n">
        <v>45677</v>
      </c>
      <c r="D12371" t="inlineStr">
        <is>
          <t>GÄVLEBORGS LÄN</t>
        </is>
      </c>
      <c r="E12371" t="inlineStr">
        <is>
          <t>LJUSDAL</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43143-2024</t>
        </is>
      </c>
      <c r="B12372" s="1" t="n">
        <v>45567</v>
      </c>
      <c r="C12372" s="1" t="n">
        <v>45677</v>
      </c>
      <c r="D12372" t="inlineStr">
        <is>
          <t>GÄVLEBORGS LÄN</t>
        </is>
      </c>
      <c r="E12372" t="inlineStr">
        <is>
          <t>HOFORS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43131-2024</t>
        </is>
      </c>
      <c r="B12373" s="1" t="n">
        <v>45567</v>
      </c>
      <c r="C12373" s="1" t="n">
        <v>45677</v>
      </c>
      <c r="D12373" t="inlineStr">
        <is>
          <t>GÄVLEBORGS LÄN</t>
        </is>
      </c>
      <c r="E12373" t="inlineStr">
        <is>
          <t>BOLLNÄS</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43075-2024</t>
        </is>
      </c>
      <c r="B12374" s="1" t="n">
        <v>45567</v>
      </c>
      <c r="C12374" s="1" t="n">
        <v>45677</v>
      </c>
      <c r="D12374" t="inlineStr">
        <is>
          <t>GÄVLEBORGS LÄN</t>
        </is>
      </c>
      <c r="E12374" t="inlineStr">
        <is>
          <t>NORDANSTIG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43230-2024</t>
        </is>
      </c>
      <c r="B12375" s="1" t="n">
        <v>45567</v>
      </c>
      <c r="C12375" s="1" t="n">
        <v>45677</v>
      </c>
      <c r="D12375" t="inlineStr">
        <is>
          <t>GÄVLEBORGS LÄN</t>
        </is>
      </c>
      <c r="E12375" t="inlineStr">
        <is>
          <t>GÄVLE</t>
        </is>
      </c>
      <c r="G12375" t="n">
        <v>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43216-2024</t>
        </is>
      </c>
      <c r="B12376" s="1" t="n">
        <v>45567</v>
      </c>
      <c r="C12376" s="1" t="n">
        <v>45677</v>
      </c>
      <c r="D12376" t="inlineStr">
        <is>
          <t>GÄVLEBORGS LÄN</t>
        </is>
      </c>
      <c r="E12376" t="inlineStr">
        <is>
          <t>HUDIKSVALL</t>
        </is>
      </c>
      <c r="F12376" t="inlineStr">
        <is>
          <t>Holmen skog AB</t>
        </is>
      </c>
      <c r="G12376" t="n">
        <v>22.4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43042-2024</t>
        </is>
      </c>
      <c r="B12377" s="1" t="n">
        <v>45567</v>
      </c>
      <c r="C12377" s="1" t="n">
        <v>45677</v>
      </c>
      <c r="D12377" t="inlineStr">
        <is>
          <t>GÄVLEBORGS LÄN</t>
        </is>
      </c>
      <c r="E12377" t="inlineStr">
        <is>
          <t>BOLLNÄS</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43005-2024</t>
        </is>
      </c>
      <c r="B12378" s="1" t="n">
        <v>45567</v>
      </c>
      <c r="C12378" s="1" t="n">
        <v>45677</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42997-2024</t>
        </is>
      </c>
      <c r="B12379" s="1" t="n">
        <v>45567</v>
      </c>
      <c r="C12379" s="1" t="n">
        <v>45677</v>
      </c>
      <c r="D12379" t="inlineStr">
        <is>
          <t>GÄVLEBORGS LÄN</t>
        </is>
      </c>
      <c r="E12379" t="inlineStr">
        <is>
          <t>LJUSDAL</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43189-2024</t>
        </is>
      </c>
      <c r="B12380" s="1" t="n">
        <v>45567</v>
      </c>
      <c r="C12380" s="1" t="n">
        <v>45677</v>
      </c>
      <c r="D12380" t="inlineStr">
        <is>
          <t>GÄVLEBORGS LÄN</t>
        </is>
      </c>
      <c r="E12380" t="inlineStr">
        <is>
          <t>LJUSDAL</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43177-2024</t>
        </is>
      </c>
      <c r="B12381" s="1" t="n">
        <v>45567</v>
      </c>
      <c r="C12381" s="1" t="n">
        <v>45677</v>
      </c>
      <c r="D12381" t="inlineStr">
        <is>
          <t>GÄVLEBORGS LÄN</t>
        </is>
      </c>
      <c r="E12381" t="inlineStr">
        <is>
          <t>BOLLNÄS</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43129-2024</t>
        </is>
      </c>
      <c r="B12382" s="1" t="n">
        <v>45567</v>
      </c>
      <c r="C12382" s="1" t="n">
        <v>45677</v>
      </c>
      <c r="D12382" t="inlineStr">
        <is>
          <t>GÄVLEBORGS LÄN</t>
        </is>
      </c>
      <c r="E12382" t="inlineStr">
        <is>
          <t>BOLLNÄS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43121-2024</t>
        </is>
      </c>
      <c r="B12383" s="1" t="n">
        <v>45567</v>
      </c>
      <c r="C12383" s="1" t="n">
        <v>45677</v>
      </c>
      <c r="D12383" t="inlineStr">
        <is>
          <t>GÄVLEBORGS LÄN</t>
        </is>
      </c>
      <c r="E12383" t="inlineStr">
        <is>
          <t>SANDVIKEN</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43028-2024</t>
        </is>
      </c>
      <c r="B12384" s="1" t="n">
        <v>45567</v>
      </c>
      <c r="C12384" s="1" t="n">
        <v>45677</v>
      </c>
      <c r="D12384" t="inlineStr">
        <is>
          <t>GÄVLEBORGS LÄN</t>
        </is>
      </c>
      <c r="E12384" t="inlineStr">
        <is>
          <t>BOLLNÄS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43007-2024</t>
        </is>
      </c>
      <c r="B12385" s="1" t="n">
        <v>45567</v>
      </c>
      <c r="C12385" s="1" t="n">
        <v>45677</v>
      </c>
      <c r="D12385" t="inlineStr">
        <is>
          <t>GÄVLEBORGS LÄN</t>
        </is>
      </c>
      <c r="E12385" t="inlineStr">
        <is>
          <t>GÄVLE</t>
        </is>
      </c>
      <c r="F12385" t="inlineStr">
        <is>
          <t>Bergvik skog öst AB</t>
        </is>
      </c>
      <c r="G12385" t="n">
        <v>14.8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42991-2024</t>
        </is>
      </c>
      <c r="B12386" s="1" t="n">
        <v>45567</v>
      </c>
      <c r="C12386" s="1" t="n">
        <v>45677</v>
      </c>
      <c r="D12386" t="inlineStr">
        <is>
          <t>GÄVLEBORGS LÄN</t>
        </is>
      </c>
      <c r="E12386" t="inlineStr">
        <is>
          <t>OVANÅKER</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43180-2024</t>
        </is>
      </c>
      <c r="B12387" s="1" t="n">
        <v>45567</v>
      </c>
      <c r="C12387" s="1" t="n">
        <v>45677</v>
      </c>
      <c r="D12387" t="inlineStr">
        <is>
          <t>GÄVLEBORGS LÄN</t>
        </is>
      </c>
      <c r="E12387" t="inlineStr">
        <is>
          <t>LJUSDAL</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42942-2024</t>
        </is>
      </c>
      <c r="B12388" s="1" t="n">
        <v>45567</v>
      </c>
      <c r="C12388" s="1" t="n">
        <v>45677</v>
      </c>
      <c r="D12388" t="inlineStr">
        <is>
          <t>GÄVLEBORGS LÄN</t>
        </is>
      </c>
      <c r="E12388" t="inlineStr">
        <is>
          <t>HUDIKSVALL</t>
        </is>
      </c>
      <c r="F12388" t="inlineStr">
        <is>
          <t>Holmen skog AB</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43465-2024</t>
        </is>
      </c>
      <c r="B12389" s="1" t="n">
        <v>45568</v>
      </c>
      <c r="C12389" s="1" t="n">
        <v>45677</v>
      </c>
      <c r="D12389" t="inlineStr">
        <is>
          <t>GÄVLEBORGS LÄN</t>
        </is>
      </c>
      <c r="E12389" t="inlineStr">
        <is>
          <t>NORDANSTIG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43250-2024</t>
        </is>
      </c>
      <c r="B12390" s="1" t="n">
        <v>45568</v>
      </c>
      <c r="C12390" s="1" t="n">
        <v>45677</v>
      </c>
      <c r="D12390" t="inlineStr">
        <is>
          <t>GÄVLEBORGS LÄN</t>
        </is>
      </c>
      <c r="E12390" t="inlineStr">
        <is>
          <t>SÖDERHAMN</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43458-2024</t>
        </is>
      </c>
      <c r="B12391" s="1" t="n">
        <v>45568</v>
      </c>
      <c r="C12391" s="1" t="n">
        <v>45677</v>
      </c>
      <c r="D12391" t="inlineStr">
        <is>
          <t>GÄVLEBORGS LÄN</t>
        </is>
      </c>
      <c r="E12391" t="inlineStr">
        <is>
          <t>HUDIKSVALL</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43438-2024</t>
        </is>
      </c>
      <c r="B12392" s="1" t="n">
        <v>45568</v>
      </c>
      <c r="C12392" s="1" t="n">
        <v>45677</v>
      </c>
      <c r="D12392" t="inlineStr">
        <is>
          <t>GÄVLEBORGS LÄN</t>
        </is>
      </c>
      <c r="E12392" t="inlineStr">
        <is>
          <t>HUDIKSVALL</t>
        </is>
      </c>
      <c r="F12392" t="inlineStr">
        <is>
          <t>Holmen skog AB</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43384-2024</t>
        </is>
      </c>
      <c r="B12393" s="1" t="n">
        <v>45568</v>
      </c>
      <c r="C12393" s="1" t="n">
        <v>45677</v>
      </c>
      <c r="D12393" t="inlineStr">
        <is>
          <t>GÄVLEBORGS LÄN</t>
        </is>
      </c>
      <c r="E12393" t="inlineStr">
        <is>
          <t>BOLLNÄS</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43248-2024</t>
        </is>
      </c>
      <c r="B12394" s="1" t="n">
        <v>45568</v>
      </c>
      <c r="C12394" s="1" t="n">
        <v>45677</v>
      </c>
      <c r="D12394" t="inlineStr">
        <is>
          <t>GÄVLEBORGS LÄN</t>
        </is>
      </c>
      <c r="E12394" t="inlineStr">
        <is>
          <t>SÖDERHAMN</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43310-2024</t>
        </is>
      </c>
      <c r="B12395" s="1" t="n">
        <v>45568</v>
      </c>
      <c r="C12395" s="1" t="n">
        <v>45677</v>
      </c>
      <c r="D12395" t="inlineStr">
        <is>
          <t>GÄVLEBORGS LÄN</t>
        </is>
      </c>
      <c r="E12395" t="inlineStr">
        <is>
          <t>BOLLNÄS</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43644-2024</t>
        </is>
      </c>
      <c r="B12396" s="1" t="n">
        <v>45569</v>
      </c>
      <c r="C12396" s="1" t="n">
        <v>45677</v>
      </c>
      <c r="D12396" t="inlineStr">
        <is>
          <t>GÄVLEBORGS LÄN</t>
        </is>
      </c>
      <c r="E12396" t="inlineStr">
        <is>
          <t>HUDIKSVALL</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43668-2024</t>
        </is>
      </c>
      <c r="B12397" s="1" t="n">
        <v>45569</v>
      </c>
      <c r="C12397" s="1" t="n">
        <v>45677</v>
      </c>
      <c r="D12397" t="inlineStr">
        <is>
          <t>GÄVLEBORGS LÄN</t>
        </is>
      </c>
      <c r="E12397" t="inlineStr">
        <is>
          <t>LJUSDAL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43625-2024</t>
        </is>
      </c>
      <c r="B12398" s="1" t="n">
        <v>45569</v>
      </c>
      <c r="C12398" s="1" t="n">
        <v>45677</v>
      </c>
      <c r="D12398" t="inlineStr">
        <is>
          <t>GÄVLEBORGS LÄN</t>
        </is>
      </c>
      <c r="E12398" t="inlineStr">
        <is>
          <t>HUDIKSVALL</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43646-2024</t>
        </is>
      </c>
      <c r="B12399" s="1" t="n">
        <v>45569</v>
      </c>
      <c r="C12399" s="1" t="n">
        <v>45677</v>
      </c>
      <c r="D12399" t="inlineStr">
        <is>
          <t>GÄVLEBORGS LÄN</t>
        </is>
      </c>
      <c r="E12399" t="inlineStr">
        <is>
          <t>HUDIKSVALL</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43682-2024</t>
        </is>
      </c>
      <c r="B12400" s="1" t="n">
        <v>45569</v>
      </c>
      <c r="C12400" s="1" t="n">
        <v>45677</v>
      </c>
      <c r="D12400" t="inlineStr">
        <is>
          <t>GÄVLEBORGS LÄN</t>
        </is>
      </c>
      <c r="E12400" t="inlineStr">
        <is>
          <t>SÖDERHAMN</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43686-2024</t>
        </is>
      </c>
      <c r="B12401" s="1" t="n">
        <v>45569</v>
      </c>
      <c r="C12401" s="1" t="n">
        <v>45677</v>
      </c>
      <c r="D12401" t="inlineStr">
        <is>
          <t>GÄVLEBORGS LÄN</t>
        </is>
      </c>
      <c r="E12401" t="inlineStr">
        <is>
          <t>GÄVLE</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43498-2024</t>
        </is>
      </c>
      <c r="B12402" s="1" t="n">
        <v>45569</v>
      </c>
      <c r="C12402" s="1" t="n">
        <v>45677</v>
      </c>
      <c r="D12402" t="inlineStr">
        <is>
          <t>GÄVLEBORGS LÄN</t>
        </is>
      </c>
      <c r="E12402" t="inlineStr">
        <is>
          <t>OVANÅKER</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43523-2024</t>
        </is>
      </c>
      <c r="B12403" s="1" t="n">
        <v>45569</v>
      </c>
      <c r="C12403" s="1" t="n">
        <v>45677</v>
      </c>
      <c r="D12403" t="inlineStr">
        <is>
          <t>GÄVLEBORGS LÄN</t>
        </is>
      </c>
      <c r="E12403" t="inlineStr">
        <is>
          <t>NORDANSTIG</t>
        </is>
      </c>
      <c r="F12403" t="inlineStr">
        <is>
          <t>Holmen skog AB</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43544-2024</t>
        </is>
      </c>
      <c r="B12404" s="1" t="n">
        <v>45569</v>
      </c>
      <c r="C12404" s="1" t="n">
        <v>45677</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43580-2024</t>
        </is>
      </c>
      <c r="B12405" s="1" t="n">
        <v>45569</v>
      </c>
      <c r="C12405" s="1" t="n">
        <v>45677</v>
      </c>
      <c r="D12405" t="inlineStr">
        <is>
          <t>GÄVLEBORGS LÄN</t>
        </is>
      </c>
      <c r="E12405" t="inlineStr">
        <is>
          <t>LJUSDAL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43598-2024</t>
        </is>
      </c>
      <c r="B12406" s="1" t="n">
        <v>45569</v>
      </c>
      <c r="C12406" s="1" t="n">
        <v>45677</v>
      </c>
      <c r="D12406" t="inlineStr">
        <is>
          <t>GÄVLEBORGS LÄN</t>
        </is>
      </c>
      <c r="E12406" t="inlineStr">
        <is>
          <t>HUDIKSVALL</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43647-2024</t>
        </is>
      </c>
      <c r="B12407" s="1" t="n">
        <v>45569</v>
      </c>
      <c r="C12407" s="1" t="n">
        <v>45677</v>
      </c>
      <c r="D12407" t="inlineStr">
        <is>
          <t>GÄVLEBORGS LÄN</t>
        </is>
      </c>
      <c r="E12407" t="inlineStr">
        <is>
          <t>HUDIKSVALL</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43504-2024</t>
        </is>
      </c>
      <c r="B12408" s="1" t="n">
        <v>45569</v>
      </c>
      <c r="C12408" s="1" t="n">
        <v>45677</v>
      </c>
      <c r="D12408" t="inlineStr">
        <is>
          <t>GÄVLEBORGS LÄN</t>
        </is>
      </c>
      <c r="E12408" t="inlineStr">
        <is>
          <t>OVANÅKER</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43534-2024</t>
        </is>
      </c>
      <c r="B12409" s="1" t="n">
        <v>45569</v>
      </c>
      <c r="C12409" s="1" t="n">
        <v>45677</v>
      </c>
      <c r="D12409" t="inlineStr">
        <is>
          <t>GÄVLEBORGS LÄN</t>
        </is>
      </c>
      <c r="E12409" t="inlineStr">
        <is>
          <t>SÖDERHAMN</t>
        </is>
      </c>
      <c r="F12409" t="inlineStr">
        <is>
          <t>Kommuner</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43542-2024</t>
        </is>
      </c>
      <c r="B12410" s="1" t="n">
        <v>45569</v>
      </c>
      <c r="C12410" s="1" t="n">
        <v>45677</v>
      </c>
      <c r="D12410" t="inlineStr">
        <is>
          <t>GÄVLEBORGS LÄN</t>
        </is>
      </c>
      <c r="E12410" t="inlineStr">
        <is>
          <t>OVANÅKER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43547-2024</t>
        </is>
      </c>
      <c r="B12411" s="1" t="n">
        <v>45569</v>
      </c>
      <c r="C12411" s="1" t="n">
        <v>45677</v>
      </c>
      <c r="D12411" t="inlineStr">
        <is>
          <t>GÄVLEBORGS LÄN</t>
        </is>
      </c>
      <c r="E12411" t="inlineStr">
        <is>
          <t>OVANÅKER</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43764-2024</t>
        </is>
      </c>
      <c r="B12412" s="1" t="n">
        <v>45569</v>
      </c>
      <c r="C12412" s="1" t="n">
        <v>45677</v>
      </c>
      <c r="D12412" t="inlineStr">
        <is>
          <t>GÄVLEBORGS LÄN</t>
        </is>
      </c>
      <c r="E12412" t="inlineStr">
        <is>
          <t>SANDVIKEN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43629-2024</t>
        </is>
      </c>
      <c r="B12413" s="1" t="n">
        <v>45569</v>
      </c>
      <c r="C12413" s="1" t="n">
        <v>45677</v>
      </c>
      <c r="D12413" t="inlineStr">
        <is>
          <t>GÄVLEBORGS LÄN</t>
        </is>
      </c>
      <c r="E12413" t="inlineStr">
        <is>
          <t>HUDIKSVALL</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43562-2024</t>
        </is>
      </c>
      <c r="B12414" s="1" t="n">
        <v>45569</v>
      </c>
      <c r="C12414" s="1" t="n">
        <v>45677</v>
      </c>
      <c r="D12414" t="inlineStr">
        <is>
          <t>GÄVLEBORGS LÄN</t>
        </is>
      </c>
      <c r="E12414" t="inlineStr">
        <is>
          <t>LJUSDAL</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43521-2024</t>
        </is>
      </c>
      <c r="B12415" s="1" t="n">
        <v>45569</v>
      </c>
      <c r="C12415" s="1" t="n">
        <v>45677</v>
      </c>
      <c r="D12415" t="inlineStr">
        <is>
          <t>GÄVLEBORGS LÄN</t>
        </is>
      </c>
      <c r="E12415" t="inlineStr">
        <is>
          <t>OVANÅKER</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43501-2024</t>
        </is>
      </c>
      <c r="B12416" s="1" t="n">
        <v>45569</v>
      </c>
      <c r="C12416" s="1" t="n">
        <v>45677</v>
      </c>
      <c r="D12416" t="inlineStr">
        <is>
          <t>GÄVLEBORGS LÄN</t>
        </is>
      </c>
      <c r="E12416" t="inlineStr">
        <is>
          <t>HUDIKSVALL</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43652-2024</t>
        </is>
      </c>
      <c r="B12417" s="1" t="n">
        <v>45569</v>
      </c>
      <c r="C12417" s="1" t="n">
        <v>45677</v>
      </c>
      <c r="D12417" t="inlineStr">
        <is>
          <t>GÄVLEBORGS LÄN</t>
        </is>
      </c>
      <c r="E12417" t="inlineStr">
        <is>
          <t>GÄVLE</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43503-2024</t>
        </is>
      </c>
      <c r="B12418" s="1" t="n">
        <v>45569</v>
      </c>
      <c r="C12418" s="1" t="n">
        <v>45677</v>
      </c>
      <c r="D12418" t="inlineStr">
        <is>
          <t>GÄVLEBORGS LÄN</t>
        </is>
      </c>
      <c r="E12418" t="inlineStr">
        <is>
          <t>OVANÅKER</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43499-2024</t>
        </is>
      </c>
      <c r="B12419" s="1" t="n">
        <v>45569</v>
      </c>
      <c r="C12419" s="1" t="n">
        <v>45677</v>
      </c>
      <c r="D12419" t="inlineStr">
        <is>
          <t>GÄVLEBORGS LÄN</t>
        </is>
      </c>
      <c r="E12419" t="inlineStr">
        <is>
          <t>LJUSDAL</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43661-2024</t>
        </is>
      </c>
      <c r="B12420" s="1" t="n">
        <v>45569</v>
      </c>
      <c r="C12420" s="1" t="n">
        <v>45677</v>
      </c>
      <c r="D12420" t="inlineStr">
        <is>
          <t>GÄVLEBORGS LÄN</t>
        </is>
      </c>
      <c r="E12420" t="inlineStr">
        <is>
          <t>GÄVLE</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43665-2024</t>
        </is>
      </c>
      <c r="B12421" s="1" t="n">
        <v>45569</v>
      </c>
      <c r="C12421" s="1" t="n">
        <v>45677</v>
      </c>
      <c r="D12421" t="inlineStr">
        <is>
          <t>GÄVLEBORGS LÄN</t>
        </is>
      </c>
      <c r="E12421" t="inlineStr">
        <is>
          <t>HUDIKSVALL</t>
        </is>
      </c>
      <c r="F12421" t="inlineStr">
        <is>
          <t>Kommuner</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43695-2024</t>
        </is>
      </c>
      <c r="B12422" s="1" t="n">
        <v>45569</v>
      </c>
      <c r="C12422" s="1" t="n">
        <v>45677</v>
      </c>
      <c r="D12422" t="inlineStr">
        <is>
          <t>GÄVLEBORGS LÄN</t>
        </is>
      </c>
      <c r="E12422" t="inlineStr">
        <is>
          <t>LJUSDAL</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43979-2024</t>
        </is>
      </c>
      <c r="B12423" s="1" t="n">
        <v>45572</v>
      </c>
      <c r="C12423" s="1" t="n">
        <v>45677</v>
      </c>
      <c r="D12423" t="inlineStr">
        <is>
          <t>GÄVLEBORGS LÄN</t>
        </is>
      </c>
      <c r="E12423" t="inlineStr">
        <is>
          <t>SÖDERHAMN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43983-2024</t>
        </is>
      </c>
      <c r="B12424" s="1" t="n">
        <v>45572</v>
      </c>
      <c r="C12424" s="1" t="n">
        <v>45677</v>
      </c>
      <c r="D12424" t="inlineStr">
        <is>
          <t>GÄVLEBORGS LÄN</t>
        </is>
      </c>
      <c r="E12424" t="inlineStr">
        <is>
          <t>LJUSDAL</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43991-2024</t>
        </is>
      </c>
      <c r="B12425" s="1" t="n">
        <v>45572</v>
      </c>
      <c r="C12425" s="1" t="n">
        <v>45677</v>
      </c>
      <c r="D12425" t="inlineStr">
        <is>
          <t>GÄVLEBORGS LÄN</t>
        </is>
      </c>
      <c r="E12425" t="inlineStr">
        <is>
          <t>OVANÅKER</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43996-2024</t>
        </is>
      </c>
      <c r="B12426" s="1" t="n">
        <v>45572</v>
      </c>
      <c r="C12426" s="1" t="n">
        <v>45677</v>
      </c>
      <c r="D12426" t="inlineStr">
        <is>
          <t>GÄVLEBORGS LÄN</t>
        </is>
      </c>
      <c r="E12426" t="inlineStr">
        <is>
          <t>BOLLNÄS</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44053-2024</t>
        </is>
      </c>
      <c r="B12427" s="1" t="n">
        <v>45572</v>
      </c>
      <c r="C12427" s="1" t="n">
        <v>45677</v>
      </c>
      <c r="D12427" t="inlineStr">
        <is>
          <t>GÄVLEBORGS LÄN</t>
        </is>
      </c>
      <c r="E12427" t="inlineStr">
        <is>
          <t>HUDIKSVALL</t>
        </is>
      </c>
      <c r="F12427" t="inlineStr">
        <is>
          <t>Holmen skog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44179-2024</t>
        </is>
      </c>
      <c r="B12428" s="1" t="n">
        <v>45572</v>
      </c>
      <c r="C12428" s="1" t="n">
        <v>45677</v>
      </c>
      <c r="D12428" t="inlineStr">
        <is>
          <t>GÄVLEBORGS LÄN</t>
        </is>
      </c>
      <c r="E12428" t="inlineStr">
        <is>
          <t>BOLLNÄS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44037-2024</t>
        </is>
      </c>
      <c r="B12429" s="1" t="n">
        <v>45572</v>
      </c>
      <c r="C12429" s="1" t="n">
        <v>45677</v>
      </c>
      <c r="D12429" t="inlineStr">
        <is>
          <t>GÄVLEBORGS LÄN</t>
        </is>
      </c>
      <c r="E12429" t="inlineStr">
        <is>
          <t>HUDIKSVALL</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43834-2024</t>
        </is>
      </c>
      <c r="B12430" s="1" t="n">
        <v>45572</v>
      </c>
      <c r="C12430" s="1" t="n">
        <v>45677</v>
      </c>
      <c r="D12430" t="inlineStr">
        <is>
          <t>GÄVLEBORGS LÄN</t>
        </is>
      </c>
      <c r="E12430" t="inlineStr">
        <is>
          <t>BOLLNÄS</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44180-2024</t>
        </is>
      </c>
      <c r="B12431" s="1" t="n">
        <v>45572</v>
      </c>
      <c r="C12431" s="1" t="n">
        <v>45677</v>
      </c>
      <c r="D12431" t="inlineStr">
        <is>
          <t>GÄVLEBORGS LÄN</t>
        </is>
      </c>
      <c r="E12431" t="inlineStr">
        <is>
          <t>BOLLNÄS</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43986-2024</t>
        </is>
      </c>
      <c r="B12432" s="1" t="n">
        <v>45572</v>
      </c>
      <c r="C12432" s="1" t="n">
        <v>45677</v>
      </c>
      <c r="D12432" t="inlineStr">
        <is>
          <t>GÄVLEBORGS LÄN</t>
        </is>
      </c>
      <c r="E12432" t="inlineStr">
        <is>
          <t>SÖDERHAMN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44092-2024</t>
        </is>
      </c>
      <c r="B12433" s="1" t="n">
        <v>45572</v>
      </c>
      <c r="C12433" s="1" t="n">
        <v>45677</v>
      </c>
      <c r="D12433" t="inlineStr">
        <is>
          <t>GÄVLEBORGS LÄN</t>
        </is>
      </c>
      <c r="E12433" t="inlineStr">
        <is>
          <t>LJUSDAL</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44377-2024</t>
        </is>
      </c>
      <c r="B12434" s="1" t="n">
        <v>45573</v>
      </c>
      <c r="C12434" s="1" t="n">
        <v>45677</v>
      </c>
      <c r="D12434" t="inlineStr">
        <is>
          <t>GÄVLEBORGS LÄN</t>
        </is>
      </c>
      <c r="E12434" t="inlineStr">
        <is>
          <t>NORDANSTIG</t>
        </is>
      </c>
      <c r="F12434" t="inlineStr">
        <is>
          <t>Holmen skog AB</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44418-2024</t>
        </is>
      </c>
      <c r="B12435" s="1" t="n">
        <v>45573</v>
      </c>
      <c r="C12435" s="1" t="n">
        <v>45677</v>
      </c>
      <c r="D12435" t="inlineStr">
        <is>
          <t>GÄVLEBORGS LÄN</t>
        </is>
      </c>
      <c r="E12435" t="inlineStr">
        <is>
          <t>OVANÅKER</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44231-2024</t>
        </is>
      </c>
      <c r="B12436" s="1" t="n">
        <v>45573</v>
      </c>
      <c r="C12436" s="1" t="n">
        <v>45677</v>
      </c>
      <c r="D12436" t="inlineStr">
        <is>
          <t>GÄVLEBORGS LÄN</t>
        </is>
      </c>
      <c r="E12436" t="inlineStr">
        <is>
          <t>HUDIKSVALL</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44229-2024</t>
        </is>
      </c>
      <c r="B12437" s="1" t="n">
        <v>45573</v>
      </c>
      <c r="C12437" s="1" t="n">
        <v>45677</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44234-2024</t>
        </is>
      </c>
      <c r="B12438" s="1" t="n">
        <v>45573</v>
      </c>
      <c r="C12438" s="1" t="n">
        <v>45677</v>
      </c>
      <c r="D12438" t="inlineStr">
        <is>
          <t>GÄVLEBORGS LÄN</t>
        </is>
      </c>
      <c r="E12438" t="inlineStr">
        <is>
          <t>HUDIKSVALL</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44344-2024</t>
        </is>
      </c>
      <c r="B12439" s="1" t="n">
        <v>45573</v>
      </c>
      <c r="C12439" s="1" t="n">
        <v>45677</v>
      </c>
      <c r="D12439" t="inlineStr">
        <is>
          <t>GÄVLEBORGS LÄN</t>
        </is>
      </c>
      <c r="E12439" t="inlineStr">
        <is>
          <t>BOLLNÄS</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44337-2024</t>
        </is>
      </c>
      <c r="B12440" s="1" t="n">
        <v>45573</v>
      </c>
      <c r="C12440" s="1" t="n">
        <v>45677</v>
      </c>
      <c r="D12440" t="inlineStr">
        <is>
          <t>GÄVLEBORGS LÄN</t>
        </is>
      </c>
      <c r="E12440" t="inlineStr">
        <is>
          <t>BOLLNÄS</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44350-2024</t>
        </is>
      </c>
      <c r="B12441" s="1" t="n">
        <v>45573</v>
      </c>
      <c r="C12441" s="1" t="n">
        <v>45677</v>
      </c>
      <c r="D12441" t="inlineStr">
        <is>
          <t>GÄVLEBORGS LÄN</t>
        </is>
      </c>
      <c r="E12441" t="inlineStr">
        <is>
          <t>SANDVIKEN</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44227-2024</t>
        </is>
      </c>
      <c r="B12442" s="1" t="n">
        <v>45573</v>
      </c>
      <c r="C12442" s="1" t="n">
        <v>45677</v>
      </c>
      <c r="D12442" t="inlineStr">
        <is>
          <t>GÄVLEBORGS LÄN</t>
        </is>
      </c>
      <c r="E12442" t="inlineStr">
        <is>
          <t>HUDIKSVALL</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44277-2024</t>
        </is>
      </c>
      <c r="B12443" s="1" t="n">
        <v>45573</v>
      </c>
      <c r="C12443" s="1" t="n">
        <v>45677</v>
      </c>
      <c r="D12443" t="inlineStr">
        <is>
          <t>GÄVLEBORGS LÄN</t>
        </is>
      </c>
      <c r="E12443" t="inlineStr">
        <is>
          <t>HUDIKSVALL</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44339-2024</t>
        </is>
      </c>
      <c r="B12444" s="1" t="n">
        <v>45573</v>
      </c>
      <c r="C12444" s="1" t="n">
        <v>45677</v>
      </c>
      <c r="D12444" t="inlineStr">
        <is>
          <t>GÄVLEBORGS LÄN</t>
        </is>
      </c>
      <c r="E12444" t="inlineStr">
        <is>
          <t>NORDANSTIG</t>
        </is>
      </c>
      <c r="G12444" t="n">
        <v>10.7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44208-2024</t>
        </is>
      </c>
      <c r="B12445" s="1" t="n">
        <v>45573</v>
      </c>
      <c r="C12445" s="1" t="n">
        <v>45677</v>
      </c>
      <c r="D12445" t="inlineStr">
        <is>
          <t>GÄVLEBORGS LÄN</t>
        </is>
      </c>
      <c r="E12445" t="inlineStr">
        <is>
          <t>OVANÅKER</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44439-2024</t>
        </is>
      </c>
      <c r="B12446" s="1" t="n">
        <v>45574</v>
      </c>
      <c r="C12446" s="1" t="n">
        <v>45677</v>
      </c>
      <c r="D12446" t="inlineStr">
        <is>
          <t>GÄVLEBORGS LÄN</t>
        </is>
      </c>
      <c r="E12446" t="inlineStr">
        <is>
          <t>OVANÅKER</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44463-2024</t>
        </is>
      </c>
      <c r="B12447" s="1" t="n">
        <v>45574</v>
      </c>
      <c r="C12447" s="1" t="n">
        <v>45677</v>
      </c>
      <c r="D12447" t="inlineStr">
        <is>
          <t>GÄVLEBORGS LÄN</t>
        </is>
      </c>
      <c r="E12447" t="inlineStr">
        <is>
          <t>HUDIKSVALL</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44496-2024</t>
        </is>
      </c>
      <c r="B12448" s="1" t="n">
        <v>45574</v>
      </c>
      <c r="C12448" s="1" t="n">
        <v>45677</v>
      </c>
      <c r="D12448" t="inlineStr">
        <is>
          <t>GÄVLEBORGS LÄN</t>
        </is>
      </c>
      <c r="E12448" t="inlineStr">
        <is>
          <t>HUDIKSVALL</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44500-2024</t>
        </is>
      </c>
      <c r="B12449" s="1" t="n">
        <v>45574</v>
      </c>
      <c r="C12449" s="1" t="n">
        <v>45677</v>
      </c>
      <c r="D12449" t="inlineStr">
        <is>
          <t>GÄVLEBORGS LÄN</t>
        </is>
      </c>
      <c r="E12449" t="inlineStr">
        <is>
          <t>NORDANSTIG</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44549-2024</t>
        </is>
      </c>
      <c r="B12450" s="1" t="n">
        <v>45574</v>
      </c>
      <c r="C12450" s="1" t="n">
        <v>45677</v>
      </c>
      <c r="D12450" t="inlineStr">
        <is>
          <t>GÄVLEBORGS LÄN</t>
        </is>
      </c>
      <c r="E12450" t="inlineStr">
        <is>
          <t>HUDIKSVALL</t>
        </is>
      </c>
      <c r="F12450" t="inlineStr">
        <is>
          <t>Holmen skog AB</t>
        </is>
      </c>
      <c r="G12450" t="n">
        <v>30.9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44440-2024</t>
        </is>
      </c>
      <c r="B12451" s="1" t="n">
        <v>45574</v>
      </c>
      <c r="C12451" s="1" t="n">
        <v>45677</v>
      </c>
      <c r="D12451" t="inlineStr">
        <is>
          <t>GÄVLEBORGS LÄN</t>
        </is>
      </c>
      <c r="E12451" t="inlineStr">
        <is>
          <t>OVANÅKER</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44456-2024</t>
        </is>
      </c>
      <c r="B12452" s="1" t="n">
        <v>45574</v>
      </c>
      <c r="C12452" s="1" t="n">
        <v>45677</v>
      </c>
      <c r="D12452" t="inlineStr">
        <is>
          <t>GÄVLEBORGS LÄN</t>
        </is>
      </c>
      <c r="E12452" t="inlineStr">
        <is>
          <t>BOLLNÄS</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44473-2024</t>
        </is>
      </c>
      <c r="B12453" s="1" t="n">
        <v>45574</v>
      </c>
      <c r="C12453" s="1" t="n">
        <v>45677</v>
      </c>
      <c r="D12453" t="inlineStr">
        <is>
          <t>GÄVLEBORGS LÄN</t>
        </is>
      </c>
      <c r="E12453" t="inlineStr">
        <is>
          <t>OVANÅKER</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44497-2024</t>
        </is>
      </c>
      <c r="B12454" s="1" t="n">
        <v>45574</v>
      </c>
      <c r="C12454" s="1" t="n">
        <v>45677</v>
      </c>
      <c r="D12454" t="inlineStr">
        <is>
          <t>GÄVLEBORGS LÄN</t>
        </is>
      </c>
      <c r="E12454" t="inlineStr">
        <is>
          <t>HUDIKSVALL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44571-2024</t>
        </is>
      </c>
      <c r="B12455" s="1" t="n">
        <v>45574</v>
      </c>
      <c r="C12455" s="1" t="n">
        <v>45677</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44575-2024</t>
        </is>
      </c>
      <c r="B12456" s="1" t="n">
        <v>45574</v>
      </c>
      <c r="C12456" s="1" t="n">
        <v>45677</v>
      </c>
      <c r="D12456" t="inlineStr">
        <is>
          <t>GÄVLEBORGS LÄN</t>
        </is>
      </c>
      <c r="E12456" t="inlineStr">
        <is>
          <t>OVANÅKER</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44669-2024</t>
        </is>
      </c>
      <c r="B12457" s="1" t="n">
        <v>45574</v>
      </c>
      <c r="C12457" s="1" t="n">
        <v>45677</v>
      </c>
      <c r="D12457" t="inlineStr">
        <is>
          <t>GÄVLEBORGS LÄN</t>
        </is>
      </c>
      <c r="E12457" t="inlineStr">
        <is>
          <t>BOLLNÄS</t>
        </is>
      </c>
      <c r="F12457" t="inlineStr">
        <is>
          <t>Bergvik skog väst AB</t>
        </is>
      </c>
      <c r="G12457" t="n">
        <v>23.4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44681-2024</t>
        </is>
      </c>
      <c r="B12458" s="1" t="n">
        <v>45574</v>
      </c>
      <c r="C12458" s="1" t="n">
        <v>45677</v>
      </c>
      <c r="D12458" t="inlineStr">
        <is>
          <t>GÄVLEBORGS LÄN</t>
        </is>
      </c>
      <c r="E12458" t="inlineStr">
        <is>
          <t>SÖDERHAMN</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44487-2024</t>
        </is>
      </c>
      <c r="B12459" s="1" t="n">
        <v>45574</v>
      </c>
      <c r="C12459" s="1" t="n">
        <v>45677</v>
      </c>
      <c r="D12459" t="inlineStr">
        <is>
          <t>GÄVLEBORGS LÄN</t>
        </is>
      </c>
      <c r="E12459" t="inlineStr">
        <is>
          <t>BOLLNÄS</t>
        </is>
      </c>
      <c r="F12459" t="inlineStr">
        <is>
          <t>Kyrkan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44791-2024</t>
        </is>
      </c>
      <c r="B12460" s="1" t="n">
        <v>45574</v>
      </c>
      <c r="C12460" s="1" t="n">
        <v>45677</v>
      </c>
      <c r="D12460" t="inlineStr">
        <is>
          <t>GÄVLEBORGS LÄN</t>
        </is>
      </c>
      <c r="E12460" t="inlineStr">
        <is>
          <t>GÄVLE</t>
        </is>
      </c>
      <c r="F12460" t="inlineStr">
        <is>
          <t>Bergvik skog öst AB</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44795-2024</t>
        </is>
      </c>
      <c r="B12461" s="1" t="n">
        <v>45574</v>
      </c>
      <c r="C12461" s="1" t="n">
        <v>45677</v>
      </c>
      <c r="D12461" t="inlineStr">
        <is>
          <t>GÄVLEBORGS LÄN</t>
        </is>
      </c>
      <c r="E12461" t="inlineStr">
        <is>
          <t>GÄVLE</t>
        </is>
      </c>
      <c r="F12461" t="inlineStr">
        <is>
          <t>Bergvik skog öst AB</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44837-2024</t>
        </is>
      </c>
      <c r="B12462" s="1" t="n">
        <v>45574</v>
      </c>
      <c r="C12462" s="1" t="n">
        <v>45677</v>
      </c>
      <c r="D12462" t="inlineStr">
        <is>
          <t>GÄVLEBORGS LÄN</t>
        </is>
      </c>
      <c r="E12462" t="inlineStr">
        <is>
          <t>NORDANSTIG</t>
        </is>
      </c>
      <c r="F12462" t="inlineStr">
        <is>
          <t>Holmen skog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44790-2024</t>
        </is>
      </c>
      <c r="B12463" s="1" t="n">
        <v>45574</v>
      </c>
      <c r="C12463" s="1" t="n">
        <v>45677</v>
      </c>
      <c r="D12463" t="inlineStr">
        <is>
          <t>GÄVLEBORGS LÄN</t>
        </is>
      </c>
      <c r="E12463" t="inlineStr">
        <is>
          <t>GÄVLE</t>
        </is>
      </c>
      <c r="F12463" t="inlineStr">
        <is>
          <t>Bergvik skog öst AB</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44802-2024</t>
        </is>
      </c>
      <c r="B12464" s="1" t="n">
        <v>45574</v>
      </c>
      <c r="C12464" s="1" t="n">
        <v>45677</v>
      </c>
      <c r="D12464" t="inlineStr">
        <is>
          <t>GÄVLEBORGS LÄN</t>
        </is>
      </c>
      <c r="E12464" t="inlineStr">
        <is>
          <t>GÄVLE</t>
        </is>
      </c>
      <c r="F12464" t="inlineStr">
        <is>
          <t>Bergvik skog öst AB</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44806-2024</t>
        </is>
      </c>
      <c r="B12465" s="1" t="n">
        <v>45574</v>
      </c>
      <c r="C12465" s="1" t="n">
        <v>45677</v>
      </c>
      <c r="D12465" t="inlineStr">
        <is>
          <t>GÄVLEBORGS LÄN</t>
        </is>
      </c>
      <c r="E12465" t="inlineStr">
        <is>
          <t>GÄVLE</t>
        </is>
      </c>
      <c r="F12465" t="inlineStr">
        <is>
          <t>Bergvik skog öst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44577-2024</t>
        </is>
      </c>
      <c r="B12466" s="1" t="n">
        <v>45574</v>
      </c>
      <c r="C12466" s="1" t="n">
        <v>45677</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44688-2024</t>
        </is>
      </c>
      <c r="B12467" s="1" t="n">
        <v>45574</v>
      </c>
      <c r="C12467" s="1" t="n">
        <v>45677</v>
      </c>
      <c r="D12467" t="inlineStr">
        <is>
          <t>GÄVLEBORGS LÄN</t>
        </is>
      </c>
      <c r="E12467" t="inlineStr">
        <is>
          <t>HUDIKSVALL</t>
        </is>
      </c>
      <c r="G12467" t="n">
        <v>66.59999999999999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44720-2024</t>
        </is>
      </c>
      <c r="B12468" s="1" t="n">
        <v>45574</v>
      </c>
      <c r="C12468" s="1" t="n">
        <v>45677</v>
      </c>
      <c r="D12468" t="inlineStr">
        <is>
          <t>GÄVLEBORGS LÄN</t>
        </is>
      </c>
      <c r="E12468" t="inlineStr">
        <is>
          <t>HUDIKSVALL</t>
        </is>
      </c>
      <c r="F12468" t="inlineStr">
        <is>
          <t>Holmen skog AB</t>
        </is>
      </c>
      <c r="G12468" t="n">
        <v>9.1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44736-2024</t>
        </is>
      </c>
      <c r="B12469" s="1" t="n">
        <v>45574</v>
      </c>
      <c r="C12469" s="1" t="n">
        <v>45677</v>
      </c>
      <c r="D12469" t="inlineStr">
        <is>
          <t>GÄVLEBORGS LÄN</t>
        </is>
      </c>
      <c r="E12469" t="inlineStr">
        <is>
          <t>HUDIKSVALL</t>
        </is>
      </c>
      <c r="G12469" t="n">
        <v>43.7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44749-2024</t>
        </is>
      </c>
      <c r="B12470" s="1" t="n">
        <v>45574</v>
      </c>
      <c r="C12470" s="1" t="n">
        <v>45677</v>
      </c>
      <c r="D12470" t="inlineStr">
        <is>
          <t>GÄVLEBORGS LÄN</t>
        </is>
      </c>
      <c r="E12470" t="inlineStr">
        <is>
          <t>HUDIKSVALL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44843-2024</t>
        </is>
      </c>
      <c r="B12471" s="1" t="n">
        <v>45574</v>
      </c>
      <c r="C12471" s="1" t="n">
        <v>45677</v>
      </c>
      <c r="D12471" t="inlineStr">
        <is>
          <t>GÄVLEBORGS LÄN</t>
        </is>
      </c>
      <c r="E12471" t="inlineStr">
        <is>
          <t>GÄVLE</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44432-2024</t>
        </is>
      </c>
      <c r="B12472" s="1" t="n">
        <v>45574</v>
      </c>
      <c r="C12472" s="1" t="n">
        <v>45677</v>
      </c>
      <c r="D12472" t="inlineStr">
        <is>
          <t>GÄVLEBORGS LÄN</t>
        </is>
      </c>
      <c r="E12472" t="inlineStr">
        <is>
          <t>BOLLNÄS</t>
        </is>
      </c>
      <c r="F12472" t="inlineStr">
        <is>
          <t>Bergvik skog väst AB</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44436-2024</t>
        </is>
      </c>
      <c r="B12473" s="1" t="n">
        <v>45574</v>
      </c>
      <c r="C12473" s="1" t="n">
        <v>45677</v>
      </c>
      <c r="D12473" t="inlineStr">
        <is>
          <t>GÄVLEBORGS LÄN</t>
        </is>
      </c>
      <c r="E12473" t="inlineStr">
        <is>
          <t>NORDANSTIG</t>
        </is>
      </c>
      <c r="G12473" t="n">
        <v>8.4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44457-2024</t>
        </is>
      </c>
      <c r="B12474" s="1" t="n">
        <v>45574</v>
      </c>
      <c r="C12474" s="1" t="n">
        <v>45677</v>
      </c>
      <c r="D12474" t="inlineStr">
        <is>
          <t>GÄVLEBORGS LÄN</t>
        </is>
      </c>
      <c r="E12474" t="inlineStr">
        <is>
          <t>OCKELBO</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44474-2024</t>
        </is>
      </c>
      <c r="B12475" s="1" t="n">
        <v>45574</v>
      </c>
      <c r="C12475" s="1" t="n">
        <v>45677</v>
      </c>
      <c r="D12475" t="inlineStr">
        <is>
          <t>GÄVLEBORGS LÄN</t>
        </is>
      </c>
      <c r="E12475" t="inlineStr">
        <is>
          <t>OVANÅKER</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44486-2024</t>
        </is>
      </c>
      <c r="B12476" s="1" t="n">
        <v>45574</v>
      </c>
      <c r="C12476" s="1" t="n">
        <v>45677</v>
      </c>
      <c r="D12476" t="inlineStr">
        <is>
          <t>GÄVLEBORGS LÄN</t>
        </is>
      </c>
      <c r="E12476" t="inlineStr">
        <is>
          <t>SANDVIKEN</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44506-2024</t>
        </is>
      </c>
      <c r="B12477" s="1" t="n">
        <v>45574</v>
      </c>
      <c r="C12477" s="1" t="n">
        <v>45677</v>
      </c>
      <c r="D12477" t="inlineStr">
        <is>
          <t>GÄVLEBORGS LÄN</t>
        </is>
      </c>
      <c r="E12477" t="inlineStr">
        <is>
          <t>OVANÅKER</t>
        </is>
      </c>
      <c r="F12477" t="inlineStr">
        <is>
          <t>Kyrkan</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44556-2024</t>
        </is>
      </c>
      <c r="B12478" s="1" t="n">
        <v>45574</v>
      </c>
      <c r="C12478" s="1" t="n">
        <v>45677</v>
      </c>
      <c r="D12478" t="inlineStr">
        <is>
          <t>GÄVLEBORGS LÄN</t>
        </is>
      </c>
      <c r="E12478" t="inlineStr">
        <is>
          <t>GÄVLE</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44580-2024</t>
        </is>
      </c>
      <c r="B12479" s="1" t="n">
        <v>45574</v>
      </c>
      <c r="C12479" s="1" t="n">
        <v>45677</v>
      </c>
      <c r="D12479" t="inlineStr">
        <is>
          <t>GÄVLEBORGS LÄN</t>
        </is>
      </c>
      <c r="E12479" t="inlineStr">
        <is>
          <t>BOLLNÄS</t>
        </is>
      </c>
      <c r="F12479" t="inlineStr">
        <is>
          <t>Bergvik skog väst AB</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44633-2024</t>
        </is>
      </c>
      <c r="B12480" s="1" t="n">
        <v>45574</v>
      </c>
      <c r="C12480" s="1" t="n">
        <v>45677</v>
      </c>
      <c r="D12480" t="inlineStr">
        <is>
          <t>GÄVLEBORGS LÄN</t>
        </is>
      </c>
      <c r="E12480" t="inlineStr">
        <is>
          <t>LJUSDAL</t>
        </is>
      </c>
      <c r="F12480" t="inlineStr">
        <is>
          <t>SCA</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44682-2024</t>
        </is>
      </c>
      <c r="B12481" s="1" t="n">
        <v>45574</v>
      </c>
      <c r="C12481" s="1" t="n">
        <v>45677</v>
      </c>
      <c r="D12481" t="inlineStr">
        <is>
          <t>GÄVLEBORGS LÄN</t>
        </is>
      </c>
      <c r="E12481" t="inlineStr">
        <is>
          <t>BOLLNÄS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44687-2024</t>
        </is>
      </c>
      <c r="B12482" s="1" t="n">
        <v>45574</v>
      </c>
      <c r="C12482" s="1" t="n">
        <v>45677</v>
      </c>
      <c r="D12482" t="inlineStr">
        <is>
          <t>GÄVLEBORGS LÄN</t>
        </is>
      </c>
      <c r="E12482" t="inlineStr">
        <is>
          <t>HUDIKSVALL</t>
        </is>
      </c>
      <c r="G12482" t="n">
        <v>17.3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44695-2024</t>
        </is>
      </c>
      <c r="B12483" s="1" t="n">
        <v>45574</v>
      </c>
      <c r="C12483" s="1" t="n">
        <v>45677</v>
      </c>
      <c r="D12483" t="inlineStr">
        <is>
          <t>GÄVLEBORGS LÄN</t>
        </is>
      </c>
      <c r="E12483" t="inlineStr">
        <is>
          <t>LJUSDAL</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44703-2024</t>
        </is>
      </c>
      <c r="B12484" s="1" t="n">
        <v>45574</v>
      </c>
      <c r="C12484" s="1" t="n">
        <v>45677</v>
      </c>
      <c r="D12484" t="inlineStr">
        <is>
          <t>GÄVLEBORGS LÄN</t>
        </is>
      </c>
      <c r="E12484" t="inlineStr">
        <is>
          <t>SÖDERHAMN</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44800-2024</t>
        </is>
      </c>
      <c r="B12485" s="1" t="n">
        <v>45574</v>
      </c>
      <c r="C12485" s="1" t="n">
        <v>45677</v>
      </c>
      <c r="D12485" t="inlineStr">
        <is>
          <t>GÄVLEBORGS LÄN</t>
        </is>
      </c>
      <c r="E12485" t="inlineStr">
        <is>
          <t>GÄVLE</t>
        </is>
      </c>
      <c r="F12485" t="inlineStr">
        <is>
          <t>Bergvik skog öst AB</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44813-2024</t>
        </is>
      </c>
      <c r="B12486" s="1" t="n">
        <v>45574</v>
      </c>
      <c r="C12486" s="1" t="n">
        <v>45677</v>
      </c>
      <c r="D12486" t="inlineStr">
        <is>
          <t>GÄVLEBORGS LÄN</t>
        </is>
      </c>
      <c r="E12486" t="inlineStr">
        <is>
          <t>HUDIKSVALL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44826-2024</t>
        </is>
      </c>
      <c r="B12487" s="1" t="n">
        <v>45574</v>
      </c>
      <c r="C12487" s="1" t="n">
        <v>45677</v>
      </c>
      <c r="D12487" t="inlineStr">
        <is>
          <t>GÄVLEBORGS LÄN</t>
        </is>
      </c>
      <c r="E12487" t="inlineStr">
        <is>
          <t>NORDANSTIG</t>
        </is>
      </c>
      <c r="F12487" t="inlineStr">
        <is>
          <t>Holmen skog AB</t>
        </is>
      </c>
      <c r="G12487" t="n">
        <v>15.3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45103-2024</t>
        </is>
      </c>
      <c r="B12488" s="1" t="n">
        <v>45575</v>
      </c>
      <c r="C12488" s="1" t="n">
        <v>45677</v>
      </c>
      <c r="D12488" t="inlineStr">
        <is>
          <t>GÄVLEBORGS LÄN</t>
        </is>
      </c>
      <c r="E12488" t="inlineStr">
        <is>
          <t>OCKELBO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45115-2024</t>
        </is>
      </c>
      <c r="B12489" s="1" t="n">
        <v>45575</v>
      </c>
      <c r="C12489" s="1" t="n">
        <v>45677</v>
      </c>
      <c r="D12489" t="inlineStr">
        <is>
          <t>GÄVLEBORGS LÄN</t>
        </is>
      </c>
      <c r="E12489" t="inlineStr">
        <is>
          <t>BOLLNÄS</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45131-2024</t>
        </is>
      </c>
      <c r="B12490" s="1" t="n">
        <v>45575</v>
      </c>
      <c r="C12490" s="1" t="n">
        <v>45677</v>
      </c>
      <c r="D12490" t="inlineStr">
        <is>
          <t>GÄVLEBORGS LÄN</t>
        </is>
      </c>
      <c r="E12490" t="inlineStr">
        <is>
          <t>SANDVIKEN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44859-2024</t>
        </is>
      </c>
      <c r="B12491" s="1" t="n">
        <v>45575</v>
      </c>
      <c r="C12491" s="1" t="n">
        <v>45677</v>
      </c>
      <c r="D12491" t="inlineStr">
        <is>
          <t>GÄVLEBORGS LÄN</t>
        </is>
      </c>
      <c r="E12491" t="inlineStr">
        <is>
          <t>OVANÅKER</t>
        </is>
      </c>
      <c r="G12491" t="n">
        <v>0.2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45181-2024</t>
        </is>
      </c>
      <c r="B12492" s="1" t="n">
        <v>45575</v>
      </c>
      <c r="C12492" s="1" t="n">
        <v>45677</v>
      </c>
      <c r="D12492" t="inlineStr">
        <is>
          <t>GÄVLEBORGS LÄN</t>
        </is>
      </c>
      <c r="E12492" t="inlineStr">
        <is>
          <t>HUDIKSVALL</t>
        </is>
      </c>
      <c r="F12492" t="inlineStr">
        <is>
          <t>Holmen skog AB</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45189-2024</t>
        </is>
      </c>
      <c r="B12493" s="1" t="n">
        <v>45575</v>
      </c>
      <c r="C12493" s="1" t="n">
        <v>45677</v>
      </c>
      <c r="D12493" t="inlineStr">
        <is>
          <t>GÄVLEBORGS LÄN</t>
        </is>
      </c>
      <c r="E12493" t="inlineStr">
        <is>
          <t>OCKELBO</t>
        </is>
      </c>
      <c r="F12493" t="inlineStr">
        <is>
          <t>Bergvik skog väst AB</t>
        </is>
      </c>
      <c r="G12493" t="n">
        <v>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45179-2024</t>
        </is>
      </c>
      <c r="B12494" s="1" t="n">
        <v>45575</v>
      </c>
      <c r="C12494" s="1" t="n">
        <v>45677</v>
      </c>
      <c r="D12494" t="inlineStr">
        <is>
          <t>GÄVLEBORGS LÄN</t>
        </is>
      </c>
      <c r="E12494" t="inlineStr">
        <is>
          <t>HUDIKSVALL</t>
        </is>
      </c>
      <c r="F12494" t="inlineStr">
        <is>
          <t>Holmen skog AB</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45183-2024</t>
        </is>
      </c>
      <c r="B12495" s="1" t="n">
        <v>45575</v>
      </c>
      <c r="C12495" s="1" t="n">
        <v>45677</v>
      </c>
      <c r="D12495" t="inlineStr">
        <is>
          <t>GÄVLEBORGS LÄN</t>
        </is>
      </c>
      <c r="E12495" t="inlineStr">
        <is>
          <t>OCKELBO</t>
        </is>
      </c>
      <c r="F12495" t="inlineStr">
        <is>
          <t>Bergvik skog väst AB</t>
        </is>
      </c>
      <c r="G12495" t="n">
        <v>12.2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45029-2024</t>
        </is>
      </c>
      <c r="B12496" s="1" t="n">
        <v>45575</v>
      </c>
      <c r="C12496" s="1" t="n">
        <v>45677</v>
      </c>
      <c r="D12496" t="inlineStr">
        <is>
          <t>GÄVLEBORGS LÄN</t>
        </is>
      </c>
      <c r="E12496" t="inlineStr">
        <is>
          <t>GÄVLE</t>
        </is>
      </c>
      <c r="F12496" t="inlineStr">
        <is>
          <t>Bergvik skog väst AB</t>
        </is>
      </c>
      <c r="G12496" t="n">
        <v>7.2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45017-2024</t>
        </is>
      </c>
      <c r="B12497" s="1" t="n">
        <v>45575</v>
      </c>
      <c r="C12497" s="1" t="n">
        <v>45677</v>
      </c>
      <c r="D12497" t="inlineStr">
        <is>
          <t>GÄVLEBORGS LÄN</t>
        </is>
      </c>
      <c r="E12497" t="inlineStr">
        <is>
          <t>BOLLNÄS</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44948-2024</t>
        </is>
      </c>
      <c r="B12498" s="1" t="n">
        <v>45575</v>
      </c>
      <c r="C12498" s="1" t="n">
        <v>45677</v>
      </c>
      <c r="D12498" t="inlineStr">
        <is>
          <t>GÄVLEBORGS LÄN</t>
        </is>
      </c>
      <c r="E12498" t="inlineStr">
        <is>
          <t>BOLLNÄS</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44914-2024</t>
        </is>
      </c>
      <c r="B12499" s="1" t="n">
        <v>45575</v>
      </c>
      <c r="C12499" s="1" t="n">
        <v>45677</v>
      </c>
      <c r="D12499" t="inlineStr">
        <is>
          <t>GÄVLEBORGS LÄN</t>
        </is>
      </c>
      <c r="E12499" t="inlineStr">
        <is>
          <t>GÄVLE</t>
        </is>
      </c>
      <c r="F12499" t="inlineStr">
        <is>
          <t>Bergvik skog öst AB</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44910-2024</t>
        </is>
      </c>
      <c r="B12500" s="1" t="n">
        <v>45575</v>
      </c>
      <c r="C12500" s="1" t="n">
        <v>45677</v>
      </c>
      <c r="D12500" t="inlineStr">
        <is>
          <t>GÄVLEBORGS LÄN</t>
        </is>
      </c>
      <c r="E12500" t="inlineStr">
        <is>
          <t>OVANÅKER</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44856-2024</t>
        </is>
      </c>
      <c r="B12501" s="1" t="n">
        <v>45575</v>
      </c>
      <c r="C12501" s="1" t="n">
        <v>45677</v>
      </c>
      <c r="D12501" t="inlineStr">
        <is>
          <t>GÄVLEBORGS LÄN</t>
        </is>
      </c>
      <c r="E12501" t="inlineStr">
        <is>
          <t>LJUSDAL</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45241-2024</t>
        </is>
      </c>
      <c r="B12502" s="1" t="n">
        <v>45576</v>
      </c>
      <c r="C12502" s="1" t="n">
        <v>45677</v>
      </c>
      <c r="D12502" t="inlineStr">
        <is>
          <t>GÄVLEBORGS LÄN</t>
        </is>
      </c>
      <c r="E12502" t="inlineStr">
        <is>
          <t>LJUSDAL</t>
        </is>
      </c>
      <c r="F12502" t="inlineStr">
        <is>
          <t>Sveaskog</t>
        </is>
      </c>
      <c r="G12502" t="n">
        <v>14.4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44863-2024</t>
        </is>
      </c>
      <c r="B12503" s="1" t="n">
        <v>45575</v>
      </c>
      <c r="C12503" s="1" t="n">
        <v>45677</v>
      </c>
      <c r="D12503" t="inlineStr">
        <is>
          <t>GÄVLEBORGS LÄN</t>
        </is>
      </c>
      <c r="E12503" t="inlineStr">
        <is>
          <t>OVANÅKER</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44905-2024</t>
        </is>
      </c>
      <c r="B12504" s="1" t="n">
        <v>45575</v>
      </c>
      <c r="C12504" s="1" t="n">
        <v>45677</v>
      </c>
      <c r="D12504" t="inlineStr">
        <is>
          <t>GÄVLEBORGS LÄN</t>
        </is>
      </c>
      <c r="E12504" t="inlineStr">
        <is>
          <t>OVANÅKER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44913-2024</t>
        </is>
      </c>
      <c r="B12505" s="1" t="n">
        <v>45575</v>
      </c>
      <c r="C12505" s="1" t="n">
        <v>45677</v>
      </c>
      <c r="D12505" t="inlineStr">
        <is>
          <t>GÄVLEBORGS LÄN</t>
        </is>
      </c>
      <c r="E12505" t="inlineStr">
        <is>
          <t>GÄVLE</t>
        </is>
      </c>
      <c r="F12505" t="inlineStr">
        <is>
          <t>Bergvik skog öst AB</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45318-2024</t>
        </is>
      </c>
      <c r="B12506" s="1" t="n">
        <v>45576</v>
      </c>
      <c r="C12506" s="1" t="n">
        <v>45677</v>
      </c>
      <c r="D12506" t="inlineStr">
        <is>
          <t>GÄVLEBORGS LÄN</t>
        </is>
      </c>
      <c r="E12506" t="inlineStr">
        <is>
          <t>SANDVIKEN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45446-2024</t>
        </is>
      </c>
      <c r="B12507" s="1" t="n">
        <v>45576</v>
      </c>
      <c r="C12507" s="1" t="n">
        <v>45677</v>
      </c>
      <c r="D12507" t="inlineStr">
        <is>
          <t>GÄVLEBORGS LÄN</t>
        </is>
      </c>
      <c r="E12507" t="inlineStr">
        <is>
          <t>LJUSDAL</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45432-2024</t>
        </is>
      </c>
      <c r="B12508" s="1" t="n">
        <v>45576</v>
      </c>
      <c r="C12508" s="1" t="n">
        <v>45677</v>
      </c>
      <c r="D12508" t="inlineStr">
        <is>
          <t>GÄVLEBORGS LÄN</t>
        </is>
      </c>
      <c r="E12508" t="inlineStr">
        <is>
          <t>NORDANSTIG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45373-2024</t>
        </is>
      </c>
      <c r="B12509" s="1" t="n">
        <v>45576</v>
      </c>
      <c r="C12509" s="1" t="n">
        <v>45677</v>
      </c>
      <c r="D12509" t="inlineStr">
        <is>
          <t>GÄVLEBORGS LÄN</t>
        </is>
      </c>
      <c r="E12509" t="inlineStr">
        <is>
          <t>GÄVLE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45331-2024</t>
        </is>
      </c>
      <c r="B12510" s="1" t="n">
        <v>45576</v>
      </c>
      <c r="C12510" s="1" t="n">
        <v>45677</v>
      </c>
      <c r="D12510" t="inlineStr">
        <is>
          <t>GÄVLEBORGS LÄN</t>
        </is>
      </c>
      <c r="E12510" t="inlineStr">
        <is>
          <t>SANDVIKEN</t>
        </is>
      </c>
      <c r="F12510" t="inlineStr">
        <is>
          <t>Bergvik skog öst AB</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45433-2024</t>
        </is>
      </c>
      <c r="B12511" s="1" t="n">
        <v>45576</v>
      </c>
      <c r="C12511" s="1" t="n">
        <v>45677</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45380-2024</t>
        </is>
      </c>
      <c r="B12512" s="1" t="n">
        <v>45576</v>
      </c>
      <c r="C12512" s="1" t="n">
        <v>45677</v>
      </c>
      <c r="D12512" t="inlineStr">
        <is>
          <t>GÄVLEBORGS LÄN</t>
        </is>
      </c>
      <c r="E12512" t="inlineStr">
        <is>
          <t>HUDIKSVALL</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45509-2024</t>
        </is>
      </c>
      <c r="B12513" s="1" t="n">
        <v>45578</v>
      </c>
      <c r="C12513" s="1" t="n">
        <v>45677</v>
      </c>
      <c r="D12513" t="inlineStr">
        <is>
          <t>GÄVLEBORGS LÄN</t>
        </is>
      </c>
      <c r="E12513" t="inlineStr">
        <is>
          <t>LJUSDAL</t>
        </is>
      </c>
      <c r="F12513" t="inlineStr">
        <is>
          <t>Naturvårdsverket</t>
        </is>
      </c>
      <c r="G12513" t="n">
        <v>11.9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45549-2024</t>
        </is>
      </c>
      <c r="B12514" s="1" t="n">
        <v>45579</v>
      </c>
      <c r="C12514" s="1" t="n">
        <v>45677</v>
      </c>
      <c r="D12514" t="inlineStr">
        <is>
          <t>GÄVLEBORGS LÄN</t>
        </is>
      </c>
      <c r="E12514" t="inlineStr">
        <is>
          <t>NORDANSTIG</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45563-2024</t>
        </is>
      </c>
      <c r="B12515" s="1" t="n">
        <v>45579</v>
      </c>
      <c r="C12515" s="1" t="n">
        <v>45677</v>
      </c>
      <c r="D12515" t="inlineStr">
        <is>
          <t>GÄVLEBORGS LÄN</t>
        </is>
      </c>
      <c r="E12515" t="inlineStr">
        <is>
          <t>HUDIKSVALL</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45768-2024</t>
        </is>
      </c>
      <c r="B12516" s="1" t="n">
        <v>45579</v>
      </c>
      <c r="C12516" s="1" t="n">
        <v>45677</v>
      </c>
      <c r="D12516" t="inlineStr">
        <is>
          <t>GÄVLEBORGS LÄN</t>
        </is>
      </c>
      <c r="E12516" t="inlineStr">
        <is>
          <t>LJUSDAL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45694-2024</t>
        </is>
      </c>
      <c r="B12517" s="1" t="n">
        <v>45579</v>
      </c>
      <c r="C12517" s="1" t="n">
        <v>45677</v>
      </c>
      <c r="D12517" t="inlineStr">
        <is>
          <t>GÄVLEBORGS LÄN</t>
        </is>
      </c>
      <c r="E12517" t="inlineStr">
        <is>
          <t>LJUSDAL</t>
        </is>
      </c>
      <c r="G12517" t="n">
        <v>14.1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45645-2024</t>
        </is>
      </c>
      <c r="B12518" s="1" t="n">
        <v>45579</v>
      </c>
      <c r="C12518" s="1" t="n">
        <v>45677</v>
      </c>
      <c r="D12518" t="inlineStr">
        <is>
          <t>GÄVLEBORGS LÄN</t>
        </is>
      </c>
      <c r="E12518" t="inlineStr">
        <is>
          <t>HOFORS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45598-2024</t>
        </is>
      </c>
      <c r="B12519" s="1" t="n">
        <v>45579</v>
      </c>
      <c r="C12519" s="1" t="n">
        <v>45677</v>
      </c>
      <c r="D12519" t="inlineStr">
        <is>
          <t>GÄVLEBORGS LÄN</t>
        </is>
      </c>
      <c r="E12519" t="inlineStr">
        <is>
          <t>BOLLNÄS</t>
        </is>
      </c>
      <c r="F12519" t="inlineStr">
        <is>
          <t>Kommuner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45775-2024</t>
        </is>
      </c>
      <c r="B12520" s="1" t="n">
        <v>45579</v>
      </c>
      <c r="C12520" s="1" t="n">
        <v>45677</v>
      </c>
      <c r="D12520" t="inlineStr">
        <is>
          <t>GÄVLEBORGS LÄN</t>
        </is>
      </c>
      <c r="E12520" t="inlineStr">
        <is>
          <t>HUDIKSVALL</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45604-2024</t>
        </is>
      </c>
      <c r="B12521" s="1" t="n">
        <v>45579</v>
      </c>
      <c r="C12521" s="1" t="n">
        <v>45677</v>
      </c>
      <c r="D12521" t="inlineStr">
        <is>
          <t>GÄVLEBORGS LÄN</t>
        </is>
      </c>
      <c r="E12521" t="inlineStr">
        <is>
          <t>SANDVIKEN</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45555-2024</t>
        </is>
      </c>
      <c r="B12522" s="1" t="n">
        <v>45579</v>
      </c>
      <c r="C12522" s="1" t="n">
        <v>45677</v>
      </c>
      <c r="D12522" t="inlineStr">
        <is>
          <t>GÄVLEBORGS LÄN</t>
        </is>
      </c>
      <c r="E12522" t="inlineStr">
        <is>
          <t>HUDIKSVALL</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45532-2024</t>
        </is>
      </c>
      <c r="B12523" s="1" t="n">
        <v>45579</v>
      </c>
      <c r="C12523" s="1" t="n">
        <v>45677</v>
      </c>
      <c r="D12523" t="inlineStr">
        <is>
          <t>GÄVLEBORGS LÄN</t>
        </is>
      </c>
      <c r="E12523" t="inlineStr">
        <is>
          <t>OVANÅKER</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45829-2024</t>
        </is>
      </c>
      <c r="B12524" s="1" t="n">
        <v>45579</v>
      </c>
      <c r="C12524" s="1" t="n">
        <v>45677</v>
      </c>
      <c r="D12524" t="inlineStr">
        <is>
          <t>GÄVLEBORGS LÄN</t>
        </is>
      </c>
      <c r="E12524" t="inlineStr">
        <is>
          <t>BOLLNÄS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45557-2024</t>
        </is>
      </c>
      <c r="B12525" s="1" t="n">
        <v>45579</v>
      </c>
      <c r="C12525" s="1" t="n">
        <v>45677</v>
      </c>
      <c r="D12525" t="inlineStr">
        <is>
          <t>GÄVLEBORGS LÄN</t>
        </is>
      </c>
      <c r="E12525" t="inlineStr">
        <is>
          <t>BOLLNÄS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45553-2024</t>
        </is>
      </c>
      <c r="B12526" s="1" t="n">
        <v>45579</v>
      </c>
      <c r="C12526" s="1" t="n">
        <v>45677</v>
      </c>
      <c r="D12526" t="inlineStr">
        <is>
          <t>GÄVLEBORGS LÄN</t>
        </is>
      </c>
      <c r="E12526" t="inlineStr">
        <is>
          <t>NORDANSTIG</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45546-2024</t>
        </is>
      </c>
      <c r="B12527" s="1" t="n">
        <v>45579</v>
      </c>
      <c r="C12527" s="1" t="n">
        <v>45677</v>
      </c>
      <c r="D12527" t="inlineStr">
        <is>
          <t>GÄVLEBORGS LÄN</t>
        </is>
      </c>
      <c r="E12527" t="inlineStr">
        <is>
          <t>OVANÅKER</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45534-2024</t>
        </is>
      </c>
      <c r="B12528" s="1" t="n">
        <v>45579</v>
      </c>
      <c r="C12528" s="1" t="n">
        <v>45677</v>
      </c>
      <c r="D12528" t="inlineStr">
        <is>
          <t>GÄVLEBORGS LÄN</t>
        </is>
      </c>
      <c r="E12528" t="inlineStr">
        <is>
          <t>OVANÅKER</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45566-2024</t>
        </is>
      </c>
      <c r="B12529" s="1" t="n">
        <v>45579</v>
      </c>
      <c r="C12529" s="1" t="n">
        <v>45677</v>
      </c>
      <c r="D12529" t="inlineStr">
        <is>
          <t>GÄVLEBORGS LÄN</t>
        </is>
      </c>
      <c r="E12529" t="inlineStr">
        <is>
          <t>GÄVLE</t>
        </is>
      </c>
      <c r="F12529" t="inlineStr">
        <is>
          <t>Bergvik skog väst AB</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45772-2024</t>
        </is>
      </c>
      <c r="B12530" s="1" t="n">
        <v>45579</v>
      </c>
      <c r="C12530" s="1" t="n">
        <v>45677</v>
      </c>
      <c r="D12530" t="inlineStr">
        <is>
          <t>GÄVLEBORGS LÄN</t>
        </is>
      </c>
      <c r="E12530" t="inlineStr">
        <is>
          <t>HUDIKSVALL</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45763-2024</t>
        </is>
      </c>
      <c r="B12531" s="1" t="n">
        <v>45579</v>
      </c>
      <c r="C12531" s="1" t="n">
        <v>45677</v>
      </c>
      <c r="D12531" t="inlineStr">
        <is>
          <t>GÄVLEBORGS LÄN</t>
        </is>
      </c>
      <c r="E12531" t="inlineStr">
        <is>
          <t>BOLLNÄS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45554-2024</t>
        </is>
      </c>
      <c r="B12532" s="1" t="n">
        <v>45579</v>
      </c>
      <c r="C12532" s="1" t="n">
        <v>45677</v>
      </c>
      <c r="D12532" t="inlineStr">
        <is>
          <t>GÄVLEBORGS LÄN</t>
        </is>
      </c>
      <c r="E12532" t="inlineStr">
        <is>
          <t>BOLLNÄS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45782-2024</t>
        </is>
      </c>
      <c r="B12533" s="1" t="n">
        <v>45579</v>
      </c>
      <c r="C12533" s="1" t="n">
        <v>45677</v>
      </c>
      <c r="D12533" t="inlineStr">
        <is>
          <t>GÄVLEBORGS LÄN</t>
        </is>
      </c>
      <c r="E12533" t="inlineStr">
        <is>
          <t>BOLLNÄS</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45700-2024</t>
        </is>
      </c>
      <c r="B12534" s="1" t="n">
        <v>45579</v>
      </c>
      <c r="C12534" s="1" t="n">
        <v>45677</v>
      </c>
      <c r="D12534" t="inlineStr">
        <is>
          <t>GÄVLEBORGS LÄN</t>
        </is>
      </c>
      <c r="E12534" t="inlineStr">
        <is>
          <t>HUDIKSVALL</t>
        </is>
      </c>
      <c r="F12534" t="inlineStr">
        <is>
          <t>Holmen skog AB</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45696-2024</t>
        </is>
      </c>
      <c r="B12535" s="1" t="n">
        <v>45579</v>
      </c>
      <c r="C12535" s="1" t="n">
        <v>45677</v>
      </c>
      <c r="D12535" t="inlineStr">
        <is>
          <t>GÄVLEBORGS LÄN</t>
        </is>
      </c>
      <c r="E12535" t="inlineStr">
        <is>
          <t>LJUSDAL</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45688-2024</t>
        </is>
      </c>
      <c r="B12536" s="1" t="n">
        <v>45579</v>
      </c>
      <c r="C12536" s="1" t="n">
        <v>45677</v>
      </c>
      <c r="D12536" t="inlineStr">
        <is>
          <t>GÄVLEBORGS LÄN</t>
        </is>
      </c>
      <c r="E12536" t="inlineStr">
        <is>
          <t>OCKELBO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45647-2024</t>
        </is>
      </c>
      <c r="B12537" s="1" t="n">
        <v>45579</v>
      </c>
      <c r="C12537" s="1" t="n">
        <v>45677</v>
      </c>
      <c r="D12537" t="inlineStr">
        <is>
          <t>GÄVLEBORGS LÄN</t>
        </is>
      </c>
      <c r="E12537" t="inlineStr">
        <is>
          <t>OCKELBO</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45843-2024</t>
        </is>
      </c>
      <c r="B12538" s="1" t="n">
        <v>45580</v>
      </c>
      <c r="C12538" s="1" t="n">
        <v>45677</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45842-2024</t>
        </is>
      </c>
      <c r="B12539" s="1" t="n">
        <v>45580</v>
      </c>
      <c r="C12539" s="1" t="n">
        <v>45677</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45864-2024</t>
        </is>
      </c>
      <c r="B12540" s="1" t="n">
        <v>45580</v>
      </c>
      <c r="C12540" s="1" t="n">
        <v>45677</v>
      </c>
      <c r="D12540" t="inlineStr">
        <is>
          <t>GÄVLEBORGS LÄN</t>
        </is>
      </c>
      <c r="E12540" t="inlineStr">
        <is>
          <t>LJUSDAL</t>
        </is>
      </c>
      <c r="F12540" t="inlineStr">
        <is>
          <t>Naturvårdsverket</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46000-2024</t>
        </is>
      </c>
      <c r="B12541" s="1" t="n">
        <v>45580</v>
      </c>
      <c r="C12541" s="1" t="n">
        <v>45677</v>
      </c>
      <c r="D12541" t="inlineStr">
        <is>
          <t>GÄVLEBORGS LÄN</t>
        </is>
      </c>
      <c r="E12541" t="inlineStr">
        <is>
          <t>OVANÅKER</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46036-2024</t>
        </is>
      </c>
      <c r="B12542" s="1" t="n">
        <v>45580</v>
      </c>
      <c r="C12542" s="1" t="n">
        <v>45677</v>
      </c>
      <c r="D12542" t="inlineStr">
        <is>
          <t>GÄVLEBORGS LÄN</t>
        </is>
      </c>
      <c r="E12542" t="inlineStr">
        <is>
          <t>OVANÅKER</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45965-2024</t>
        </is>
      </c>
      <c r="B12543" s="1" t="n">
        <v>45580</v>
      </c>
      <c r="C12543" s="1" t="n">
        <v>45677</v>
      </c>
      <c r="D12543" t="inlineStr">
        <is>
          <t>GÄVLEBORGS LÄN</t>
        </is>
      </c>
      <c r="E12543" t="inlineStr">
        <is>
          <t>GÄVLE</t>
        </is>
      </c>
      <c r="F12543" t="inlineStr">
        <is>
          <t>Bergvik skog öst AB</t>
        </is>
      </c>
      <c r="G12543" t="n">
        <v>15.3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45998-2024</t>
        </is>
      </c>
      <c r="B12544" s="1" t="n">
        <v>45580</v>
      </c>
      <c r="C12544" s="1" t="n">
        <v>45677</v>
      </c>
      <c r="D12544" t="inlineStr">
        <is>
          <t>GÄVLEBORGS LÄN</t>
        </is>
      </c>
      <c r="E12544" t="inlineStr">
        <is>
          <t>OVANÅKER</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46006-2024</t>
        </is>
      </c>
      <c r="B12545" s="1" t="n">
        <v>45580</v>
      </c>
      <c r="C12545" s="1" t="n">
        <v>45677</v>
      </c>
      <c r="D12545" t="inlineStr">
        <is>
          <t>GÄVLEBORGS LÄN</t>
        </is>
      </c>
      <c r="E12545" t="inlineStr">
        <is>
          <t>SÖDERHAMN</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46034-2024</t>
        </is>
      </c>
      <c r="B12546" s="1" t="n">
        <v>45580</v>
      </c>
      <c r="C12546" s="1" t="n">
        <v>45677</v>
      </c>
      <c r="D12546" t="inlineStr">
        <is>
          <t>GÄVLEBORGS LÄN</t>
        </is>
      </c>
      <c r="E12546" t="inlineStr">
        <is>
          <t>OVANÅKER</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45912-2024</t>
        </is>
      </c>
      <c r="B12547" s="1" t="n">
        <v>45580</v>
      </c>
      <c r="C12547" s="1" t="n">
        <v>45677</v>
      </c>
      <c r="D12547" t="inlineStr">
        <is>
          <t>GÄVLEBORGS LÄN</t>
        </is>
      </c>
      <c r="E12547" t="inlineStr">
        <is>
          <t>LJUSDAL</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45997-2024</t>
        </is>
      </c>
      <c r="B12548" s="1" t="n">
        <v>45580</v>
      </c>
      <c r="C12548" s="1" t="n">
        <v>45677</v>
      </c>
      <c r="D12548" t="inlineStr">
        <is>
          <t>GÄVLEBORGS LÄN</t>
        </is>
      </c>
      <c r="E12548" t="inlineStr">
        <is>
          <t>OVANÅKER</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46033-2024</t>
        </is>
      </c>
      <c r="B12549" s="1" t="n">
        <v>45580</v>
      </c>
      <c r="C12549" s="1" t="n">
        <v>45677</v>
      </c>
      <c r="D12549" t="inlineStr">
        <is>
          <t>GÄVLEBORGS LÄN</t>
        </is>
      </c>
      <c r="E12549" t="inlineStr">
        <is>
          <t>BOLLNÄS</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45930-2024</t>
        </is>
      </c>
      <c r="B12550" s="1" t="n">
        <v>45580</v>
      </c>
      <c r="C12550" s="1" t="n">
        <v>45677</v>
      </c>
      <c r="D12550" t="inlineStr">
        <is>
          <t>GÄVLEBORGS LÄN</t>
        </is>
      </c>
      <c r="E12550" t="inlineStr">
        <is>
          <t>LJUSDAL</t>
        </is>
      </c>
      <c r="G12550" t="n">
        <v>9.300000000000001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45938-2024</t>
        </is>
      </c>
      <c r="B12551" s="1" t="n">
        <v>45580</v>
      </c>
      <c r="C12551" s="1" t="n">
        <v>45677</v>
      </c>
      <c r="D12551" t="inlineStr">
        <is>
          <t>GÄVLEBORGS LÄN</t>
        </is>
      </c>
      <c r="E12551" t="inlineStr">
        <is>
          <t>GÄVLE</t>
        </is>
      </c>
      <c r="F12551" t="inlineStr">
        <is>
          <t>Bergvik skog öst AB</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45954-2024</t>
        </is>
      </c>
      <c r="B12552" s="1" t="n">
        <v>45580</v>
      </c>
      <c r="C12552" s="1" t="n">
        <v>45677</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45958-2024</t>
        </is>
      </c>
      <c r="B12553" s="1" t="n">
        <v>45580</v>
      </c>
      <c r="C12553" s="1" t="n">
        <v>45677</v>
      </c>
      <c r="D12553" t="inlineStr">
        <is>
          <t>GÄVLEBORGS LÄN</t>
        </is>
      </c>
      <c r="E12553" t="inlineStr">
        <is>
          <t>BOLLNÄS</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46007-2024</t>
        </is>
      </c>
      <c r="B12554" s="1" t="n">
        <v>45580</v>
      </c>
      <c r="C12554" s="1" t="n">
        <v>45677</v>
      </c>
      <c r="D12554" t="inlineStr">
        <is>
          <t>GÄVLEBORGS LÄN</t>
        </is>
      </c>
      <c r="E12554" t="inlineStr">
        <is>
          <t>SÖDERHAMN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46217-2024</t>
        </is>
      </c>
      <c r="B12555" s="1" t="n">
        <v>45581</v>
      </c>
      <c r="C12555" s="1" t="n">
        <v>45677</v>
      </c>
      <c r="D12555" t="inlineStr">
        <is>
          <t>GÄVLEBORGS LÄN</t>
        </is>
      </c>
      <c r="E12555" t="inlineStr">
        <is>
          <t>GÄVLE</t>
        </is>
      </c>
      <c r="F12555" t="inlineStr">
        <is>
          <t>Bergvik skog väst AB</t>
        </is>
      </c>
      <c r="G12555" t="n">
        <v>15.2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46207-2024</t>
        </is>
      </c>
      <c r="B12556" s="1" t="n">
        <v>45581</v>
      </c>
      <c r="C12556" s="1" t="n">
        <v>45677</v>
      </c>
      <c r="D12556" t="inlineStr">
        <is>
          <t>GÄVLEBORGS LÄN</t>
        </is>
      </c>
      <c r="E12556" t="inlineStr">
        <is>
          <t>HUDIKSVALL</t>
        </is>
      </c>
      <c r="F12556" t="inlineStr">
        <is>
          <t>Holmen skog AB</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46151-2024</t>
        </is>
      </c>
      <c r="B12557" s="1" t="n">
        <v>45581</v>
      </c>
      <c r="C12557" s="1" t="n">
        <v>45677</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46135-2024</t>
        </is>
      </c>
      <c r="B12558" s="1" t="n">
        <v>45581</v>
      </c>
      <c r="C12558" s="1" t="n">
        <v>45677</v>
      </c>
      <c r="D12558" t="inlineStr">
        <is>
          <t>GÄVLEBORGS LÄN</t>
        </is>
      </c>
      <c r="E12558" t="inlineStr">
        <is>
          <t>BOLLNÄS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46115-2024</t>
        </is>
      </c>
      <c r="B12559" s="1" t="n">
        <v>45581</v>
      </c>
      <c r="C12559" s="1" t="n">
        <v>45677</v>
      </c>
      <c r="D12559" t="inlineStr">
        <is>
          <t>GÄVLEBORGS LÄN</t>
        </is>
      </c>
      <c r="E12559" t="inlineStr">
        <is>
          <t>GÄVLE</t>
        </is>
      </c>
      <c r="F12559" t="inlineStr">
        <is>
          <t>Kyrkan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46099-2024</t>
        </is>
      </c>
      <c r="B12560" s="1" t="n">
        <v>45581</v>
      </c>
      <c r="C12560" s="1" t="n">
        <v>45677</v>
      </c>
      <c r="D12560" t="inlineStr">
        <is>
          <t>GÄVLEBORGS LÄN</t>
        </is>
      </c>
      <c r="E12560" t="inlineStr">
        <is>
          <t>OCKELBO</t>
        </is>
      </c>
      <c r="F12560" t="inlineStr">
        <is>
          <t>Bergvik skog väst AB</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46075-2024</t>
        </is>
      </c>
      <c r="B12561" s="1" t="n">
        <v>45581</v>
      </c>
      <c r="C12561" s="1" t="n">
        <v>45677</v>
      </c>
      <c r="D12561" t="inlineStr">
        <is>
          <t>GÄVLEBORGS LÄN</t>
        </is>
      </c>
      <c r="E12561" t="inlineStr">
        <is>
          <t>LJUSDAL</t>
        </is>
      </c>
      <c r="F12561" t="inlineStr">
        <is>
          <t>Bergvik skog väst AB</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46100-2024</t>
        </is>
      </c>
      <c r="B12562" s="1" t="n">
        <v>45581</v>
      </c>
      <c r="C12562" s="1" t="n">
        <v>45677</v>
      </c>
      <c r="D12562" t="inlineStr">
        <is>
          <t>GÄVLEBORGS LÄN</t>
        </is>
      </c>
      <c r="E12562" t="inlineStr">
        <is>
          <t>OCKELBO</t>
        </is>
      </c>
      <c r="F12562" t="inlineStr">
        <is>
          <t>Bergvik skog väst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46080-2024</t>
        </is>
      </c>
      <c r="B12563" s="1" t="n">
        <v>45581</v>
      </c>
      <c r="C12563" s="1" t="n">
        <v>45677</v>
      </c>
      <c r="D12563" t="inlineStr">
        <is>
          <t>GÄVLEBORGS LÄN</t>
        </is>
      </c>
      <c r="E12563" t="inlineStr">
        <is>
          <t>LJUSDAL</t>
        </is>
      </c>
      <c r="F12563" t="inlineStr">
        <is>
          <t>Bergvik skog väst AB</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46206-2024</t>
        </is>
      </c>
      <c r="B12564" s="1" t="n">
        <v>45581</v>
      </c>
      <c r="C12564" s="1" t="n">
        <v>45677</v>
      </c>
      <c r="D12564" t="inlineStr">
        <is>
          <t>GÄVLEBORGS LÄN</t>
        </is>
      </c>
      <c r="E12564" t="inlineStr">
        <is>
          <t>LJUSDAL</t>
        </is>
      </c>
      <c r="F12564" t="inlineStr">
        <is>
          <t>Sveaskog</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46078-2024</t>
        </is>
      </c>
      <c r="B12565" s="1" t="n">
        <v>45581</v>
      </c>
      <c r="C12565" s="1" t="n">
        <v>45677</v>
      </c>
      <c r="D12565" t="inlineStr">
        <is>
          <t>GÄVLEBORGS LÄN</t>
        </is>
      </c>
      <c r="E12565" t="inlineStr">
        <is>
          <t>LJUSDAL</t>
        </is>
      </c>
      <c r="F12565" t="inlineStr">
        <is>
          <t>Bergvik skog väst AB</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46074-2024</t>
        </is>
      </c>
      <c r="B12566" s="1" t="n">
        <v>45581</v>
      </c>
      <c r="C12566" s="1" t="n">
        <v>45677</v>
      </c>
      <c r="D12566" t="inlineStr">
        <is>
          <t>GÄVLEBORGS LÄN</t>
        </is>
      </c>
      <c r="E12566" t="inlineStr">
        <is>
          <t>OCKELBO</t>
        </is>
      </c>
      <c r="F12566" t="inlineStr">
        <is>
          <t>Bergvik skog väst AB</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46271-2024</t>
        </is>
      </c>
      <c r="B12567" s="1" t="n">
        <v>45581</v>
      </c>
      <c r="C12567" s="1" t="n">
        <v>45677</v>
      </c>
      <c r="D12567" t="inlineStr">
        <is>
          <t>GÄVLEBORGS LÄN</t>
        </is>
      </c>
      <c r="E12567" t="inlineStr">
        <is>
          <t>BOLLNÄS</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46299-2024</t>
        </is>
      </c>
      <c r="B12568" s="1" t="n">
        <v>45581</v>
      </c>
      <c r="C12568" s="1" t="n">
        <v>45677</v>
      </c>
      <c r="D12568" t="inlineStr">
        <is>
          <t>GÄVLEBORGS LÄN</t>
        </is>
      </c>
      <c r="E12568" t="inlineStr">
        <is>
          <t>HUDIKSVALL</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46516-2024</t>
        </is>
      </c>
      <c r="B12569" s="1" t="n">
        <v>45582</v>
      </c>
      <c r="C12569" s="1" t="n">
        <v>45677</v>
      </c>
      <c r="D12569" t="inlineStr">
        <is>
          <t>GÄVLEBORGS LÄN</t>
        </is>
      </c>
      <c r="E12569" t="inlineStr">
        <is>
          <t>LJUSDAL</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46438-2024</t>
        </is>
      </c>
      <c r="B12570" s="1" t="n">
        <v>45582</v>
      </c>
      <c r="C12570" s="1" t="n">
        <v>45677</v>
      </c>
      <c r="D12570" t="inlineStr">
        <is>
          <t>GÄVLEBORGS LÄN</t>
        </is>
      </c>
      <c r="E12570" t="inlineStr">
        <is>
          <t>HUDIKSVALL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46502-2024</t>
        </is>
      </c>
      <c r="B12571" s="1" t="n">
        <v>45582</v>
      </c>
      <c r="C12571" s="1" t="n">
        <v>45677</v>
      </c>
      <c r="D12571" t="inlineStr">
        <is>
          <t>GÄVLEBORGS LÄN</t>
        </is>
      </c>
      <c r="E12571" t="inlineStr">
        <is>
          <t>LJUSDAL</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46401-2024</t>
        </is>
      </c>
      <c r="B12572" s="1" t="n">
        <v>45582</v>
      </c>
      <c r="C12572" s="1" t="n">
        <v>45677</v>
      </c>
      <c r="D12572" t="inlineStr">
        <is>
          <t>GÄVLEBORGS LÄN</t>
        </is>
      </c>
      <c r="E12572" t="inlineStr">
        <is>
          <t>HUDIKSVALL</t>
        </is>
      </c>
      <c r="G12572" t="n">
        <v>12.2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46397-2024</t>
        </is>
      </c>
      <c r="B12573" s="1" t="n">
        <v>45582</v>
      </c>
      <c r="C12573" s="1" t="n">
        <v>45677</v>
      </c>
      <c r="D12573" t="inlineStr">
        <is>
          <t>GÄVLEBORGS LÄN</t>
        </is>
      </c>
      <c r="E12573" t="inlineStr">
        <is>
          <t>OVANÅKER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46361-2024</t>
        </is>
      </c>
      <c r="B12574" s="1" t="n">
        <v>45582</v>
      </c>
      <c r="C12574" s="1" t="n">
        <v>45677</v>
      </c>
      <c r="D12574" t="inlineStr">
        <is>
          <t>GÄVLEBORGS LÄN</t>
        </is>
      </c>
      <c r="E12574" t="inlineStr">
        <is>
          <t>BOLLNÄS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46341-2024</t>
        </is>
      </c>
      <c r="B12575" s="1" t="n">
        <v>45582</v>
      </c>
      <c r="C12575" s="1" t="n">
        <v>45677</v>
      </c>
      <c r="D12575" t="inlineStr">
        <is>
          <t>GÄVLEBORGS LÄN</t>
        </is>
      </c>
      <c r="E12575" t="inlineStr">
        <is>
          <t>HUDIKSVALL</t>
        </is>
      </c>
      <c r="F12575" t="inlineStr">
        <is>
          <t>Holmen skog AB</t>
        </is>
      </c>
      <c r="G12575" t="n">
        <v>11.8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46459-2024</t>
        </is>
      </c>
      <c r="B12576" s="1" t="n">
        <v>45582</v>
      </c>
      <c r="C12576" s="1" t="n">
        <v>45677</v>
      </c>
      <c r="D12576" t="inlineStr">
        <is>
          <t>GÄVLEBORGS LÄN</t>
        </is>
      </c>
      <c r="E12576" t="inlineStr">
        <is>
          <t>NORDANSTIG</t>
        </is>
      </c>
      <c r="F12576" t="inlineStr">
        <is>
          <t>Holmen skog AB</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46590-2024</t>
        </is>
      </c>
      <c r="B12577" s="1" t="n">
        <v>45582</v>
      </c>
      <c r="C12577" s="1" t="n">
        <v>45677</v>
      </c>
      <c r="D12577" t="inlineStr">
        <is>
          <t>GÄVLEBORGS LÄN</t>
        </is>
      </c>
      <c r="E12577" t="inlineStr">
        <is>
          <t>HUDIKSVALL</t>
        </is>
      </c>
      <c r="F12577" t="inlineStr">
        <is>
          <t>Holmen skog AB</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46598-2024</t>
        </is>
      </c>
      <c r="B12578" s="1" t="n">
        <v>45582</v>
      </c>
      <c r="C12578" s="1" t="n">
        <v>45677</v>
      </c>
      <c r="D12578" t="inlineStr">
        <is>
          <t>GÄVLEBORGS LÄN</t>
        </is>
      </c>
      <c r="E12578" t="inlineStr">
        <is>
          <t>HUDIKSVALL</t>
        </is>
      </c>
      <c r="F12578" t="inlineStr">
        <is>
          <t>Holmen skog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46407-2024</t>
        </is>
      </c>
      <c r="B12579" s="1" t="n">
        <v>45582</v>
      </c>
      <c r="C12579" s="1" t="n">
        <v>45677</v>
      </c>
      <c r="D12579" t="inlineStr">
        <is>
          <t>GÄVLEBORGS LÄN</t>
        </is>
      </c>
      <c r="E12579" t="inlineStr">
        <is>
          <t>LJUSDAL</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46383-2024</t>
        </is>
      </c>
      <c r="B12580" s="1" t="n">
        <v>45582</v>
      </c>
      <c r="C12580" s="1" t="n">
        <v>45677</v>
      </c>
      <c r="D12580" t="inlineStr">
        <is>
          <t>GÄVLEBORGS LÄN</t>
        </is>
      </c>
      <c r="E12580" t="inlineStr">
        <is>
          <t>BOLLNÄS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46449-2024</t>
        </is>
      </c>
      <c r="B12581" s="1" t="n">
        <v>45582</v>
      </c>
      <c r="C12581" s="1" t="n">
        <v>45677</v>
      </c>
      <c r="D12581" t="inlineStr">
        <is>
          <t>GÄVLEBORGS LÄN</t>
        </is>
      </c>
      <c r="E12581" t="inlineStr">
        <is>
          <t>GÄVLE</t>
        </is>
      </c>
      <c r="F12581" t="inlineStr">
        <is>
          <t>Bergvik skog väst AB</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46481-2024</t>
        </is>
      </c>
      <c r="B12582" s="1" t="n">
        <v>45582</v>
      </c>
      <c r="C12582" s="1" t="n">
        <v>45677</v>
      </c>
      <c r="D12582" t="inlineStr">
        <is>
          <t>GÄVLEBORGS LÄN</t>
        </is>
      </c>
      <c r="E12582" t="inlineStr">
        <is>
          <t>OCKELBO</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46485-2024</t>
        </is>
      </c>
      <c r="B12583" s="1" t="n">
        <v>45582</v>
      </c>
      <c r="C12583" s="1" t="n">
        <v>45677</v>
      </c>
      <c r="D12583" t="inlineStr">
        <is>
          <t>GÄVLEBORGS LÄN</t>
        </is>
      </c>
      <c r="E12583" t="inlineStr">
        <is>
          <t>OCKELBO</t>
        </is>
      </c>
      <c r="F12583" t="inlineStr">
        <is>
          <t>Bergvik skog väst AB</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46537-2024</t>
        </is>
      </c>
      <c r="B12584" s="1" t="n">
        <v>45582</v>
      </c>
      <c r="C12584" s="1" t="n">
        <v>45677</v>
      </c>
      <c r="D12584" t="inlineStr">
        <is>
          <t>GÄVLEBORGS LÄN</t>
        </is>
      </c>
      <c r="E12584" t="inlineStr">
        <is>
          <t>LJUSDAL</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46400-2024</t>
        </is>
      </c>
      <c r="B12585" s="1" t="n">
        <v>45582</v>
      </c>
      <c r="C12585" s="1" t="n">
        <v>45677</v>
      </c>
      <c r="D12585" t="inlineStr">
        <is>
          <t>GÄVLEBORGS LÄN</t>
        </is>
      </c>
      <c r="E12585" t="inlineStr">
        <is>
          <t>GÄVLE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46376-2024</t>
        </is>
      </c>
      <c r="B12586" s="1" t="n">
        <v>45582</v>
      </c>
      <c r="C12586" s="1" t="n">
        <v>45677</v>
      </c>
      <c r="D12586" t="inlineStr">
        <is>
          <t>GÄVLEBORGS LÄN</t>
        </is>
      </c>
      <c r="E12586" t="inlineStr">
        <is>
          <t>NORDANSTIG</t>
        </is>
      </c>
      <c r="F12586" t="inlineStr">
        <is>
          <t>Holmen skog AB</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46372-2024</t>
        </is>
      </c>
      <c r="B12587" s="1" t="n">
        <v>45582</v>
      </c>
      <c r="C12587" s="1" t="n">
        <v>45677</v>
      </c>
      <c r="D12587" t="inlineStr">
        <is>
          <t>GÄVLEBORGS LÄN</t>
        </is>
      </c>
      <c r="E12587" t="inlineStr">
        <is>
          <t>HUDIKSVALL</t>
        </is>
      </c>
      <c r="F12587" t="inlineStr">
        <is>
          <t>Holmen skog AB</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46573-2024</t>
        </is>
      </c>
      <c r="B12588" s="1" t="n">
        <v>45582</v>
      </c>
      <c r="C12588" s="1" t="n">
        <v>45677</v>
      </c>
      <c r="D12588" t="inlineStr">
        <is>
          <t>GÄVLEBORGS LÄN</t>
        </is>
      </c>
      <c r="E12588" t="inlineStr">
        <is>
          <t>SANDVIKEN</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46593-2024</t>
        </is>
      </c>
      <c r="B12589" s="1" t="n">
        <v>45582</v>
      </c>
      <c r="C12589" s="1" t="n">
        <v>45677</v>
      </c>
      <c r="D12589" t="inlineStr">
        <is>
          <t>GÄVLEBORGS LÄN</t>
        </is>
      </c>
      <c r="E12589" t="inlineStr">
        <is>
          <t>HUDIKSVALL</t>
        </is>
      </c>
      <c r="F12589" t="inlineStr">
        <is>
          <t>Holmen skog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46605-2024</t>
        </is>
      </c>
      <c r="B12590" s="1" t="n">
        <v>45582</v>
      </c>
      <c r="C12590" s="1" t="n">
        <v>45677</v>
      </c>
      <c r="D12590" t="inlineStr">
        <is>
          <t>GÄVLEBORGS LÄN</t>
        </is>
      </c>
      <c r="E12590" t="inlineStr">
        <is>
          <t>OVANÅKER</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46667-2024</t>
        </is>
      </c>
      <c r="B12591" s="1" t="n">
        <v>45583</v>
      </c>
      <c r="C12591" s="1" t="n">
        <v>45677</v>
      </c>
      <c r="D12591" t="inlineStr">
        <is>
          <t>GÄVLEBORGS LÄN</t>
        </is>
      </c>
      <c r="E12591" t="inlineStr">
        <is>
          <t>HUDIKSVALL</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46724-2024</t>
        </is>
      </c>
      <c r="B12592" s="1" t="n">
        <v>45583</v>
      </c>
      <c r="C12592" s="1" t="n">
        <v>45677</v>
      </c>
      <c r="D12592" t="inlineStr">
        <is>
          <t>GÄVLEBORGS LÄN</t>
        </is>
      </c>
      <c r="E12592" t="inlineStr">
        <is>
          <t>BOLLNÄS</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46800-2024</t>
        </is>
      </c>
      <c r="B12593" s="1" t="n">
        <v>45583</v>
      </c>
      <c r="C12593" s="1" t="n">
        <v>45677</v>
      </c>
      <c r="D12593" t="inlineStr">
        <is>
          <t>GÄVLEBORGS LÄN</t>
        </is>
      </c>
      <c r="E12593" t="inlineStr">
        <is>
          <t>BOLLNÄS</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46664-2024</t>
        </is>
      </c>
      <c r="B12594" s="1" t="n">
        <v>45583</v>
      </c>
      <c r="C12594" s="1" t="n">
        <v>45677</v>
      </c>
      <c r="D12594" t="inlineStr">
        <is>
          <t>GÄVLEBORGS LÄN</t>
        </is>
      </c>
      <c r="E12594" t="inlineStr">
        <is>
          <t>BOLLNÄS</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46660-2024</t>
        </is>
      </c>
      <c r="B12595" s="1" t="n">
        <v>45583</v>
      </c>
      <c r="C12595" s="1" t="n">
        <v>45677</v>
      </c>
      <c r="D12595" t="inlineStr">
        <is>
          <t>GÄVLEBORGS LÄN</t>
        </is>
      </c>
      <c r="E12595" t="inlineStr">
        <is>
          <t>GÄVLE</t>
        </is>
      </c>
      <c r="F12595" t="inlineStr">
        <is>
          <t>Bergvik skog väst AB</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46656-2024</t>
        </is>
      </c>
      <c r="B12596" s="1" t="n">
        <v>45583</v>
      </c>
      <c r="C12596" s="1" t="n">
        <v>45677</v>
      </c>
      <c r="D12596" t="inlineStr">
        <is>
          <t>GÄVLEBORGS LÄN</t>
        </is>
      </c>
      <c r="E12596" t="inlineStr">
        <is>
          <t>BOLLNÄS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46636-2024</t>
        </is>
      </c>
      <c r="B12597" s="1" t="n">
        <v>45583</v>
      </c>
      <c r="C12597" s="1" t="n">
        <v>45677</v>
      </c>
      <c r="D12597" t="inlineStr">
        <is>
          <t>GÄVLEBORGS LÄN</t>
        </is>
      </c>
      <c r="E12597" t="inlineStr">
        <is>
          <t>OCKELBO</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46824-2024</t>
        </is>
      </c>
      <c r="B12598" s="1" t="n">
        <v>45583</v>
      </c>
      <c r="C12598" s="1" t="n">
        <v>45677</v>
      </c>
      <c r="D12598" t="inlineStr">
        <is>
          <t>GÄVLEBORGS LÄN</t>
        </is>
      </c>
      <c r="E12598" t="inlineStr">
        <is>
          <t>BOLLNÄS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46828-2024</t>
        </is>
      </c>
      <c r="B12599" s="1" t="n">
        <v>45583</v>
      </c>
      <c r="C12599" s="1" t="n">
        <v>45677</v>
      </c>
      <c r="D12599" t="inlineStr">
        <is>
          <t>GÄVLEBORGS LÄN</t>
        </is>
      </c>
      <c r="E12599" t="inlineStr">
        <is>
          <t>HUDIKSVALL</t>
        </is>
      </c>
      <c r="F12599" t="inlineStr">
        <is>
          <t>Holmen skog AB</t>
        </is>
      </c>
      <c r="G12599" t="n">
        <v>19.1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46852-2024</t>
        </is>
      </c>
      <c r="B12600" s="1" t="n">
        <v>45583</v>
      </c>
      <c r="C12600" s="1" t="n">
        <v>45677</v>
      </c>
      <c r="D12600" t="inlineStr">
        <is>
          <t>GÄVLEBORGS LÄN</t>
        </is>
      </c>
      <c r="E12600" t="inlineStr">
        <is>
          <t>NORDANSTIG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46822-2024</t>
        </is>
      </c>
      <c r="B12601" s="1" t="n">
        <v>45583</v>
      </c>
      <c r="C12601" s="1" t="n">
        <v>45677</v>
      </c>
      <c r="D12601" t="inlineStr">
        <is>
          <t>GÄVLEBORGS LÄN</t>
        </is>
      </c>
      <c r="E12601" t="inlineStr">
        <is>
          <t>BOLLNÄS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46695-2024</t>
        </is>
      </c>
      <c r="B12602" s="1" t="n">
        <v>45583</v>
      </c>
      <c r="C12602" s="1" t="n">
        <v>45677</v>
      </c>
      <c r="D12602" t="inlineStr">
        <is>
          <t>GÄVLEBORGS LÄN</t>
        </is>
      </c>
      <c r="E12602" t="inlineStr">
        <is>
          <t>HUDIKSVALL</t>
        </is>
      </c>
      <c r="F12602" t="inlineStr">
        <is>
          <t>Holmen skog AB</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46725-2024</t>
        </is>
      </c>
      <c r="B12603" s="1" t="n">
        <v>45583</v>
      </c>
      <c r="C12603" s="1" t="n">
        <v>45677</v>
      </c>
      <c r="D12603" t="inlineStr">
        <is>
          <t>GÄVLEBORGS LÄN</t>
        </is>
      </c>
      <c r="E12603" t="inlineStr">
        <is>
          <t>GÄVLE</t>
        </is>
      </c>
      <c r="F12603" t="inlineStr">
        <is>
          <t>Bergvik skog väst AB</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46753-2024</t>
        </is>
      </c>
      <c r="B12604" s="1" t="n">
        <v>45583</v>
      </c>
      <c r="C12604" s="1" t="n">
        <v>45677</v>
      </c>
      <c r="D12604" t="inlineStr">
        <is>
          <t>GÄVLEBORGS LÄN</t>
        </is>
      </c>
      <c r="E12604" t="inlineStr">
        <is>
          <t>BOLLNÄS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46719-2024</t>
        </is>
      </c>
      <c r="B12605" s="1" t="n">
        <v>45583</v>
      </c>
      <c r="C12605" s="1" t="n">
        <v>45677</v>
      </c>
      <c r="D12605" t="inlineStr">
        <is>
          <t>GÄVLEBORGS LÄN</t>
        </is>
      </c>
      <c r="E12605" t="inlineStr">
        <is>
          <t>GÄVLE</t>
        </is>
      </c>
      <c r="F12605" t="inlineStr">
        <is>
          <t>Bergvik skog väst AB</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46739-2024</t>
        </is>
      </c>
      <c r="B12606" s="1" t="n">
        <v>45583</v>
      </c>
      <c r="C12606" s="1" t="n">
        <v>45677</v>
      </c>
      <c r="D12606" t="inlineStr">
        <is>
          <t>GÄVLEBORGS LÄN</t>
        </is>
      </c>
      <c r="E12606" t="inlineStr">
        <is>
          <t>BOLLNÄS</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46793-2024</t>
        </is>
      </c>
      <c r="B12607" s="1" t="n">
        <v>45583</v>
      </c>
      <c r="C12607" s="1" t="n">
        <v>45677</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46783-2024</t>
        </is>
      </c>
      <c r="B12608" s="1" t="n">
        <v>45583</v>
      </c>
      <c r="C12608" s="1" t="n">
        <v>45677</v>
      </c>
      <c r="D12608" t="inlineStr">
        <is>
          <t>GÄVLEBORGS LÄN</t>
        </is>
      </c>
      <c r="E12608" t="inlineStr">
        <is>
          <t>HUDIKSVALL</t>
        </is>
      </c>
      <c r="F12608" t="inlineStr">
        <is>
          <t>Holmen skog AB</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46795-2024</t>
        </is>
      </c>
      <c r="B12609" s="1" t="n">
        <v>45583</v>
      </c>
      <c r="C12609" s="1" t="n">
        <v>45677</v>
      </c>
      <c r="D12609" t="inlineStr">
        <is>
          <t>GÄVLEBORGS LÄN</t>
        </is>
      </c>
      <c r="E12609" t="inlineStr">
        <is>
          <t>BOLLNÄS</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46799-2024</t>
        </is>
      </c>
      <c r="B12610" s="1" t="n">
        <v>45583</v>
      </c>
      <c r="C12610" s="1" t="n">
        <v>45677</v>
      </c>
      <c r="D12610" t="inlineStr">
        <is>
          <t>GÄVLEBORGS LÄN</t>
        </is>
      </c>
      <c r="E12610" t="inlineStr">
        <is>
          <t>BOLLNÄS</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46669-2024</t>
        </is>
      </c>
      <c r="B12611" s="1" t="n">
        <v>45583</v>
      </c>
      <c r="C12611" s="1" t="n">
        <v>45677</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46827-2024</t>
        </is>
      </c>
      <c r="B12612" s="1" t="n">
        <v>45583</v>
      </c>
      <c r="C12612" s="1" t="n">
        <v>45677</v>
      </c>
      <c r="D12612" t="inlineStr">
        <is>
          <t>GÄVLEBORGS LÄN</t>
        </is>
      </c>
      <c r="E12612" t="inlineStr">
        <is>
          <t>HUDIKSVALL</t>
        </is>
      </c>
      <c r="F12612" t="inlineStr">
        <is>
          <t>Sveaskog</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46831-2024</t>
        </is>
      </c>
      <c r="B12613" s="1" t="n">
        <v>45583</v>
      </c>
      <c r="C12613" s="1" t="n">
        <v>45677</v>
      </c>
      <c r="D12613" t="inlineStr">
        <is>
          <t>GÄVLEBORGS LÄN</t>
        </is>
      </c>
      <c r="E12613" t="inlineStr">
        <is>
          <t>BOLLNÄS</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46690-2024</t>
        </is>
      </c>
      <c r="B12614" s="1" t="n">
        <v>45583</v>
      </c>
      <c r="C12614" s="1" t="n">
        <v>45677</v>
      </c>
      <c r="D12614" t="inlineStr">
        <is>
          <t>GÄVLEBORGS LÄN</t>
        </is>
      </c>
      <c r="E12614" t="inlineStr">
        <is>
          <t>GÄVLE</t>
        </is>
      </c>
      <c r="F12614" t="inlineStr">
        <is>
          <t>Bergvik skog öst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46879-2024</t>
        </is>
      </c>
      <c r="B12615" s="1" t="n">
        <v>45583</v>
      </c>
      <c r="C12615" s="1" t="n">
        <v>45677</v>
      </c>
      <c r="D12615" t="inlineStr">
        <is>
          <t>GÄVLEBORGS LÄN</t>
        </is>
      </c>
      <c r="E12615" t="inlineStr">
        <is>
          <t>SANDVIKEN</t>
        </is>
      </c>
      <c r="F12615" t="inlineStr">
        <is>
          <t>Sveaskog</t>
        </is>
      </c>
      <c r="G12615" t="n">
        <v>11.3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46865-2024</t>
        </is>
      </c>
      <c r="B12616" s="1" t="n">
        <v>45583</v>
      </c>
      <c r="C12616" s="1" t="n">
        <v>45677</v>
      </c>
      <c r="D12616" t="inlineStr">
        <is>
          <t>GÄVLEBORGS LÄN</t>
        </is>
      </c>
      <c r="E12616" t="inlineStr">
        <is>
          <t>SANDVIKEN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46744-2024</t>
        </is>
      </c>
      <c r="B12617" s="1" t="n">
        <v>45583</v>
      </c>
      <c r="C12617" s="1" t="n">
        <v>45677</v>
      </c>
      <c r="D12617" t="inlineStr">
        <is>
          <t>GÄVLEBORGS LÄN</t>
        </is>
      </c>
      <c r="E12617" t="inlineStr">
        <is>
          <t>GÄVLE</t>
        </is>
      </c>
      <c r="F12617" t="inlineStr">
        <is>
          <t>Bergvik skog öst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46860-2024</t>
        </is>
      </c>
      <c r="B12618" s="1" t="n">
        <v>45583</v>
      </c>
      <c r="C12618" s="1" t="n">
        <v>45677</v>
      </c>
      <c r="D12618" t="inlineStr">
        <is>
          <t>GÄVLEBORGS LÄN</t>
        </is>
      </c>
      <c r="E12618" t="inlineStr">
        <is>
          <t>NORDANSTIG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46658-2024</t>
        </is>
      </c>
      <c r="B12619" s="1" t="n">
        <v>45583</v>
      </c>
      <c r="C12619" s="1" t="n">
        <v>45677</v>
      </c>
      <c r="D12619" t="inlineStr">
        <is>
          <t>GÄVLEBORGS LÄN</t>
        </is>
      </c>
      <c r="E12619" t="inlineStr">
        <is>
          <t>BOLLNÄS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47151-2024</t>
        </is>
      </c>
      <c r="B12620" s="1" t="n">
        <v>45586</v>
      </c>
      <c r="C12620" s="1" t="n">
        <v>45677</v>
      </c>
      <c r="D12620" t="inlineStr">
        <is>
          <t>GÄVLEBORGS LÄN</t>
        </is>
      </c>
      <c r="E12620" t="inlineStr">
        <is>
          <t>SÖDERHAMN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47149-2024</t>
        </is>
      </c>
      <c r="B12621" s="1" t="n">
        <v>45586</v>
      </c>
      <c r="C12621" s="1" t="n">
        <v>45677</v>
      </c>
      <c r="D12621" t="inlineStr">
        <is>
          <t>GÄVLEBORGS LÄN</t>
        </is>
      </c>
      <c r="E12621" t="inlineStr">
        <is>
          <t>HUDIKSVALL</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47116-2024</t>
        </is>
      </c>
      <c r="B12622" s="1" t="n">
        <v>45586</v>
      </c>
      <c r="C12622" s="1" t="n">
        <v>45677</v>
      </c>
      <c r="D12622" t="inlineStr">
        <is>
          <t>GÄVLEBORGS LÄN</t>
        </is>
      </c>
      <c r="E12622" t="inlineStr">
        <is>
          <t>HUDIKSVALL</t>
        </is>
      </c>
      <c r="F12622" t="inlineStr">
        <is>
          <t>Holmen skog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47108-2024</t>
        </is>
      </c>
      <c r="B12623" s="1" t="n">
        <v>45586</v>
      </c>
      <c r="C12623" s="1" t="n">
        <v>45677</v>
      </c>
      <c r="D12623" t="inlineStr">
        <is>
          <t>GÄVLEBORGS LÄN</t>
        </is>
      </c>
      <c r="E12623" t="inlineStr">
        <is>
          <t>GÄVLE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47100-2024</t>
        </is>
      </c>
      <c r="B12624" s="1" t="n">
        <v>45586</v>
      </c>
      <c r="C12624" s="1" t="n">
        <v>45677</v>
      </c>
      <c r="D12624" t="inlineStr">
        <is>
          <t>GÄVLEBORGS LÄN</t>
        </is>
      </c>
      <c r="E12624" t="inlineStr">
        <is>
          <t>OCKELBO</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47249-2024</t>
        </is>
      </c>
      <c r="B12625" s="1" t="n">
        <v>45586</v>
      </c>
      <c r="C12625" s="1" t="n">
        <v>45677</v>
      </c>
      <c r="D12625" t="inlineStr">
        <is>
          <t>GÄVLEBORGS LÄN</t>
        </is>
      </c>
      <c r="E12625" t="inlineStr">
        <is>
          <t>HUDIKSVALL</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47152-2024</t>
        </is>
      </c>
      <c r="B12626" s="1" t="n">
        <v>45586</v>
      </c>
      <c r="C12626" s="1" t="n">
        <v>45677</v>
      </c>
      <c r="D12626" t="inlineStr">
        <is>
          <t>GÄVLEBORGS LÄN</t>
        </is>
      </c>
      <c r="E12626" t="inlineStr">
        <is>
          <t>HUDIKSVALL</t>
        </is>
      </c>
      <c r="F12626" t="inlineStr">
        <is>
          <t>Holmen skog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47143-2024</t>
        </is>
      </c>
      <c r="B12627" s="1" t="n">
        <v>45586</v>
      </c>
      <c r="C12627" s="1" t="n">
        <v>45677</v>
      </c>
      <c r="D12627" t="inlineStr">
        <is>
          <t>GÄVLEBORGS LÄN</t>
        </is>
      </c>
      <c r="E12627" t="inlineStr">
        <is>
          <t>GÄVLE</t>
        </is>
      </c>
      <c r="F12627" t="inlineStr">
        <is>
          <t>Bergvik skog öst AB</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47091-2024</t>
        </is>
      </c>
      <c r="B12628" s="1" t="n">
        <v>45586</v>
      </c>
      <c r="C12628" s="1" t="n">
        <v>45677</v>
      </c>
      <c r="D12628" t="inlineStr">
        <is>
          <t>GÄVLEBORGS LÄN</t>
        </is>
      </c>
      <c r="E12628" t="inlineStr">
        <is>
          <t>SÖDERHAMN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46961-2024</t>
        </is>
      </c>
      <c r="B12629" s="1" t="n">
        <v>45586</v>
      </c>
      <c r="C12629" s="1" t="n">
        <v>45677</v>
      </c>
      <c r="D12629" t="inlineStr">
        <is>
          <t>GÄVLEBORGS LÄN</t>
        </is>
      </c>
      <c r="E12629" t="inlineStr">
        <is>
          <t>BOLLNÄS</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46958-2024</t>
        </is>
      </c>
      <c r="B12630" s="1" t="n">
        <v>45586</v>
      </c>
      <c r="C12630" s="1" t="n">
        <v>45677</v>
      </c>
      <c r="D12630" t="inlineStr">
        <is>
          <t>GÄVLEBORGS LÄN</t>
        </is>
      </c>
      <c r="E12630" t="inlineStr">
        <is>
          <t>BOLLNÄS</t>
        </is>
      </c>
      <c r="F12630" t="inlineStr">
        <is>
          <t>Bergvik skog väst AB</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46970-2024</t>
        </is>
      </c>
      <c r="B12631" s="1" t="n">
        <v>45586</v>
      </c>
      <c r="C12631" s="1" t="n">
        <v>45677</v>
      </c>
      <c r="D12631" t="inlineStr">
        <is>
          <t>GÄVLEBORGS LÄN</t>
        </is>
      </c>
      <c r="E12631" t="inlineStr">
        <is>
          <t>OCKELBO</t>
        </is>
      </c>
      <c r="G12631" t="n">
        <v>7.9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47059-2024</t>
        </is>
      </c>
      <c r="B12632" s="1" t="n">
        <v>45586</v>
      </c>
      <c r="C12632" s="1" t="n">
        <v>45677</v>
      </c>
      <c r="D12632" t="inlineStr">
        <is>
          <t>GÄVLEBORGS LÄN</t>
        </is>
      </c>
      <c r="E12632" t="inlineStr">
        <is>
          <t>HUDIKSVALL</t>
        </is>
      </c>
      <c r="G12632" t="n">
        <v>18.2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47055-2024</t>
        </is>
      </c>
      <c r="B12633" s="1" t="n">
        <v>45586</v>
      </c>
      <c r="C12633" s="1" t="n">
        <v>45677</v>
      </c>
      <c r="D12633" t="inlineStr">
        <is>
          <t>GÄVLEBORGS LÄN</t>
        </is>
      </c>
      <c r="E12633" t="inlineStr">
        <is>
          <t>NORDANSTIG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47210-2024</t>
        </is>
      </c>
      <c r="B12634" s="1" t="n">
        <v>45586</v>
      </c>
      <c r="C12634" s="1" t="n">
        <v>45677</v>
      </c>
      <c r="D12634" t="inlineStr">
        <is>
          <t>GÄVLEBORGS LÄN</t>
        </is>
      </c>
      <c r="E12634" t="inlineStr">
        <is>
          <t>LJUSDAL</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47214-2024</t>
        </is>
      </c>
      <c r="B12635" s="1" t="n">
        <v>45586</v>
      </c>
      <c r="C12635" s="1" t="n">
        <v>45677</v>
      </c>
      <c r="D12635" t="inlineStr">
        <is>
          <t>GÄVLEBORGS LÄN</t>
        </is>
      </c>
      <c r="E12635" t="inlineStr">
        <is>
          <t>NORDANSTIG</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47238-2024</t>
        </is>
      </c>
      <c r="B12636" s="1" t="n">
        <v>45586</v>
      </c>
      <c r="C12636" s="1" t="n">
        <v>45677</v>
      </c>
      <c r="D12636" t="inlineStr">
        <is>
          <t>GÄVLEBORGS LÄN</t>
        </is>
      </c>
      <c r="E12636" t="inlineStr">
        <is>
          <t>NORDANSTIG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47552-2024</t>
        </is>
      </c>
      <c r="B12637" s="1" t="n">
        <v>45587</v>
      </c>
      <c r="C12637" s="1" t="n">
        <v>45677</v>
      </c>
      <c r="D12637" t="inlineStr">
        <is>
          <t>GÄVLEBORGS LÄN</t>
        </is>
      </c>
      <c r="E12637" t="inlineStr">
        <is>
          <t>LJUSDAL</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47531-2024</t>
        </is>
      </c>
      <c r="B12638" s="1" t="n">
        <v>45587</v>
      </c>
      <c r="C12638" s="1" t="n">
        <v>45677</v>
      </c>
      <c r="D12638" t="inlineStr">
        <is>
          <t>GÄVLEBORGS LÄN</t>
        </is>
      </c>
      <c r="E12638" t="inlineStr">
        <is>
          <t>OCKELBO</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47528-2024</t>
        </is>
      </c>
      <c r="B12639" s="1" t="n">
        <v>45587</v>
      </c>
      <c r="C12639" s="1" t="n">
        <v>45677</v>
      </c>
      <c r="D12639" t="inlineStr">
        <is>
          <t>GÄVLEBORGS LÄN</t>
        </is>
      </c>
      <c r="E12639" t="inlineStr">
        <is>
          <t>BOLLNÄS</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47524-2024</t>
        </is>
      </c>
      <c r="B12640" s="1" t="n">
        <v>45587</v>
      </c>
      <c r="C12640" s="1" t="n">
        <v>45677</v>
      </c>
      <c r="D12640" t="inlineStr">
        <is>
          <t>GÄVLEBORGS LÄN</t>
        </is>
      </c>
      <c r="E12640" t="inlineStr">
        <is>
          <t>HOFORS</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47504-2024</t>
        </is>
      </c>
      <c r="B12641" s="1" t="n">
        <v>45587</v>
      </c>
      <c r="C12641" s="1" t="n">
        <v>45677</v>
      </c>
      <c r="D12641" t="inlineStr">
        <is>
          <t>GÄVLEBORGS LÄN</t>
        </is>
      </c>
      <c r="E12641" t="inlineStr">
        <is>
          <t>HOFORS</t>
        </is>
      </c>
      <c r="F12641" t="inlineStr">
        <is>
          <t>Sveaskog</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47495-2024</t>
        </is>
      </c>
      <c r="B12642" s="1" t="n">
        <v>45587</v>
      </c>
      <c r="C12642" s="1" t="n">
        <v>45677</v>
      </c>
      <c r="D12642" t="inlineStr">
        <is>
          <t>GÄVLEBORGS LÄN</t>
        </is>
      </c>
      <c r="E12642" t="inlineStr">
        <is>
          <t>HOFORS</t>
        </is>
      </c>
      <c r="F12642" t="inlineStr">
        <is>
          <t>Sveaskog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47493-2024</t>
        </is>
      </c>
      <c r="B12643" s="1" t="n">
        <v>45587</v>
      </c>
      <c r="C12643" s="1" t="n">
        <v>45677</v>
      </c>
      <c r="D12643" t="inlineStr">
        <is>
          <t>GÄVLEBORGS LÄN</t>
        </is>
      </c>
      <c r="E12643" t="inlineStr">
        <is>
          <t>HOFORS</t>
        </is>
      </c>
      <c r="F12643" t="inlineStr">
        <is>
          <t>Sveaskog</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47388-2024</t>
        </is>
      </c>
      <c r="B12644" s="1" t="n">
        <v>45587</v>
      </c>
      <c r="C12644" s="1" t="n">
        <v>45677</v>
      </c>
      <c r="D12644" t="inlineStr">
        <is>
          <t>GÄVLEBORGS LÄN</t>
        </is>
      </c>
      <c r="E12644" t="inlineStr">
        <is>
          <t>LJUSDAL</t>
        </is>
      </c>
      <c r="F12644" t="inlineStr">
        <is>
          <t>Bergvik skog väst AB</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47403-2024</t>
        </is>
      </c>
      <c r="B12645" s="1" t="n">
        <v>45587</v>
      </c>
      <c r="C12645" s="1" t="n">
        <v>45677</v>
      </c>
      <c r="D12645" t="inlineStr">
        <is>
          <t>GÄVLEBORGS LÄN</t>
        </is>
      </c>
      <c r="E12645" t="inlineStr">
        <is>
          <t>LJUSDAL</t>
        </is>
      </c>
      <c r="F12645" t="inlineStr">
        <is>
          <t>Bergvik skog väst AB</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47320-2024</t>
        </is>
      </c>
      <c r="B12646" s="1" t="n">
        <v>45587</v>
      </c>
      <c r="C12646" s="1" t="n">
        <v>45677</v>
      </c>
      <c r="D12646" t="inlineStr">
        <is>
          <t>GÄVLEBORGS LÄN</t>
        </is>
      </c>
      <c r="E12646" t="inlineStr">
        <is>
          <t>LJUSDAL</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47307-2024</t>
        </is>
      </c>
      <c r="B12647" s="1" t="n">
        <v>45587</v>
      </c>
      <c r="C12647" s="1" t="n">
        <v>45677</v>
      </c>
      <c r="D12647" t="inlineStr">
        <is>
          <t>GÄVLEBORGS LÄN</t>
        </is>
      </c>
      <c r="E12647" t="inlineStr">
        <is>
          <t>LJUSDAL</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47284-2024</t>
        </is>
      </c>
      <c r="B12648" s="1" t="n">
        <v>45587</v>
      </c>
      <c r="C12648" s="1" t="n">
        <v>45677</v>
      </c>
      <c r="D12648" t="inlineStr">
        <is>
          <t>GÄVLEBORGS LÄN</t>
        </is>
      </c>
      <c r="E12648" t="inlineStr">
        <is>
          <t>HUDIKSVALL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47455-2024</t>
        </is>
      </c>
      <c r="B12649" s="1" t="n">
        <v>45587</v>
      </c>
      <c r="C12649" s="1" t="n">
        <v>45677</v>
      </c>
      <c r="D12649" t="inlineStr">
        <is>
          <t>GÄVLEBORGS LÄN</t>
        </is>
      </c>
      <c r="E12649" t="inlineStr">
        <is>
          <t>LJUSDAL</t>
        </is>
      </c>
      <c r="F12649" t="inlineStr">
        <is>
          <t>Bergvik skog väst AB</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47367-2024</t>
        </is>
      </c>
      <c r="B12650" s="1" t="n">
        <v>45587</v>
      </c>
      <c r="C12650" s="1" t="n">
        <v>45677</v>
      </c>
      <c r="D12650" t="inlineStr">
        <is>
          <t>GÄVLEBORGS LÄN</t>
        </is>
      </c>
      <c r="E12650" t="inlineStr">
        <is>
          <t>HUDIKSVALL</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47359-2024</t>
        </is>
      </c>
      <c r="B12651" s="1" t="n">
        <v>45587</v>
      </c>
      <c r="C12651" s="1" t="n">
        <v>45677</v>
      </c>
      <c r="D12651" t="inlineStr">
        <is>
          <t>GÄVLEBORGS LÄN</t>
        </is>
      </c>
      <c r="E12651" t="inlineStr">
        <is>
          <t>HOFORS</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47377-2024</t>
        </is>
      </c>
      <c r="B12652" s="1" t="n">
        <v>45587</v>
      </c>
      <c r="C12652" s="1" t="n">
        <v>45677</v>
      </c>
      <c r="D12652" t="inlineStr">
        <is>
          <t>GÄVLEBORGS LÄN</t>
        </is>
      </c>
      <c r="E12652" t="inlineStr">
        <is>
          <t>HUDIKSVALL</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47305-2024</t>
        </is>
      </c>
      <c r="B12653" s="1" t="n">
        <v>45587</v>
      </c>
      <c r="C12653" s="1" t="n">
        <v>45677</v>
      </c>
      <c r="D12653" t="inlineStr">
        <is>
          <t>GÄVLEBORGS LÄN</t>
        </is>
      </c>
      <c r="E12653" t="inlineStr">
        <is>
          <t>HUDIKSVALL</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47299-2024</t>
        </is>
      </c>
      <c r="B12654" s="1" t="n">
        <v>45587</v>
      </c>
      <c r="C12654" s="1" t="n">
        <v>45677</v>
      </c>
      <c r="D12654" t="inlineStr">
        <is>
          <t>GÄVLEBORGS LÄN</t>
        </is>
      </c>
      <c r="E12654" t="inlineStr">
        <is>
          <t>HUDIKSVALL</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47580-2024</t>
        </is>
      </c>
      <c r="B12655" s="1" t="n">
        <v>45587</v>
      </c>
      <c r="C12655" s="1" t="n">
        <v>45677</v>
      </c>
      <c r="D12655" t="inlineStr">
        <is>
          <t>GÄVLEBORGS LÄN</t>
        </is>
      </c>
      <c r="E12655" t="inlineStr">
        <is>
          <t>LJUSDAL</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47397-2024</t>
        </is>
      </c>
      <c r="B12656" s="1" t="n">
        <v>45587</v>
      </c>
      <c r="C12656" s="1" t="n">
        <v>45677</v>
      </c>
      <c r="D12656" t="inlineStr">
        <is>
          <t>GÄVLEBORGS LÄN</t>
        </is>
      </c>
      <c r="E12656" t="inlineStr">
        <is>
          <t>LJUSDAL</t>
        </is>
      </c>
      <c r="F12656" t="inlineStr">
        <is>
          <t>Bergvik skog väst AB</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47380-2024</t>
        </is>
      </c>
      <c r="B12657" s="1" t="n">
        <v>45587</v>
      </c>
      <c r="C12657" s="1" t="n">
        <v>45677</v>
      </c>
      <c r="D12657" t="inlineStr">
        <is>
          <t>GÄVLEBORGS LÄN</t>
        </is>
      </c>
      <c r="E12657" t="inlineStr">
        <is>
          <t>OVANÅKER</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47376-2024</t>
        </is>
      </c>
      <c r="B12658" s="1" t="n">
        <v>45587</v>
      </c>
      <c r="C12658" s="1" t="n">
        <v>45677</v>
      </c>
      <c r="D12658" t="inlineStr">
        <is>
          <t>GÄVLEBORGS LÄN</t>
        </is>
      </c>
      <c r="E12658" t="inlineStr">
        <is>
          <t>OVANÅKER</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47314-2024</t>
        </is>
      </c>
      <c r="B12659" s="1" t="n">
        <v>45587</v>
      </c>
      <c r="C12659" s="1" t="n">
        <v>45677</v>
      </c>
      <c r="D12659" t="inlineStr">
        <is>
          <t>GÄVLEBORGS LÄN</t>
        </is>
      </c>
      <c r="E12659" t="inlineStr">
        <is>
          <t>HUDIKSVALL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47291-2024</t>
        </is>
      </c>
      <c r="B12660" s="1" t="n">
        <v>45587</v>
      </c>
      <c r="C12660" s="1" t="n">
        <v>45677</v>
      </c>
      <c r="D12660" t="inlineStr">
        <is>
          <t>GÄVLEBORGS LÄN</t>
        </is>
      </c>
      <c r="E12660" t="inlineStr">
        <is>
          <t>LJUSDAL</t>
        </is>
      </c>
      <c r="F12660" t="inlineStr">
        <is>
          <t>Holmen skog AB</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47608-2024</t>
        </is>
      </c>
      <c r="B12661" s="1" t="n">
        <v>45587</v>
      </c>
      <c r="C12661" s="1" t="n">
        <v>45677</v>
      </c>
      <c r="D12661" t="inlineStr">
        <is>
          <t>GÄVLEBORGS LÄN</t>
        </is>
      </c>
      <c r="E12661" t="inlineStr">
        <is>
          <t>BOLLNÄS</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47642-2024</t>
        </is>
      </c>
      <c r="B12662" s="1" t="n">
        <v>45588</v>
      </c>
      <c r="C12662" s="1" t="n">
        <v>45677</v>
      </c>
      <c r="D12662" t="inlineStr">
        <is>
          <t>GÄVLEBORGS LÄN</t>
        </is>
      </c>
      <c r="E12662" t="inlineStr">
        <is>
          <t>GÄVLE</t>
        </is>
      </c>
      <c r="F12662" t="inlineStr">
        <is>
          <t>Bergvik skog väst AB</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47695-2024</t>
        </is>
      </c>
      <c r="B12663" s="1" t="n">
        <v>45588</v>
      </c>
      <c r="C12663" s="1" t="n">
        <v>45677</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47712-2024</t>
        </is>
      </c>
      <c r="B12664" s="1" t="n">
        <v>45588</v>
      </c>
      <c r="C12664" s="1" t="n">
        <v>45677</v>
      </c>
      <c r="D12664" t="inlineStr">
        <is>
          <t>GÄVLEBORGS LÄN</t>
        </is>
      </c>
      <c r="E12664" t="inlineStr">
        <is>
          <t>LJUSDAL</t>
        </is>
      </c>
      <c r="F12664" t="inlineStr">
        <is>
          <t>Bergvik skog väst AB</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47644-2024</t>
        </is>
      </c>
      <c r="B12665" s="1" t="n">
        <v>45588</v>
      </c>
      <c r="C12665" s="1" t="n">
        <v>45677</v>
      </c>
      <c r="D12665" t="inlineStr">
        <is>
          <t>GÄVLEBORGS LÄN</t>
        </is>
      </c>
      <c r="E12665" t="inlineStr">
        <is>
          <t>SANDVIKEN</t>
        </is>
      </c>
      <c r="F12665" t="inlineStr">
        <is>
          <t>Bergvik skog öst AB</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47773-2024</t>
        </is>
      </c>
      <c r="B12666" s="1" t="n">
        <v>45588</v>
      </c>
      <c r="C12666" s="1" t="n">
        <v>45677</v>
      </c>
      <c r="D12666" t="inlineStr">
        <is>
          <t>GÄVLEBORGS LÄN</t>
        </is>
      </c>
      <c r="E12666" t="inlineStr">
        <is>
          <t>SANDVIKEN</t>
        </is>
      </c>
      <c r="F12666" t="inlineStr">
        <is>
          <t>Bergvik skog öst AB</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47801-2024</t>
        </is>
      </c>
      <c r="B12667" s="1" t="n">
        <v>45588</v>
      </c>
      <c r="C12667" s="1" t="n">
        <v>45677</v>
      </c>
      <c r="D12667" t="inlineStr">
        <is>
          <t>GÄVLEBORGS LÄN</t>
        </is>
      </c>
      <c r="E12667" t="inlineStr">
        <is>
          <t>SANDVIKEN</t>
        </is>
      </c>
      <c r="F12667" t="inlineStr">
        <is>
          <t>Bergvik skog öst AB</t>
        </is>
      </c>
      <c r="G12667" t="n">
        <v>12.7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47676-2024</t>
        </is>
      </c>
      <c r="B12668" s="1" t="n">
        <v>45588</v>
      </c>
      <c r="C12668" s="1" t="n">
        <v>45677</v>
      </c>
      <c r="D12668" t="inlineStr">
        <is>
          <t>GÄVLEBORGS LÄN</t>
        </is>
      </c>
      <c r="E12668" t="inlineStr">
        <is>
          <t>SÖDERHAMN</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47688-2024</t>
        </is>
      </c>
      <c r="B12669" s="1" t="n">
        <v>45588</v>
      </c>
      <c r="C12669" s="1" t="n">
        <v>45677</v>
      </c>
      <c r="D12669" t="inlineStr">
        <is>
          <t>GÄVLEBORGS LÄN</t>
        </is>
      </c>
      <c r="E12669" t="inlineStr">
        <is>
          <t>HUDIKSVALL</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47700-2024</t>
        </is>
      </c>
      <c r="B12670" s="1" t="n">
        <v>45588</v>
      </c>
      <c r="C12670" s="1" t="n">
        <v>45677</v>
      </c>
      <c r="D12670" t="inlineStr">
        <is>
          <t>GÄVLEBORGS LÄN</t>
        </is>
      </c>
      <c r="E12670" t="inlineStr">
        <is>
          <t>HUDIKSVALL</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47737-2024</t>
        </is>
      </c>
      <c r="B12671" s="1" t="n">
        <v>45588</v>
      </c>
      <c r="C12671" s="1" t="n">
        <v>45677</v>
      </c>
      <c r="D12671" t="inlineStr">
        <is>
          <t>GÄVLEBORGS LÄN</t>
        </is>
      </c>
      <c r="E12671" t="inlineStr">
        <is>
          <t>LJUSDAL</t>
        </is>
      </c>
      <c r="F12671" t="inlineStr">
        <is>
          <t>Bergvik skog väst AB</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47782-2024</t>
        </is>
      </c>
      <c r="B12672" s="1" t="n">
        <v>45588</v>
      </c>
      <c r="C12672" s="1" t="n">
        <v>45677</v>
      </c>
      <c r="D12672" t="inlineStr">
        <is>
          <t>GÄVLEBORGS LÄN</t>
        </is>
      </c>
      <c r="E12672" t="inlineStr">
        <is>
          <t>SANDVIKEN</t>
        </is>
      </c>
      <c r="F12672" t="inlineStr">
        <is>
          <t>Bergvik skog öst AB</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47794-2024</t>
        </is>
      </c>
      <c r="B12673" s="1" t="n">
        <v>45588</v>
      </c>
      <c r="C12673" s="1" t="n">
        <v>45677</v>
      </c>
      <c r="D12673" t="inlineStr">
        <is>
          <t>GÄVLEBORGS LÄN</t>
        </is>
      </c>
      <c r="E12673" t="inlineStr">
        <is>
          <t>SÖDERHAMN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47822-2024</t>
        </is>
      </c>
      <c r="B12674" s="1" t="n">
        <v>45588</v>
      </c>
      <c r="C12674" s="1" t="n">
        <v>45677</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47637-2024</t>
        </is>
      </c>
      <c r="B12675" s="1" t="n">
        <v>45588</v>
      </c>
      <c r="C12675" s="1" t="n">
        <v>45677</v>
      </c>
      <c r="D12675" t="inlineStr">
        <is>
          <t>GÄVLEBORGS LÄN</t>
        </is>
      </c>
      <c r="E12675" t="inlineStr">
        <is>
          <t>GÄVLE</t>
        </is>
      </c>
      <c r="F12675" t="inlineStr">
        <is>
          <t>Bergvik skog väst AB</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47649-2024</t>
        </is>
      </c>
      <c r="B12676" s="1" t="n">
        <v>45588</v>
      </c>
      <c r="C12676" s="1" t="n">
        <v>45677</v>
      </c>
      <c r="D12676" t="inlineStr">
        <is>
          <t>GÄVLEBORGS LÄN</t>
        </is>
      </c>
      <c r="E12676" t="inlineStr">
        <is>
          <t>LJUSDAL</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47693-2024</t>
        </is>
      </c>
      <c r="B12677" s="1" t="n">
        <v>45588</v>
      </c>
      <c r="C12677" s="1" t="n">
        <v>45677</v>
      </c>
      <c r="D12677" t="inlineStr">
        <is>
          <t>GÄVLEBORGS LÄN</t>
        </is>
      </c>
      <c r="E12677" t="inlineStr">
        <is>
          <t>LJUSDAL</t>
        </is>
      </c>
      <c r="F12677" t="inlineStr">
        <is>
          <t>Bergvik skog väst AB</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47726-2024</t>
        </is>
      </c>
      <c r="B12678" s="1" t="n">
        <v>45588</v>
      </c>
      <c r="C12678" s="1" t="n">
        <v>45677</v>
      </c>
      <c r="D12678" t="inlineStr">
        <is>
          <t>GÄVLEBORGS LÄN</t>
        </is>
      </c>
      <c r="E12678" t="inlineStr">
        <is>
          <t>SÖDERHAMN</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47878-2024</t>
        </is>
      </c>
      <c r="B12679" s="1" t="n">
        <v>45588</v>
      </c>
      <c r="C12679" s="1" t="n">
        <v>45677</v>
      </c>
      <c r="D12679" t="inlineStr">
        <is>
          <t>GÄVLEBORGS LÄN</t>
        </is>
      </c>
      <c r="E12679" t="inlineStr">
        <is>
          <t>LJUSDAL</t>
        </is>
      </c>
      <c r="F12679" t="inlineStr">
        <is>
          <t>Bergvik skog väst AB</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47841-2024</t>
        </is>
      </c>
      <c r="B12680" s="1" t="n">
        <v>45588</v>
      </c>
      <c r="C12680" s="1" t="n">
        <v>45677</v>
      </c>
      <c r="D12680" t="inlineStr">
        <is>
          <t>GÄVLEBORGS LÄN</t>
        </is>
      </c>
      <c r="E12680" t="inlineStr">
        <is>
          <t>SÖDERHAMN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47876-2024</t>
        </is>
      </c>
      <c r="B12681" s="1" t="n">
        <v>45588</v>
      </c>
      <c r="C12681" s="1" t="n">
        <v>45677</v>
      </c>
      <c r="D12681" t="inlineStr">
        <is>
          <t>GÄVLEBORGS LÄN</t>
        </is>
      </c>
      <c r="E12681" t="inlineStr">
        <is>
          <t>LJUSDAL</t>
        </is>
      </c>
      <c r="F12681" t="inlineStr">
        <is>
          <t>Bergvik skog väst AB</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47875-2024</t>
        </is>
      </c>
      <c r="B12682" s="1" t="n">
        <v>45588</v>
      </c>
      <c r="C12682" s="1" t="n">
        <v>45677</v>
      </c>
      <c r="D12682" t="inlineStr">
        <is>
          <t>GÄVLEBORGS LÄN</t>
        </is>
      </c>
      <c r="E12682" t="inlineStr">
        <is>
          <t>LJUSDAL</t>
        </is>
      </c>
      <c r="F12682" t="inlineStr">
        <is>
          <t>Bergvik skog väst AB</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47894-2024</t>
        </is>
      </c>
      <c r="B12683" s="1" t="n">
        <v>45588</v>
      </c>
      <c r="C12683" s="1" t="n">
        <v>45677</v>
      </c>
      <c r="D12683" t="inlineStr">
        <is>
          <t>GÄVLEBORGS LÄN</t>
        </is>
      </c>
      <c r="E12683" t="inlineStr">
        <is>
          <t>BOLLNÄS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47873-2024</t>
        </is>
      </c>
      <c r="B12684" s="1" t="n">
        <v>45588</v>
      </c>
      <c r="C12684" s="1" t="n">
        <v>45677</v>
      </c>
      <c r="D12684" t="inlineStr">
        <is>
          <t>GÄVLEBORGS LÄN</t>
        </is>
      </c>
      <c r="E12684" t="inlineStr">
        <is>
          <t>LJUSDAL</t>
        </is>
      </c>
      <c r="F12684" t="inlineStr">
        <is>
          <t>Bergvik skog väst AB</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47893-2024</t>
        </is>
      </c>
      <c r="B12685" s="1" t="n">
        <v>45588</v>
      </c>
      <c r="C12685" s="1" t="n">
        <v>45677</v>
      </c>
      <c r="D12685" t="inlineStr">
        <is>
          <t>GÄVLEBORGS LÄN</t>
        </is>
      </c>
      <c r="E12685" t="inlineStr">
        <is>
          <t>BOLLNÄS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47820-2024</t>
        </is>
      </c>
      <c r="B12686" s="1" t="n">
        <v>45588</v>
      </c>
      <c r="C12686" s="1" t="n">
        <v>45677</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47638-2024</t>
        </is>
      </c>
      <c r="B12687" s="1" t="n">
        <v>45588</v>
      </c>
      <c r="C12687" s="1" t="n">
        <v>45677</v>
      </c>
      <c r="D12687" t="inlineStr">
        <is>
          <t>GÄVLEBORGS LÄN</t>
        </is>
      </c>
      <c r="E12687" t="inlineStr">
        <is>
          <t>GÄVLE</t>
        </is>
      </c>
      <c r="F12687" t="inlineStr">
        <is>
          <t>Bergvik skog väst AB</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47764-2024</t>
        </is>
      </c>
      <c r="B12688" s="1" t="n">
        <v>45588</v>
      </c>
      <c r="C12688" s="1" t="n">
        <v>45677</v>
      </c>
      <c r="D12688" t="inlineStr">
        <is>
          <t>GÄVLEBORGS LÄN</t>
        </is>
      </c>
      <c r="E12688" t="inlineStr">
        <is>
          <t>SANDVIKEN</t>
        </is>
      </c>
      <c r="F12688" t="inlineStr">
        <is>
          <t>Bergvik skog öst AB</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48122-2024</t>
        </is>
      </c>
      <c r="B12689" s="1" t="n">
        <v>45589</v>
      </c>
      <c r="C12689" s="1" t="n">
        <v>45677</v>
      </c>
      <c r="D12689" t="inlineStr">
        <is>
          <t>GÄVLEBORGS LÄN</t>
        </is>
      </c>
      <c r="E12689" t="inlineStr">
        <is>
          <t>SANDVIKEN</t>
        </is>
      </c>
      <c r="F12689" t="inlineStr">
        <is>
          <t>Bergvik skog öst AB</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48113-2024</t>
        </is>
      </c>
      <c r="B12690" s="1" t="n">
        <v>45589</v>
      </c>
      <c r="C12690" s="1" t="n">
        <v>45677</v>
      </c>
      <c r="D12690" t="inlineStr">
        <is>
          <t>GÄVLEBORGS LÄN</t>
        </is>
      </c>
      <c r="E12690" t="inlineStr">
        <is>
          <t>OVANÅKER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48125-2024</t>
        </is>
      </c>
      <c r="B12691" s="1" t="n">
        <v>45589</v>
      </c>
      <c r="C12691" s="1" t="n">
        <v>45677</v>
      </c>
      <c r="D12691" t="inlineStr">
        <is>
          <t>GÄVLEBORGS LÄN</t>
        </is>
      </c>
      <c r="E12691" t="inlineStr">
        <is>
          <t>OVANÅKER</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48042-2024</t>
        </is>
      </c>
      <c r="B12692" s="1" t="n">
        <v>45589</v>
      </c>
      <c r="C12692" s="1" t="n">
        <v>45677</v>
      </c>
      <c r="D12692" t="inlineStr">
        <is>
          <t>GÄVLEBORGS LÄN</t>
        </is>
      </c>
      <c r="E12692" t="inlineStr">
        <is>
          <t>BOLLNÄS</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48115-2024</t>
        </is>
      </c>
      <c r="B12693" s="1" t="n">
        <v>45589</v>
      </c>
      <c r="C12693" s="1" t="n">
        <v>45677</v>
      </c>
      <c r="D12693" t="inlineStr">
        <is>
          <t>GÄVLEBORGS LÄN</t>
        </is>
      </c>
      <c r="E12693" t="inlineStr">
        <is>
          <t>SANDVIKEN</t>
        </is>
      </c>
      <c r="F12693" t="inlineStr">
        <is>
          <t>Bergvik skog öst AB</t>
        </is>
      </c>
      <c r="G12693" t="n">
        <v>9.6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48149-2024</t>
        </is>
      </c>
      <c r="B12694" s="1" t="n">
        <v>45589</v>
      </c>
      <c r="C12694" s="1" t="n">
        <v>45677</v>
      </c>
      <c r="D12694" t="inlineStr">
        <is>
          <t>GÄVLEBORGS LÄN</t>
        </is>
      </c>
      <c r="E12694" t="inlineStr">
        <is>
          <t>LJUSDAL</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47951-2024</t>
        </is>
      </c>
      <c r="B12695" s="1" t="n">
        <v>45589</v>
      </c>
      <c r="C12695" s="1" t="n">
        <v>45677</v>
      </c>
      <c r="D12695" t="inlineStr">
        <is>
          <t>GÄVLEBORGS LÄN</t>
        </is>
      </c>
      <c r="E12695" t="inlineStr">
        <is>
          <t>NORDANSTIG</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47975-2024</t>
        </is>
      </c>
      <c r="B12696" s="1" t="n">
        <v>45589</v>
      </c>
      <c r="C12696" s="1" t="n">
        <v>45677</v>
      </c>
      <c r="D12696" t="inlineStr">
        <is>
          <t>GÄVLEBORGS LÄN</t>
        </is>
      </c>
      <c r="E12696" t="inlineStr">
        <is>
          <t>HUDIKSVALL</t>
        </is>
      </c>
      <c r="F12696" t="inlineStr">
        <is>
          <t>Holmen skog AB</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47991-2024</t>
        </is>
      </c>
      <c r="B12697" s="1" t="n">
        <v>45589</v>
      </c>
      <c r="C12697" s="1" t="n">
        <v>45677</v>
      </c>
      <c r="D12697" t="inlineStr">
        <is>
          <t>GÄVLEBORGS LÄN</t>
        </is>
      </c>
      <c r="E12697" t="inlineStr">
        <is>
          <t>GÄVLE</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47995-2024</t>
        </is>
      </c>
      <c r="B12698" s="1" t="n">
        <v>45589</v>
      </c>
      <c r="C12698" s="1" t="n">
        <v>45677</v>
      </c>
      <c r="D12698" t="inlineStr">
        <is>
          <t>GÄVLEBORGS LÄN</t>
        </is>
      </c>
      <c r="E12698" t="inlineStr">
        <is>
          <t>HUDIKSVALL</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48063-2024</t>
        </is>
      </c>
      <c r="B12699" s="1" t="n">
        <v>45589</v>
      </c>
      <c r="C12699" s="1" t="n">
        <v>45677</v>
      </c>
      <c r="D12699" t="inlineStr">
        <is>
          <t>GÄVLEBORGS LÄN</t>
        </is>
      </c>
      <c r="E12699" t="inlineStr">
        <is>
          <t>HOFORS</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47986-2024</t>
        </is>
      </c>
      <c r="B12700" s="1" t="n">
        <v>45589</v>
      </c>
      <c r="C12700" s="1" t="n">
        <v>45677</v>
      </c>
      <c r="D12700" t="inlineStr">
        <is>
          <t>GÄVLEBORGS LÄN</t>
        </is>
      </c>
      <c r="E12700" t="inlineStr">
        <is>
          <t>HUDIKSVALL</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47978-2024</t>
        </is>
      </c>
      <c r="B12701" s="1" t="n">
        <v>45589</v>
      </c>
      <c r="C12701" s="1" t="n">
        <v>45677</v>
      </c>
      <c r="D12701" t="inlineStr">
        <is>
          <t>GÄVLEBORGS LÄN</t>
        </is>
      </c>
      <c r="E12701" t="inlineStr">
        <is>
          <t>OVANÅKER</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47974-2024</t>
        </is>
      </c>
      <c r="B12702" s="1" t="n">
        <v>45589</v>
      </c>
      <c r="C12702" s="1" t="n">
        <v>45677</v>
      </c>
      <c r="D12702" t="inlineStr">
        <is>
          <t>GÄVLEBORGS LÄN</t>
        </is>
      </c>
      <c r="E12702" t="inlineStr">
        <is>
          <t>SANDVIKEN</t>
        </is>
      </c>
      <c r="F12702" t="inlineStr">
        <is>
          <t>Bergvik skog väst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47954-2024</t>
        </is>
      </c>
      <c r="B12703" s="1" t="n">
        <v>45589</v>
      </c>
      <c r="C12703" s="1" t="n">
        <v>45677</v>
      </c>
      <c r="D12703" t="inlineStr">
        <is>
          <t>GÄVLEBORGS LÄN</t>
        </is>
      </c>
      <c r="E12703" t="inlineStr">
        <is>
          <t>LJUSDAL</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48085-2024</t>
        </is>
      </c>
      <c r="B12704" s="1" t="n">
        <v>45589</v>
      </c>
      <c r="C12704" s="1" t="n">
        <v>45677</v>
      </c>
      <c r="D12704" t="inlineStr">
        <is>
          <t>GÄVLEBORGS LÄN</t>
        </is>
      </c>
      <c r="E12704" t="inlineStr">
        <is>
          <t>LJUSDAL</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48041-2024</t>
        </is>
      </c>
      <c r="B12705" s="1" t="n">
        <v>45589</v>
      </c>
      <c r="C12705" s="1" t="n">
        <v>45677</v>
      </c>
      <c r="D12705" t="inlineStr">
        <is>
          <t>GÄVLEBORGS LÄN</t>
        </is>
      </c>
      <c r="E12705" t="inlineStr">
        <is>
          <t>BOLLNÄS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47949-2024</t>
        </is>
      </c>
      <c r="B12706" s="1" t="n">
        <v>45589</v>
      </c>
      <c r="C12706" s="1" t="n">
        <v>45677</v>
      </c>
      <c r="D12706" t="inlineStr">
        <is>
          <t>GÄVLEBORGS LÄN</t>
        </is>
      </c>
      <c r="E12706" t="inlineStr">
        <is>
          <t>NORDANSTIG</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47940-2024</t>
        </is>
      </c>
      <c r="B12707" s="1" t="n">
        <v>45589</v>
      </c>
      <c r="C12707" s="1" t="n">
        <v>45677</v>
      </c>
      <c r="D12707" t="inlineStr">
        <is>
          <t>GÄVLEBORGS LÄN</t>
        </is>
      </c>
      <c r="E12707" t="inlineStr">
        <is>
          <t>LJUSDAL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47943-2024</t>
        </is>
      </c>
      <c r="B12708" s="1" t="n">
        <v>45589</v>
      </c>
      <c r="C12708" s="1" t="n">
        <v>45677</v>
      </c>
      <c r="D12708" t="inlineStr">
        <is>
          <t>GÄVLEBORGS LÄN</t>
        </is>
      </c>
      <c r="E12708" t="inlineStr">
        <is>
          <t>HUDIKSVALL</t>
        </is>
      </c>
      <c r="F12708" t="inlineStr">
        <is>
          <t>Holmen skog AB</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48148-2024</t>
        </is>
      </c>
      <c r="B12709" s="1" t="n">
        <v>45589</v>
      </c>
      <c r="C12709" s="1" t="n">
        <v>45677</v>
      </c>
      <c r="D12709" t="inlineStr">
        <is>
          <t>GÄVLEBORGS LÄN</t>
        </is>
      </c>
      <c r="E12709" t="inlineStr">
        <is>
          <t>LJUSDAL</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48279-2024</t>
        </is>
      </c>
      <c r="B12710" s="1" t="n">
        <v>45590</v>
      </c>
      <c r="C12710" s="1" t="n">
        <v>45677</v>
      </c>
      <c r="D12710" t="inlineStr">
        <is>
          <t>GÄVLEBORGS LÄN</t>
        </is>
      </c>
      <c r="E12710" t="inlineStr">
        <is>
          <t>HUDIKSVALL</t>
        </is>
      </c>
      <c r="F12710" t="inlineStr">
        <is>
          <t>Holmen skog AB</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48283-2024</t>
        </is>
      </c>
      <c r="B12711" s="1" t="n">
        <v>45590</v>
      </c>
      <c r="C12711" s="1" t="n">
        <v>45677</v>
      </c>
      <c r="D12711" t="inlineStr">
        <is>
          <t>GÄVLEBORGS LÄN</t>
        </is>
      </c>
      <c r="E12711" t="inlineStr">
        <is>
          <t>LJUSDAL</t>
        </is>
      </c>
      <c r="G12711" t="n">
        <v>8.800000000000001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48295-2024</t>
        </is>
      </c>
      <c r="B12712" s="1" t="n">
        <v>45590</v>
      </c>
      <c r="C12712" s="1" t="n">
        <v>45677</v>
      </c>
      <c r="D12712" t="inlineStr">
        <is>
          <t>GÄVLEBORGS LÄN</t>
        </is>
      </c>
      <c r="E12712" t="inlineStr">
        <is>
          <t>BOLLNÄS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48220-2024</t>
        </is>
      </c>
      <c r="B12713" s="1" t="n">
        <v>45590</v>
      </c>
      <c r="C12713" s="1" t="n">
        <v>45677</v>
      </c>
      <c r="D12713" t="inlineStr">
        <is>
          <t>GÄVLEBORGS LÄN</t>
        </is>
      </c>
      <c r="E12713" t="inlineStr">
        <is>
          <t>SANDVIKEN</t>
        </is>
      </c>
      <c r="F12713" t="inlineStr">
        <is>
          <t>Bergvik skog öst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48268-2024</t>
        </is>
      </c>
      <c r="B12714" s="1" t="n">
        <v>45590</v>
      </c>
      <c r="C12714" s="1" t="n">
        <v>45677</v>
      </c>
      <c r="D12714" t="inlineStr">
        <is>
          <t>GÄVLEBORGS LÄN</t>
        </is>
      </c>
      <c r="E12714" t="inlineStr">
        <is>
          <t>GÄVLE</t>
        </is>
      </c>
      <c r="F12714" t="inlineStr">
        <is>
          <t>Bergvik skog öst AB</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48308-2024</t>
        </is>
      </c>
      <c r="B12715" s="1" t="n">
        <v>45590</v>
      </c>
      <c r="C12715" s="1" t="n">
        <v>45677</v>
      </c>
      <c r="D12715" t="inlineStr">
        <is>
          <t>GÄVLEBORGS LÄN</t>
        </is>
      </c>
      <c r="E12715" t="inlineStr">
        <is>
          <t>BOLLNÄS</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48329-2024</t>
        </is>
      </c>
      <c r="B12716" s="1" t="n">
        <v>45590</v>
      </c>
      <c r="C12716" s="1" t="n">
        <v>45677</v>
      </c>
      <c r="D12716" t="inlineStr">
        <is>
          <t>GÄVLEBORGS LÄN</t>
        </is>
      </c>
      <c r="E12716" t="inlineStr">
        <is>
          <t>GÄVLE</t>
        </is>
      </c>
      <c r="F12716" t="inlineStr">
        <is>
          <t>Bergvik skog väst AB</t>
        </is>
      </c>
      <c r="G12716" t="n">
        <v>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48425-2024</t>
        </is>
      </c>
      <c r="B12717" s="1" t="n">
        <v>45590</v>
      </c>
      <c r="C12717" s="1" t="n">
        <v>45677</v>
      </c>
      <c r="D12717" t="inlineStr">
        <is>
          <t>GÄVLEBORGS LÄN</t>
        </is>
      </c>
      <c r="E12717" t="inlineStr">
        <is>
          <t>SANDVIKEN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48413-2024</t>
        </is>
      </c>
      <c r="B12718" s="1" t="n">
        <v>45590</v>
      </c>
      <c r="C12718" s="1" t="n">
        <v>45677</v>
      </c>
      <c r="D12718" t="inlineStr">
        <is>
          <t>GÄVLEBORGS LÄN</t>
        </is>
      </c>
      <c r="E12718" t="inlineStr">
        <is>
          <t>LJUSDAL</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48317-2024</t>
        </is>
      </c>
      <c r="B12719" s="1" t="n">
        <v>45590</v>
      </c>
      <c r="C12719" s="1" t="n">
        <v>45677</v>
      </c>
      <c r="D12719" t="inlineStr">
        <is>
          <t>GÄVLEBORGS LÄN</t>
        </is>
      </c>
      <c r="E12719" t="inlineStr">
        <is>
          <t>BOLLNÄS</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48313-2024</t>
        </is>
      </c>
      <c r="B12720" s="1" t="n">
        <v>45590</v>
      </c>
      <c r="C12720" s="1" t="n">
        <v>45677</v>
      </c>
      <c r="D12720" t="inlineStr">
        <is>
          <t>GÄVLEBORGS LÄN</t>
        </is>
      </c>
      <c r="E12720" t="inlineStr">
        <is>
          <t>SÖDERHAMN</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48435-2024</t>
        </is>
      </c>
      <c r="B12721" s="1" t="n">
        <v>45590</v>
      </c>
      <c r="C12721" s="1" t="n">
        <v>45677</v>
      </c>
      <c r="D12721" t="inlineStr">
        <is>
          <t>GÄVLEBORGS LÄN</t>
        </is>
      </c>
      <c r="E12721" t="inlineStr">
        <is>
          <t>SANDVIKEN</t>
        </is>
      </c>
      <c r="G12721" t="n">
        <v>6.7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48221-2024</t>
        </is>
      </c>
      <c r="B12722" s="1" t="n">
        <v>45590</v>
      </c>
      <c r="C12722" s="1" t="n">
        <v>45677</v>
      </c>
      <c r="D12722" t="inlineStr">
        <is>
          <t>GÄVLEBORGS LÄN</t>
        </is>
      </c>
      <c r="E12722" t="inlineStr">
        <is>
          <t>OCKELBO</t>
        </is>
      </c>
      <c r="F12722" t="inlineStr">
        <is>
          <t>Bergvik skog väst AB</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48212-2024</t>
        </is>
      </c>
      <c r="B12723" s="1" t="n">
        <v>45590</v>
      </c>
      <c r="C12723" s="1" t="n">
        <v>45677</v>
      </c>
      <c r="D12723" t="inlineStr">
        <is>
          <t>GÄVLEBORGS LÄN</t>
        </is>
      </c>
      <c r="E12723" t="inlineStr">
        <is>
          <t>NORDANSTIG</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48310-2024</t>
        </is>
      </c>
      <c r="B12724" s="1" t="n">
        <v>45590</v>
      </c>
      <c r="C12724" s="1" t="n">
        <v>45677</v>
      </c>
      <c r="D12724" t="inlineStr">
        <is>
          <t>GÄVLEBORGS LÄN</t>
        </is>
      </c>
      <c r="E12724" t="inlineStr">
        <is>
          <t>BOLLNÄS</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48270-2024</t>
        </is>
      </c>
      <c r="B12725" s="1" t="n">
        <v>45590</v>
      </c>
      <c r="C12725" s="1" t="n">
        <v>45677</v>
      </c>
      <c r="D12725" t="inlineStr">
        <is>
          <t>GÄVLEBORGS LÄN</t>
        </is>
      </c>
      <c r="E12725" t="inlineStr">
        <is>
          <t>BOLLNÄS</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48262-2024</t>
        </is>
      </c>
      <c r="B12726" s="1" t="n">
        <v>45590</v>
      </c>
      <c r="C12726" s="1" t="n">
        <v>45677</v>
      </c>
      <c r="D12726" t="inlineStr">
        <is>
          <t>GÄVLEBORGS LÄN</t>
        </is>
      </c>
      <c r="E12726" t="inlineStr">
        <is>
          <t>GÄVLE</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48367-2024</t>
        </is>
      </c>
      <c r="B12727" s="1" t="n">
        <v>45590</v>
      </c>
      <c r="C12727" s="1" t="n">
        <v>45677</v>
      </c>
      <c r="D12727" t="inlineStr">
        <is>
          <t>GÄVLEBORGS LÄN</t>
        </is>
      </c>
      <c r="E12727" t="inlineStr">
        <is>
          <t>HUDIKSVALL</t>
        </is>
      </c>
      <c r="F12727" t="inlineStr">
        <is>
          <t>Holmen skog AB</t>
        </is>
      </c>
      <c r="G12727" t="n">
        <v>17.6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48340-2024</t>
        </is>
      </c>
      <c r="B12728" s="1" t="n">
        <v>45590</v>
      </c>
      <c r="C12728" s="1" t="n">
        <v>45677</v>
      </c>
      <c r="D12728" t="inlineStr">
        <is>
          <t>GÄVLEBORGS LÄN</t>
        </is>
      </c>
      <c r="E12728" t="inlineStr">
        <is>
          <t>SÖDERHAMN</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48319-2024</t>
        </is>
      </c>
      <c r="B12729" s="1" t="n">
        <v>45590</v>
      </c>
      <c r="C12729" s="1" t="n">
        <v>45677</v>
      </c>
      <c r="D12729" t="inlineStr">
        <is>
          <t>GÄVLEBORGS LÄN</t>
        </is>
      </c>
      <c r="E12729" t="inlineStr">
        <is>
          <t>GÄVLE</t>
        </is>
      </c>
      <c r="F12729" t="inlineStr">
        <is>
          <t>Bergvik skog väst AB</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48291-2024</t>
        </is>
      </c>
      <c r="B12730" s="1" t="n">
        <v>45590</v>
      </c>
      <c r="C12730" s="1" t="n">
        <v>45677</v>
      </c>
      <c r="D12730" t="inlineStr">
        <is>
          <t>GÄVLEBORGS LÄN</t>
        </is>
      </c>
      <c r="E12730" t="inlineStr">
        <is>
          <t>GÄVLE</t>
        </is>
      </c>
      <c r="F12730" t="inlineStr">
        <is>
          <t>Bergvik skog väst AB</t>
        </is>
      </c>
      <c r="G12730" t="n">
        <v>10.3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48263-2024</t>
        </is>
      </c>
      <c r="B12731" s="1" t="n">
        <v>45590</v>
      </c>
      <c r="C12731" s="1" t="n">
        <v>45677</v>
      </c>
      <c r="D12731" t="inlineStr">
        <is>
          <t>GÄVLEBORGS LÄN</t>
        </is>
      </c>
      <c r="E12731" t="inlineStr">
        <is>
          <t>GÄVLE</t>
        </is>
      </c>
      <c r="F12731" t="inlineStr">
        <is>
          <t>Bergvik skog öst AB</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48580-2024</t>
        </is>
      </c>
      <c r="B12732" s="1" t="n">
        <v>45593</v>
      </c>
      <c r="C12732" s="1" t="n">
        <v>45677</v>
      </c>
      <c r="D12732" t="inlineStr">
        <is>
          <t>GÄVLEBORGS LÄN</t>
        </is>
      </c>
      <c r="E12732" t="inlineStr">
        <is>
          <t>LJUSDAL</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48668-2024</t>
        </is>
      </c>
      <c r="B12733" s="1" t="n">
        <v>45593</v>
      </c>
      <c r="C12733" s="1" t="n">
        <v>45677</v>
      </c>
      <c r="D12733" t="inlineStr">
        <is>
          <t>GÄVLEBORGS LÄN</t>
        </is>
      </c>
      <c r="E12733" t="inlineStr">
        <is>
          <t>GÄVLE</t>
        </is>
      </c>
      <c r="F12733" t="inlineStr">
        <is>
          <t>Bergvik skog öst AB</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48680-2024</t>
        </is>
      </c>
      <c r="B12734" s="1" t="n">
        <v>45593</v>
      </c>
      <c r="C12734" s="1" t="n">
        <v>45677</v>
      </c>
      <c r="D12734" t="inlineStr">
        <is>
          <t>GÄVLEBORGS LÄN</t>
        </is>
      </c>
      <c r="E12734" t="inlineStr">
        <is>
          <t>LJUSDAL</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48700-2024</t>
        </is>
      </c>
      <c r="B12735" s="1" t="n">
        <v>45593</v>
      </c>
      <c r="C12735" s="1" t="n">
        <v>45677</v>
      </c>
      <c r="D12735" t="inlineStr">
        <is>
          <t>GÄVLEBORGS LÄN</t>
        </is>
      </c>
      <c r="E12735" t="inlineStr">
        <is>
          <t>SÖDERHAMN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48593-2024</t>
        </is>
      </c>
      <c r="B12736" s="1" t="n">
        <v>45593</v>
      </c>
      <c r="C12736" s="1" t="n">
        <v>45677</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48597-2024</t>
        </is>
      </c>
      <c r="B12737" s="1" t="n">
        <v>45593</v>
      </c>
      <c r="C12737" s="1" t="n">
        <v>45677</v>
      </c>
      <c r="D12737" t="inlineStr">
        <is>
          <t>GÄVLEBORGS LÄN</t>
        </is>
      </c>
      <c r="E12737" t="inlineStr">
        <is>
          <t>HUDIKSVALL</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48625-2024</t>
        </is>
      </c>
      <c r="B12738" s="1" t="n">
        <v>45593</v>
      </c>
      <c r="C12738" s="1" t="n">
        <v>45677</v>
      </c>
      <c r="D12738" t="inlineStr">
        <is>
          <t>GÄVLEBORGS LÄN</t>
        </is>
      </c>
      <c r="E12738" t="inlineStr">
        <is>
          <t>GÄVLE</t>
        </is>
      </c>
      <c r="F12738" t="inlineStr">
        <is>
          <t>Bergvik skog öst AB</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48645-2024</t>
        </is>
      </c>
      <c r="B12739" s="1" t="n">
        <v>45593</v>
      </c>
      <c r="C12739" s="1" t="n">
        <v>45677</v>
      </c>
      <c r="D12739" t="inlineStr">
        <is>
          <t>GÄVLEBORGS LÄN</t>
        </is>
      </c>
      <c r="E12739" t="inlineStr">
        <is>
          <t>HUDIKSVALL</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48649-2024</t>
        </is>
      </c>
      <c r="B12740" s="1" t="n">
        <v>45593</v>
      </c>
      <c r="C12740" s="1" t="n">
        <v>45677</v>
      </c>
      <c r="D12740" t="inlineStr">
        <is>
          <t>GÄVLEBORGS LÄN</t>
        </is>
      </c>
      <c r="E12740" t="inlineStr">
        <is>
          <t>HUDIKSVALL</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48713-2024</t>
        </is>
      </c>
      <c r="B12741" s="1" t="n">
        <v>45593</v>
      </c>
      <c r="C12741" s="1" t="n">
        <v>45677</v>
      </c>
      <c r="D12741" t="inlineStr">
        <is>
          <t>GÄVLEBORGS LÄN</t>
        </is>
      </c>
      <c r="E12741" t="inlineStr">
        <is>
          <t>BOLLNÄS</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48826-2024</t>
        </is>
      </c>
      <c r="B12742" s="1" t="n">
        <v>45593</v>
      </c>
      <c r="C12742" s="1" t="n">
        <v>45677</v>
      </c>
      <c r="D12742" t="inlineStr">
        <is>
          <t>GÄVLEBORGS LÄN</t>
        </is>
      </c>
      <c r="E12742" t="inlineStr">
        <is>
          <t>OCKELBO</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48638-2024</t>
        </is>
      </c>
      <c r="B12743" s="1" t="n">
        <v>45593</v>
      </c>
      <c r="C12743" s="1" t="n">
        <v>45677</v>
      </c>
      <c r="D12743" t="inlineStr">
        <is>
          <t>GÄVLEBORGS LÄN</t>
        </is>
      </c>
      <c r="E12743" t="inlineStr">
        <is>
          <t>HUDIKSVALL</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48646-2024</t>
        </is>
      </c>
      <c r="B12744" s="1" t="n">
        <v>45593</v>
      </c>
      <c r="C12744" s="1" t="n">
        <v>45677</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48718-2024</t>
        </is>
      </c>
      <c r="B12745" s="1" t="n">
        <v>45593</v>
      </c>
      <c r="C12745" s="1" t="n">
        <v>45677</v>
      </c>
      <c r="D12745" t="inlineStr">
        <is>
          <t>GÄVLEBORGS LÄN</t>
        </is>
      </c>
      <c r="E12745" t="inlineStr">
        <is>
          <t>LJUSDAL</t>
        </is>
      </c>
      <c r="G12745" t="n">
        <v>22.2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48755-2024</t>
        </is>
      </c>
      <c r="B12746" s="1" t="n">
        <v>45593</v>
      </c>
      <c r="C12746" s="1" t="n">
        <v>45677</v>
      </c>
      <c r="D12746" t="inlineStr">
        <is>
          <t>GÄVLEBORGS LÄN</t>
        </is>
      </c>
      <c r="E12746" t="inlineStr">
        <is>
          <t>OVANÅKER</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48803-2024</t>
        </is>
      </c>
      <c r="B12747" s="1" t="n">
        <v>45593</v>
      </c>
      <c r="C12747" s="1" t="n">
        <v>45677</v>
      </c>
      <c r="D12747" t="inlineStr">
        <is>
          <t>GÄVLEBORGS LÄN</t>
        </is>
      </c>
      <c r="E12747" t="inlineStr">
        <is>
          <t>OCKELBO</t>
        </is>
      </c>
      <c r="G12747" t="n">
        <v>9.4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48807-2024</t>
        </is>
      </c>
      <c r="B12748" s="1" t="n">
        <v>45593</v>
      </c>
      <c r="C12748" s="1" t="n">
        <v>45677</v>
      </c>
      <c r="D12748" t="inlineStr">
        <is>
          <t>GÄVLEBORGS LÄN</t>
        </is>
      </c>
      <c r="E12748" t="inlineStr">
        <is>
          <t>OCKELBO</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48844-2024</t>
        </is>
      </c>
      <c r="B12749" s="1" t="n">
        <v>45593</v>
      </c>
      <c r="C12749" s="1" t="n">
        <v>45677</v>
      </c>
      <c r="D12749" t="inlineStr">
        <is>
          <t>GÄVLEBORGS LÄN</t>
        </is>
      </c>
      <c r="E12749" t="inlineStr">
        <is>
          <t>HOFORS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48848-2024</t>
        </is>
      </c>
      <c r="B12750" s="1" t="n">
        <v>45593</v>
      </c>
      <c r="C12750" s="1" t="n">
        <v>45677</v>
      </c>
      <c r="D12750" t="inlineStr">
        <is>
          <t>GÄVLEBORGS LÄN</t>
        </is>
      </c>
      <c r="E12750" t="inlineStr">
        <is>
          <t>LJUSDAL</t>
        </is>
      </c>
      <c r="F12750" t="inlineStr">
        <is>
          <t>Bergvik skog väst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48834-2024</t>
        </is>
      </c>
      <c r="B12751" s="1" t="n">
        <v>45593</v>
      </c>
      <c r="C12751" s="1" t="n">
        <v>45677</v>
      </c>
      <c r="D12751" t="inlineStr">
        <is>
          <t>GÄVLEBORGS LÄN</t>
        </is>
      </c>
      <c r="E12751" t="inlineStr">
        <is>
          <t>GÄVLE</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48804-2024</t>
        </is>
      </c>
      <c r="B12752" s="1" t="n">
        <v>45593</v>
      </c>
      <c r="C12752" s="1" t="n">
        <v>45677</v>
      </c>
      <c r="D12752" t="inlineStr">
        <is>
          <t>GÄVLEBORGS LÄN</t>
        </is>
      </c>
      <c r="E12752" t="inlineStr">
        <is>
          <t>OCKELBO</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48847-2024</t>
        </is>
      </c>
      <c r="B12753" s="1" t="n">
        <v>45593</v>
      </c>
      <c r="C12753" s="1" t="n">
        <v>45677</v>
      </c>
      <c r="D12753" t="inlineStr">
        <is>
          <t>GÄVLEBORGS LÄN</t>
        </is>
      </c>
      <c r="E12753" t="inlineStr">
        <is>
          <t>LJUSDAL</t>
        </is>
      </c>
      <c r="F12753" t="inlineStr">
        <is>
          <t>Bergvik skog väst AB</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48797-2024</t>
        </is>
      </c>
      <c r="B12754" s="1" t="n">
        <v>45593</v>
      </c>
      <c r="C12754" s="1" t="n">
        <v>45677</v>
      </c>
      <c r="D12754" t="inlineStr">
        <is>
          <t>GÄVLEBORGS LÄN</t>
        </is>
      </c>
      <c r="E12754" t="inlineStr">
        <is>
          <t>SÖDERHAMN</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48765-2024</t>
        </is>
      </c>
      <c r="B12755" s="1" t="n">
        <v>45593</v>
      </c>
      <c r="C12755" s="1" t="n">
        <v>45677</v>
      </c>
      <c r="D12755" t="inlineStr">
        <is>
          <t>GÄVLEBORGS LÄN</t>
        </is>
      </c>
      <c r="E12755" t="inlineStr">
        <is>
          <t>SÖDERHAMN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48757-2024</t>
        </is>
      </c>
      <c r="B12756" s="1" t="n">
        <v>45593</v>
      </c>
      <c r="C12756" s="1" t="n">
        <v>45677</v>
      </c>
      <c r="D12756" t="inlineStr">
        <is>
          <t>GÄVLEBORGS LÄN</t>
        </is>
      </c>
      <c r="E12756" t="inlineStr">
        <is>
          <t>OVANÅKER</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48655-2024</t>
        </is>
      </c>
      <c r="B12757" s="1" t="n">
        <v>45593</v>
      </c>
      <c r="C12757" s="1" t="n">
        <v>45677</v>
      </c>
      <c r="D12757" t="inlineStr">
        <is>
          <t>GÄVLEBORGS LÄN</t>
        </is>
      </c>
      <c r="E12757" t="inlineStr">
        <is>
          <t>HUDIKSVALL</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48643-2024</t>
        </is>
      </c>
      <c r="B12758" s="1" t="n">
        <v>45593</v>
      </c>
      <c r="C12758" s="1" t="n">
        <v>45677</v>
      </c>
      <c r="D12758" t="inlineStr">
        <is>
          <t>GÄVLEBORGS LÄN</t>
        </is>
      </c>
      <c r="E12758" t="inlineStr">
        <is>
          <t>NORDANSTIG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48639-2024</t>
        </is>
      </c>
      <c r="B12759" s="1" t="n">
        <v>45593</v>
      </c>
      <c r="C12759" s="1" t="n">
        <v>45677</v>
      </c>
      <c r="D12759" t="inlineStr">
        <is>
          <t>GÄVLEBORGS LÄN</t>
        </is>
      </c>
      <c r="E12759" t="inlineStr">
        <is>
          <t>GÄVLE</t>
        </is>
      </c>
      <c r="F12759" t="inlineStr">
        <is>
          <t>Bergvik skog öst AB</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48631-2024</t>
        </is>
      </c>
      <c r="B12760" s="1" t="n">
        <v>45593</v>
      </c>
      <c r="C12760" s="1" t="n">
        <v>45677</v>
      </c>
      <c r="D12760" t="inlineStr">
        <is>
          <t>GÄVLEBORGS LÄN</t>
        </is>
      </c>
      <c r="E12760" t="inlineStr">
        <is>
          <t>NORDANSTIG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48636-2024</t>
        </is>
      </c>
      <c r="B12761" s="1" t="n">
        <v>45593</v>
      </c>
      <c r="C12761" s="1" t="n">
        <v>45677</v>
      </c>
      <c r="D12761" t="inlineStr">
        <is>
          <t>GÄVLEBORGS LÄN</t>
        </is>
      </c>
      <c r="E12761" t="inlineStr">
        <is>
          <t>NORDANSTIG</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48628-2024</t>
        </is>
      </c>
      <c r="B12762" s="1" t="n">
        <v>45593</v>
      </c>
      <c r="C12762" s="1" t="n">
        <v>45677</v>
      </c>
      <c r="D12762" t="inlineStr">
        <is>
          <t>GÄVLEBORGS LÄN</t>
        </is>
      </c>
      <c r="E12762" t="inlineStr">
        <is>
          <t>OCKELBO</t>
        </is>
      </c>
      <c r="G12762" t="n">
        <v>7.9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48555-2024</t>
        </is>
      </c>
      <c r="B12763" s="1" t="n">
        <v>45593</v>
      </c>
      <c r="C12763" s="1" t="n">
        <v>45677</v>
      </c>
      <c r="D12763" t="inlineStr">
        <is>
          <t>GÄVLEBORGS LÄN</t>
        </is>
      </c>
      <c r="E12763" t="inlineStr">
        <is>
          <t>LJUSDAL</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48979-2024</t>
        </is>
      </c>
      <c r="B12764" s="1" t="n">
        <v>45594</v>
      </c>
      <c r="C12764" s="1" t="n">
        <v>45677</v>
      </c>
      <c r="D12764" t="inlineStr">
        <is>
          <t>GÄVLEBORGS LÄN</t>
        </is>
      </c>
      <c r="E12764" t="inlineStr">
        <is>
          <t>GÄVLE</t>
        </is>
      </c>
      <c r="F12764" t="inlineStr">
        <is>
          <t>Bergvik skog öst AB</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48888-2024</t>
        </is>
      </c>
      <c r="B12765" s="1" t="n">
        <v>45594</v>
      </c>
      <c r="C12765" s="1" t="n">
        <v>45677</v>
      </c>
      <c r="D12765" t="inlineStr">
        <is>
          <t>GÄVLEBORGS LÄN</t>
        </is>
      </c>
      <c r="E12765" t="inlineStr">
        <is>
          <t>HUDIKSVALL</t>
        </is>
      </c>
      <c r="F12765" t="inlineStr">
        <is>
          <t>Holmen skog AB</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48932-2024</t>
        </is>
      </c>
      <c r="B12766" s="1" t="n">
        <v>45594</v>
      </c>
      <c r="C12766" s="1" t="n">
        <v>45677</v>
      </c>
      <c r="D12766" t="inlineStr">
        <is>
          <t>GÄVLEBORGS LÄN</t>
        </is>
      </c>
      <c r="E12766" t="inlineStr">
        <is>
          <t>GÄVLE</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48960-2024</t>
        </is>
      </c>
      <c r="B12767" s="1" t="n">
        <v>45594</v>
      </c>
      <c r="C12767" s="1" t="n">
        <v>45677</v>
      </c>
      <c r="D12767" t="inlineStr">
        <is>
          <t>GÄVLEBORGS LÄN</t>
        </is>
      </c>
      <c r="E12767" t="inlineStr">
        <is>
          <t>GÄVLE</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48906-2024</t>
        </is>
      </c>
      <c r="B12768" s="1" t="n">
        <v>45594</v>
      </c>
      <c r="C12768" s="1" t="n">
        <v>45677</v>
      </c>
      <c r="D12768" t="inlineStr">
        <is>
          <t>GÄVLEBORGS LÄN</t>
        </is>
      </c>
      <c r="E12768" t="inlineStr">
        <is>
          <t>HUDIKSVALL</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49088-2024</t>
        </is>
      </c>
      <c r="B12769" s="1" t="n">
        <v>45594</v>
      </c>
      <c r="C12769" s="1" t="n">
        <v>45677</v>
      </c>
      <c r="D12769" t="inlineStr">
        <is>
          <t>GÄVLEBORGS LÄN</t>
        </is>
      </c>
      <c r="E12769" t="inlineStr">
        <is>
          <t>BOLLNÄS</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49082-2024</t>
        </is>
      </c>
      <c r="B12770" s="1" t="n">
        <v>45594</v>
      </c>
      <c r="C12770" s="1" t="n">
        <v>45677</v>
      </c>
      <c r="D12770" t="inlineStr">
        <is>
          <t>GÄVLEBORGS LÄN</t>
        </is>
      </c>
      <c r="E12770" t="inlineStr">
        <is>
          <t>BOLLNÄS</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49098-2024</t>
        </is>
      </c>
      <c r="B12771" s="1" t="n">
        <v>45594</v>
      </c>
      <c r="C12771" s="1" t="n">
        <v>45677</v>
      </c>
      <c r="D12771" t="inlineStr">
        <is>
          <t>GÄVLEBORGS LÄN</t>
        </is>
      </c>
      <c r="E12771" t="inlineStr">
        <is>
          <t>BOLLNÄS</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49096-2024</t>
        </is>
      </c>
      <c r="B12772" s="1" t="n">
        <v>45594</v>
      </c>
      <c r="C12772" s="1" t="n">
        <v>45677</v>
      </c>
      <c r="D12772" t="inlineStr">
        <is>
          <t>GÄVLEBORGS LÄN</t>
        </is>
      </c>
      <c r="E12772" t="inlineStr">
        <is>
          <t>HUDIKSVALL</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48913-2024</t>
        </is>
      </c>
      <c r="B12773" s="1" t="n">
        <v>45594</v>
      </c>
      <c r="C12773" s="1" t="n">
        <v>45677</v>
      </c>
      <c r="D12773" t="inlineStr">
        <is>
          <t>GÄVLEBORGS LÄN</t>
        </is>
      </c>
      <c r="E12773" t="inlineStr">
        <is>
          <t>GÄVLE</t>
        </is>
      </c>
      <c r="F12773" t="inlineStr">
        <is>
          <t>Bergvik skog öst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48943-2024</t>
        </is>
      </c>
      <c r="B12774" s="1" t="n">
        <v>45594</v>
      </c>
      <c r="C12774" s="1" t="n">
        <v>45677</v>
      </c>
      <c r="D12774" t="inlineStr">
        <is>
          <t>GÄVLEBORGS LÄN</t>
        </is>
      </c>
      <c r="E12774" t="inlineStr">
        <is>
          <t>SÖDERHAMN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48931-2024</t>
        </is>
      </c>
      <c r="B12775" s="1" t="n">
        <v>45594</v>
      </c>
      <c r="C12775" s="1" t="n">
        <v>45677</v>
      </c>
      <c r="D12775" t="inlineStr">
        <is>
          <t>GÄVLEBORGS LÄN</t>
        </is>
      </c>
      <c r="E12775" t="inlineStr">
        <is>
          <t>LJUSDAL</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48907-2024</t>
        </is>
      </c>
      <c r="B12776" s="1" t="n">
        <v>45594</v>
      </c>
      <c r="C12776" s="1" t="n">
        <v>45677</v>
      </c>
      <c r="D12776" t="inlineStr">
        <is>
          <t>GÄVLEBORGS LÄN</t>
        </is>
      </c>
      <c r="E12776" t="inlineStr">
        <is>
          <t>OVANÅKER</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49105-2024</t>
        </is>
      </c>
      <c r="B12777" s="1" t="n">
        <v>45594</v>
      </c>
      <c r="C12777" s="1" t="n">
        <v>45677</v>
      </c>
      <c r="D12777" t="inlineStr">
        <is>
          <t>GÄVLEBORGS LÄN</t>
        </is>
      </c>
      <c r="E12777" t="inlineStr">
        <is>
          <t>HUDIKSVALL</t>
        </is>
      </c>
      <c r="G12777" t="n">
        <v>25.3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49161-2024</t>
        </is>
      </c>
      <c r="B12778" s="1" t="n">
        <v>45594</v>
      </c>
      <c r="C12778" s="1" t="n">
        <v>45677</v>
      </c>
      <c r="D12778" t="inlineStr">
        <is>
          <t>GÄVLEBORGS LÄN</t>
        </is>
      </c>
      <c r="E12778" t="inlineStr">
        <is>
          <t>HUDIKSVALL</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48973-2024</t>
        </is>
      </c>
      <c r="B12779" s="1" t="n">
        <v>45594</v>
      </c>
      <c r="C12779" s="1" t="n">
        <v>45677</v>
      </c>
      <c r="D12779" t="inlineStr">
        <is>
          <t>GÄVLEBORGS LÄN</t>
        </is>
      </c>
      <c r="E12779" t="inlineStr">
        <is>
          <t>GÄVLE</t>
        </is>
      </c>
      <c r="F12779" t="inlineStr">
        <is>
          <t>Bergvik skog öst AB</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49067-2024</t>
        </is>
      </c>
      <c r="B12780" s="1" t="n">
        <v>45594</v>
      </c>
      <c r="C12780" s="1" t="n">
        <v>45677</v>
      </c>
      <c r="D12780" t="inlineStr">
        <is>
          <t>GÄVLEBORGS LÄN</t>
        </is>
      </c>
      <c r="E12780" t="inlineStr">
        <is>
          <t>BOLLNÄS</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49083-2024</t>
        </is>
      </c>
      <c r="B12781" s="1" t="n">
        <v>45594</v>
      </c>
      <c r="C12781" s="1" t="n">
        <v>45677</v>
      </c>
      <c r="D12781" t="inlineStr">
        <is>
          <t>GÄVLEBORGS LÄN</t>
        </is>
      </c>
      <c r="E12781" t="inlineStr">
        <is>
          <t>HOFORS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49099-2024</t>
        </is>
      </c>
      <c r="B12782" s="1" t="n">
        <v>45594</v>
      </c>
      <c r="C12782" s="1" t="n">
        <v>45677</v>
      </c>
      <c r="D12782" t="inlineStr">
        <is>
          <t>GÄVLEBORGS LÄN</t>
        </is>
      </c>
      <c r="E12782" t="inlineStr">
        <is>
          <t>BOLLNÄS</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49202-2024</t>
        </is>
      </c>
      <c r="B12783" s="1" t="n">
        <v>45595</v>
      </c>
      <c r="C12783" s="1" t="n">
        <v>45677</v>
      </c>
      <c r="D12783" t="inlineStr">
        <is>
          <t>GÄVLEBORGS LÄN</t>
        </is>
      </c>
      <c r="E12783" t="inlineStr">
        <is>
          <t>OVANÅKER</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49209-2024</t>
        </is>
      </c>
      <c r="B12784" s="1" t="n">
        <v>45595</v>
      </c>
      <c r="C12784" s="1" t="n">
        <v>45677</v>
      </c>
      <c r="D12784" t="inlineStr">
        <is>
          <t>GÄVLEBORGS LÄN</t>
        </is>
      </c>
      <c r="E12784" t="inlineStr">
        <is>
          <t>SANDVIKEN</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49210-2024</t>
        </is>
      </c>
      <c r="B12785" s="1" t="n">
        <v>45595</v>
      </c>
      <c r="C12785" s="1" t="n">
        <v>45677</v>
      </c>
      <c r="D12785" t="inlineStr">
        <is>
          <t>GÄVLEBORGS LÄN</t>
        </is>
      </c>
      <c r="E12785" t="inlineStr">
        <is>
          <t>LJUSDAL</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49224-2024</t>
        </is>
      </c>
      <c r="B12786" s="1" t="n">
        <v>45595</v>
      </c>
      <c r="C12786" s="1" t="n">
        <v>45677</v>
      </c>
      <c r="D12786" t="inlineStr">
        <is>
          <t>GÄVLEBORGS LÄN</t>
        </is>
      </c>
      <c r="E12786" t="inlineStr">
        <is>
          <t>OVANÅKER</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49281-2024</t>
        </is>
      </c>
      <c r="B12787" s="1" t="n">
        <v>45595</v>
      </c>
      <c r="C12787" s="1" t="n">
        <v>45677</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49282-2024</t>
        </is>
      </c>
      <c r="B12788" s="1" t="n">
        <v>45595</v>
      </c>
      <c r="C12788" s="1" t="n">
        <v>45677</v>
      </c>
      <c r="D12788" t="inlineStr">
        <is>
          <t>GÄVLEBORGS LÄN</t>
        </is>
      </c>
      <c r="E12788" t="inlineStr">
        <is>
          <t>SÖDERHAMN</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49264-2024</t>
        </is>
      </c>
      <c r="B12789" s="1" t="n">
        <v>45595</v>
      </c>
      <c r="C12789" s="1" t="n">
        <v>45677</v>
      </c>
      <c r="D12789" t="inlineStr">
        <is>
          <t>GÄVLEBORGS LÄN</t>
        </is>
      </c>
      <c r="E12789" t="inlineStr">
        <is>
          <t>BOLLNÄS</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49272-2024</t>
        </is>
      </c>
      <c r="B12790" s="1" t="n">
        <v>45595</v>
      </c>
      <c r="C12790" s="1" t="n">
        <v>45677</v>
      </c>
      <c r="D12790" t="inlineStr">
        <is>
          <t>GÄVLEBORGS LÄN</t>
        </is>
      </c>
      <c r="E12790" t="inlineStr">
        <is>
          <t>HUDIKSVALL</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49280-2024</t>
        </is>
      </c>
      <c r="B12791" s="1" t="n">
        <v>45595</v>
      </c>
      <c r="C12791" s="1" t="n">
        <v>45677</v>
      </c>
      <c r="D12791" t="inlineStr">
        <is>
          <t>GÄVLEBORGS LÄN</t>
        </is>
      </c>
      <c r="E12791" t="inlineStr">
        <is>
          <t>LJUSDAL</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49300-2024</t>
        </is>
      </c>
      <c r="B12792" s="1" t="n">
        <v>45595</v>
      </c>
      <c r="C12792" s="1" t="n">
        <v>45677</v>
      </c>
      <c r="D12792" t="inlineStr">
        <is>
          <t>GÄVLEBORGS LÄN</t>
        </is>
      </c>
      <c r="E12792" t="inlineStr">
        <is>
          <t>NORDANSTIG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49321-2024</t>
        </is>
      </c>
      <c r="B12793" s="1" t="n">
        <v>45595</v>
      </c>
      <c r="C12793" s="1" t="n">
        <v>45677</v>
      </c>
      <c r="D12793" t="inlineStr">
        <is>
          <t>GÄVLEBORGS LÄN</t>
        </is>
      </c>
      <c r="E12793" t="inlineStr">
        <is>
          <t>OVANÅKER</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49381-2024</t>
        </is>
      </c>
      <c r="B12794" s="1" t="n">
        <v>45595</v>
      </c>
      <c r="C12794" s="1" t="n">
        <v>45677</v>
      </c>
      <c r="D12794" t="inlineStr">
        <is>
          <t>GÄVLEBORGS LÄN</t>
        </is>
      </c>
      <c r="E12794" t="inlineStr">
        <is>
          <t>LJUSDAL</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49401-2024</t>
        </is>
      </c>
      <c r="B12795" s="1" t="n">
        <v>45595</v>
      </c>
      <c r="C12795" s="1" t="n">
        <v>45677</v>
      </c>
      <c r="D12795" t="inlineStr">
        <is>
          <t>GÄVLEBORGS LÄN</t>
        </is>
      </c>
      <c r="E12795" t="inlineStr">
        <is>
          <t>GÄVLE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49390-2024</t>
        </is>
      </c>
      <c r="B12796" s="1" t="n">
        <v>45595</v>
      </c>
      <c r="C12796" s="1" t="n">
        <v>45677</v>
      </c>
      <c r="D12796" t="inlineStr">
        <is>
          <t>GÄVLEBORGS LÄN</t>
        </is>
      </c>
      <c r="E12796" t="inlineStr">
        <is>
          <t>GÄVLE</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49410-2024</t>
        </is>
      </c>
      <c r="B12797" s="1" t="n">
        <v>45595</v>
      </c>
      <c r="C12797" s="1" t="n">
        <v>45677</v>
      </c>
      <c r="D12797" t="inlineStr">
        <is>
          <t>GÄVLEBORGS LÄN</t>
        </is>
      </c>
      <c r="E12797" t="inlineStr">
        <is>
          <t>GÄVLE</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49414-2024</t>
        </is>
      </c>
      <c r="B12798" s="1" t="n">
        <v>45595</v>
      </c>
      <c r="C12798" s="1" t="n">
        <v>45677</v>
      </c>
      <c r="D12798" t="inlineStr">
        <is>
          <t>GÄVLEBORGS LÄN</t>
        </is>
      </c>
      <c r="E12798" t="inlineStr">
        <is>
          <t>HUDIKSVALL</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49252-2024</t>
        </is>
      </c>
      <c r="B12799" s="1" t="n">
        <v>45595</v>
      </c>
      <c r="C12799" s="1" t="n">
        <v>45677</v>
      </c>
      <c r="D12799" t="inlineStr">
        <is>
          <t>GÄVLEBORGS LÄN</t>
        </is>
      </c>
      <c r="E12799" t="inlineStr">
        <is>
          <t>HUDIKSVALL</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49352-2024</t>
        </is>
      </c>
      <c r="B12800" s="1" t="n">
        <v>45595</v>
      </c>
      <c r="C12800" s="1" t="n">
        <v>45677</v>
      </c>
      <c r="D12800" t="inlineStr">
        <is>
          <t>GÄVLEBORGS LÄN</t>
        </is>
      </c>
      <c r="E12800" t="inlineStr">
        <is>
          <t>HUDIKSVALL</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49380-2024</t>
        </is>
      </c>
      <c r="B12801" s="1" t="n">
        <v>45595</v>
      </c>
      <c r="C12801" s="1" t="n">
        <v>45677</v>
      </c>
      <c r="D12801" t="inlineStr">
        <is>
          <t>GÄVLEBORGS LÄN</t>
        </is>
      </c>
      <c r="E12801" t="inlineStr">
        <is>
          <t>GÄVLE</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49327-2024</t>
        </is>
      </c>
      <c r="B12802" s="1" t="n">
        <v>45595</v>
      </c>
      <c r="C12802" s="1" t="n">
        <v>45677</v>
      </c>
      <c r="D12802" t="inlineStr">
        <is>
          <t>GÄVLEBORGS LÄN</t>
        </is>
      </c>
      <c r="E12802" t="inlineStr">
        <is>
          <t>LJUSDAL</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49656-2024</t>
        </is>
      </c>
      <c r="B12803" s="1" t="n">
        <v>45596</v>
      </c>
      <c r="C12803" s="1" t="n">
        <v>45677</v>
      </c>
      <c r="D12803" t="inlineStr">
        <is>
          <t>GÄVLEBORGS LÄN</t>
        </is>
      </c>
      <c r="E12803" t="inlineStr">
        <is>
          <t>SANDVIKEN</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49713-2024</t>
        </is>
      </c>
      <c r="B12804" s="1" t="n">
        <v>45596</v>
      </c>
      <c r="C12804" s="1" t="n">
        <v>45677</v>
      </c>
      <c r="D12804" t="inlineStr">
        <is>
          <t>GÄVLEBORGS LÄN</t>
        </is>
      </c>
      <c r="E12804" t="inlineStr">
        <is>
          <t>BOLLNÄS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49659-2024</t>
        </is>
      </c>
      <c r="B12805" s="1" t="n">
        <v>45596</v>
      </c>
      <c r="C12805" s="1" t="n">
        <v>45677</v>
      </c>
      <c r="D12805" t="inlineStr">
        <is>
          <t>GÄVLEBORGS LÄN</t>
        </is>
      </c>
      <c r="E12805" t="inlineStr">
        <is>
          <t>SANDVIKEN</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49455-2024</t>
        </is>
      </c>
      <c r="B12806" s="1" t="n">
        <v>45596</v>
      </c>
      <c r="C12806" s="1" t="n">
        <v>45677</v>
      </c>
      <c r="D12806" t="inlineStr">
        <is>
          <t>GÄVLEBORGS LÄN</t>
        </is>
      </c>
      <c r="E12806" t="inlineStr">
        <is>
          <t>NORDANSTIG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49459-2024</t>
        </is>
      </c>
      <c r="B12807" s="1" t="n">
        <v>45596</v>
      </c>
      <c r="C12807" s="1" t="n">
        <v>45677</v>
      </c>
      <c r="D12807" t="inlineStr">
        <is>
          <t>GÄVLEBORGS LÄN</t>
        </is>
      </c>
      <c r="E12807" t="inlineStr">
        <is>
          <t>OCKELBO</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49452-2024</t>
        </is>
      </c>
      <c r="B12808" s="1" t="n">
        <v>45596</v>
      </c>
      <c r="C12808" s="1" t="n">
        <v>45677</v>
      </c>
      <c r="D12808" t="inlineStr">
        <is>
          <t>GÄVLEBORGS LÄN</t>
        </is>
      </c>
      <c r="E12808" t="inlineStr">
        <is>
          <t>OCKELBO</t>
        </is>
      </c>
      <c r="G12808" t="n">
        <v>8.300000000000001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49530-2024</t>
        </is>
      </c>
      <c r="B12809" s="1" t="n">
        <v>45596</v>
      </c>
      <c r="C12809" s="1" t="n">
        <v>45677</v>
      </c>
      <c r="D12809" t="inlineStr">
        <is>
          <t>GÄVLEBORGS LÄN</t>
        </is>
      </c>
      <c r="E12809" t="inlineStr">
        <is>
          <t>SANDVIKEN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49521-2024</t>
        </is>
      </c>
      <c r="B12810" s="1" t="n">
        <v>45596</v>
      </c>
      <c r="C12810" s="1" t="n">
        <v>45677</v>
      </c>
      <c r="D12810" t="inlineStr">
        <is>
          <t>GÄVLEBORGS LÄN</t>
        </is>
      </c>
      <c r="E12810" t="inlineStr">
        <is>
          <t>SANDVIKEN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49529-2024</t>
        </is>
      </c>
      <c r="B12811" s="1" t="n">
        <v>45596</v>
      </c>
      <c r="C12811" s="1" t="n">
        <v>45677</v>
      </c>
      <c r="D12811" t="inlineStr">
        <is>
          <t>GÄVLEBORGS LÄN</t>
        </is>
      </c>
      <c r="E12811" t="inlineStr">
        <is>
          <t>OCKELBO</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49533-2024</t>
        </is>
      </c>
      <c r="B12812" s="1" t="n">
        <v>45596</v>
      </c>
      <c r="C12812" s="1" t="n">
        <v>45677</v>
      </c>
      <c r="D12812" t="inlineStr">
        <is>
          <t>GÄVLEBORGS LÄN</t>
        </is>
      </c>
      <c r="E12812" t="inlineStr">
        <is>
          <t>SANDVIKEN</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49549-2024</t>
        </is>
      </c>
      <c r="B12813" s="1" t="n">
        <v>45596</v>
      </c>
      <c r="C12813" s="1" t="n">
        <v>45677</v>
      </c>
      <c r="D12813" t="inlineStr">
        <is>
          <t>GÄVLEBORGS LÄN</t>
        </is>
      </c>
      <c r="E12813" t="inlineStr">
        <is>
          <t>GÄVLE</t>
        </is>
      </c>
      <c r="F12813" t="inlineStr">
        <is>
          <t>Kommuner</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49561-2024</t>
        </is>
      </c>
      <c r="B12814" s="1" t="n">
        <v>45596</v>
      </c>
      <c r="C12814" s="1" t="n">
        <v>45677</v>
      </c>
      <c r="D12814" t="inlineStr">
        <is>
          <t>GÄVLEBORGS LÄN</t>
        </is>
      </c>
      <c r="E12814" t="inlineStr">
        <is>
          <t>GÄVLE</t>
        </is>
      </c>
      <c r="F12814" t="inlineStr">
        <is>
          <t>Bergvik skog öst AB</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49458-2024</t>
        </is>
      </c>
      <c r="B12815" s="1" t="n">
        <v>45596</v>
      </c>
      <c r="C12815" s="1" t="n">
        <v>45677</v>
      </c>
      <c r="D12815" t="inlineStr">
        <is>
          <t>GÄVLEBORGS LÄN</t>
        </is>
      </c>
      <c r="E12815" t="inlineStr">
        <is>
          <t>LJUSDAL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49611-2024</t>
        </is>
      </c>
      <c r="B12816" s="1" t="n">
        <v>45596</v>
      </c>
      <c r="C12816" s="1" t="n">
        <v>45677</v>
      </c>
      <c r="D12816" t="inlineStr">
        <is>
          <t>GÄVLEBORGS LÄN</t>
        </is>
      </c>
      <c r="E12816" t="inlineStr">
        <is>
          <t>OCKELBO</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49511-2024</t>
        </is>
      </c>
      <c r="B12817" s="1" t="n">
        <v>45596</v>
      </c>
      <c r="C12817" s="1" t="n">
        <v>45677</v>
      </c>
      <c r="D12817" t="inlineStr">
        <is>
          <t>GÄVLEBORGS LÄN</t>
        </is>
      </c>
      <c r="E12817" t="inlineStr">
        <is>
          <t>GÄVLE</t>
        </is>
      </c>
      <c r="F12817" t="inlineStr">
        <is>
          <t>Bergvik skog öst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49741-2024</t>
        </is>
      </c>
      <c r="B12818" s="1" t="n">
        <v>45596</v>
      </c>
      <c r="C12818" s="1" t="n">
        <v>45677</v>
      </c>
      <c r="D12818" t="inlineStr">
        <is>
          <t>GÄVLEBORGS LÄN</t>
        </is>
      </c>
      <c r="E12818" t="inlineStr">
        <is>
          <t>GÄVLE</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49740-2024</t>
        </is>
      </c>
      <c r="B12819" s="1" t="n">
        <v>45596</v>
      </c>
      <c r="C12819" s="1" t="n">
        <v>45677</v>
      </c>
      <c r="D12819" t="inlineStr">
        <is>
          <t>GÄVLEBORGS LÄN</t>
        </is>
      </c>
      <c r="E12819" t="inlineStr">
        <is>
          <t>OCKELBO</t>
        </is>
      </c>
      <c r="F12819" t="inlineStr">
        <is>
          <t>Bergvik skog väst AB</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49581-2024</t>
        </is>
      </c>
      <c r="B12820" s="1" t="n">
        <v>45596</v>
      </c>
      <c r="C12820" s="1" t="n">
        <v>45677</v>
      </c>
      <c r="D12820" t="inlineStr">
        <is>
          <t>GÄVLEBORGS LÄN</t>
        </is>
      </c>
      <c r="E12820" t="inlineStr">
        <is>
          <t>GÄVLE</t>
        </is>
      </c>
      <c r="F12820" t="inlineStr">
        <is>
          <t>Bergvik skog öst AB</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49470-2024</t>
        </is>
      </c>
      <c r="B12821" s="1" t="n">
        <v>45596</v>
      </c>
      <c r="C12821" s="1" t="n">
        <v>45677</v>
      </c>
      <c r="D12821" t="inlineStr">
        <is>
          <t>GÄVLEBORGS LÄN</t>
        </is>
      </c>
      <c r="E12821" t="inlineStr">
        <is>
          <t>OCKELBO</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49743-2024</t>
        </is>
      </c>
      <c r="B12822" s="1" t="n">
        <v>45597</v>
      </c>
      <c r="C12822" s="1" t="n">
        <v>45677</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49539-2024</t>
        </is>
      </c>
      <c r="B12823" s="1" t="n">
        <v>45596</v>
      </c>
      <c r="C12823" s="1" t="n">
        <v>45677</v>
      </c>
      <c r="D12823" t="inlineStr">
        <is>
          <t>GÄVLEBORGS LÄN</t>
        </is>
      </c>
      <c r="E12823" t="inlineStr">
        <is>
          <t>LJUSDAL</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49742-2024</t>
        </is>
      </c>
      <c r="B12824" s="1" t="n">
        <v>45597</v>
      </c>
      <c r="C12824" s="1" t="n">
        <v>45677</v>
      </c>
      <c r="D12824" t="inlineStr">
        <is>
          <t>GÄVLEBORGS LÄN</t>
        </is>
      </c>
      <c r="E12824" t="inlineStr">
        <is>
          <t>GÄVLE</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49858-2024</t>
        </is>
      </c>
      <c r="B12825" s="1" t="n">
        <v>45597</v>
      </c>
      <c r="C12825" s="1" t="n">
        <v>45677</v>
      </c>
      <c r="D12825" t="inlineStr">
        <is>
          <t>GÄVLEBORGS LÄN</t>
        </is>
      </c>
      <c r="E12825" t="inlineStr">
        <is>
          <t>OVANÅKER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49944-2024</t>
        </is>
      </c>
      <c r="B12826" s="1" t="n">
        <v>45597</v>
      </c>
      <c r="C12826" s="1" t="n">
        <v>45677</v>
      </c>
      <c r="D12826" t="inlineStr">
        <is>
          <t>GÄVLEBORGS LÄN</t>
        </is>
      </c>
      <c r="E12826" t="inlineStr">
        <is>
          <t>SÖDERHAMN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49948-2024</t>
        </is>
      </c>
      <c r="B12827" s="1" t="n">
        <v>45597</v>
      </c>
      <c r="C12827" s="1" t="n">
        <v>45677</v>
      </c>
      <c r="D12827" t="inlineStr">
        <is>
          <t>GÄVLEBORGS LÄN</t>
        </is>
      </c>
      <c r="E12827" t="inlineStr">
        <is>
          <t>SÖDERHAMN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49786-2024</t>
        </is>
      </c>
      <c r="B12828" s="1" t="n">
        <v>45597</v>
      </c>
      <c r="C12828" s="1" t="n">
        <v>45677</v>
      </c>
      <c r="D12828" t="inlineStr">
        <is>
          <t>GÄVLEBORGS LÄN</t>
        </is>
      </c>
      <c r="E12828" t="inlineStr">
        <is>
          <t>SÖDERHAMN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49847-2024</t>
        </is>
      </c>
      <c r="B12829" s="1" t="n">
        <v>45597</v>
      </c>
      <c r="C12829" s="1" t="n">
        <v>45677</v>
      </c>
      <c r="D12829" t="inlineStr">
        <is>
          <t>GÄVLEBORGS LÄN</t>
        </is>
      </c>
      <c r="E12829" t="inlineStr">
        <is>
          <t>SANDVIKEN</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49837-2024</t>
        </is>
      </c>
      <c r="B12830" s="1" t="n">
        <v>45597</v>
      </c>
      <c r="C12830" s="1" t="n">
        <v>45677</v>
      </c>
      <c r="D12830" t="inlineStr">
        <is>
          <t>GÄVLEBORGS LÄN</t>
        </is>
      </c>
      <c r="E12830" t="inlineStr">
        <is>
          <t>LJUSDAL</t>
        </is>
      </c>
      <c r="F12830" t="inlineStr">
        <is>
          <t>Bergvik skog väst AB</t>
        </is>
      </c>
      <c r="G12830" t="n">
        <v>16.3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49765-2024</t>
        </is>
      </c>
      <c r="B12831" s="1" t="n">
        <v>45597</v>
      </c>
      <c r="C12831" s="1" t="n">
        <v>45677</v>
      </c>
      <c r="D12831" t="inlineStr">
        <is>
          <t>GÄVLEBORGS LÄN</t>
        </is>
      </c>
      <c r="E12831" t="inlineStr">
        <is>
          <t>SÖDERHAMN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49856-2024</t>
        </is>
      </c>
      <c r="B12832" s="1" t="n">
        <v>45597</v>
      </c>
      <c r="C12832" s="1" t="n">
        <v>45677</v>
      </c>
      <c r="D12832" t="inlineStr">
        <is>
          <t>GÄVLEBORGS LÄN</t>
        </is>
      </c>
      <c r="E12832" t="inlineStr">
        <is>
          <t>OVANÅKER</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49942-2024</t>
        </is>
      </c>
      <c r="B12833" s="1" t="n">
        <v>45597</v>
      </c>
      <c r="C12833" s="1" t="n">
        <v>45677</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49954-2024</t>
        </is>
      </c>
      <c r="B12834" s="1" t="n">
        <v>45597</v>
      </c>
      <c r="C12834" s="1" t="n">
        <v>45677</v>
      </c>
      <c r="D12834" t="inlineStr">
        <is>
          <t>GÄVLEBORGS LÄN</t>
        </is>
      </c>
      <c r="E12834" t="inlineStr">
        <is>
          <t>SÖDERHAMN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49980-2024</t>
        </is>
      </c>
      <c r="B12835" s="1" t="n">
        <v>45597</v>
      </c>
      <c r="C12835" s="1" t="n">
        <v>45677</v>
      </c>
      <c r="D12835" t="inlineStr">
        <is>
          <t>GÄVLEBORGS LÄN</t>
        </is>
      </c>
      <c r="E12835" t="inlineStr">
        <is>
          <t>BOLLNÄS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49857-2024</t>
        </is>
      </c>
      <c r="B12836" s="1" t="n">
        <v>45597</v>
      </c>
      <c r="C12836" s="1" t="n">
        <v>45677</v>
      </c>
      <c r="D12836" t="inlineStr">
        <is>
          <t>GÄVLEBORGS LÄN</t>
        </is>
      </c>
      <c r="E12836" t="inlineStr">
        <is>
          <t>OVANÅKER</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49966-2024</t>
        </is>
      </c>
      <c r="B12837" s="1" t="n">
        <v>45597</v>
      </c>
      <c r="C12837" s="1" t="n">
        <v>45677</v>
      </c>
      <c r="D12837" t="inlineStr">
        <is>
          <t>GÄVLEBORGS LÄN</t>
        </is>
      </c>
      <c r="E12837" t="inlineStr">
        <is>
          <t>SÖDERHAMN</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49997-2024</t>
        </is>
      </c>
      <c r="B12838" s="1" t="n">
        <v>45597</v>
      </c>
      <c r="C12838" s="1" t="n">
        <v>45677</v>
      </c>
      <c r="D12838" t="inlineStr">
        <is>
          <t>GÄVLEBORGS LÄN</t>
        </is>
      </c>
      <c r="E12838" t="inlineStr">
        <is>
          <t>GÄVLE</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49935-2024</t>
        </is>
      </c>
      <c r="B12839" s="1" t="n">
        <v>45597</v>
      </c>
      <c r="C12839" s="1" t="n">
        <v>45677</v>
      </c>
      <c r="D12839" t="inlineStr">
        <is>
          <t>GÄVLEBORGS LÄN</t>
        </is>
      </c>
      <c r="E12839" t="inlineStr">
        <is>
          <t>SÖDERHAMN</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49959-2024</t>
        </is>
      </c>
      <c r="B12840" s="1" t="n">
        <v>45597</v>
      </c>
      <c r="C12840" s="1" t="n">
        <v>45677</v>
      </c>
      <c r="D12840" t="inlineStr">
        <is>
          <t>GÄVLEBORGS LÄN</t>
        </is>
      </c>
      <c r="E12840" t="inlineStr">
        <is>
          <t>SÖDERHAMN</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49815-2024</t>
        </is>
      </c>
      <c r="B12841" s="1" t="n">
        <v>45597</v>
      </c>
      <c r="C12841" s="1" t="n">
        <v>45677</v>
      </c>
      <c r="D12841" t="inlineStr">
        <is>
          <t>GÄVLEBORGS LÄN</t>
        </is>
      </c>
      <c r="E12841" t="inlineStr">
        <is>
          <t>HOFORS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49941-2024</t>
        </is>
      </c>
      <c r="B12842" s="1" t="n">
        <v>45597</v>
      </c>
      <c r="C12842" s="1" t="n">
        <v>45677</v>
      </c>
      <c r="D12842" t="inlineStr">
        <is>
          <t>GÄVLEBORGS LÄN</t>
        </is>
      </c>
      <c r="E12842" t="inlineStr">
        <is>
          <t>SÖDERHAMN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49957-2024</t>
        </is>
      </c>
      <c r="B12843" s="1" t="n">
        <v>45597</v>
      </c>
      <c r="C12843" s="1" t="n">
        <v>45677</v>
      </c>
      <c r="D12843" t="inlineStr">
        <is>
          <t>GÄVLEBORGS LÄN</t>
        </is>
      </c>
      <c r="E12843" t="inlineStr">
        <is>
          <t>LJUSDAL</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49821-2024</t>
        </is>
      </c>
      <c r="B12844" s="1" t="n">
        <v>45597</v>
      </c>
      <c r="C12844" s="1" t="n">
        <v>45677</v>
      </c>
      <c r="D12844" t="inlineStr">
        <is>
          <t>GÄVLEBORGS LÄN</t>
        </is>
      </c>
      <c r="E12844" t="inlineStr">
        <is>
          <t>HUDIKSVALL</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49813-2024</t>
        </is>
      </c>
      <c r="B12845" s="1" t="n">
        <v>45597</v>
      </c>
      <c r="C12845" s="1" t="n">
        <v>45677</v>
      </c>
      <c r="D12845" t="inlineStr">
        <is>
          <t>GÄVLEBORGS LÄN</t>
        </is>
      </c>
      <c r="E12845" t="inlineStr">
        <is>
          <t>SANDVIKEN</t>
        </is>
      </c>
      <c r="G12845" t="n">
        <v>9.300000000000001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49777-2024</t>
        </is>
      </c>
      <c r="B12846" s="1" t="n">
        <v>45597</v>
      </c>
      <c r="C12846" s="1" t="n">
        <v>45677</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49764-2024</t>
        </is>
      </c>
      <c r="B12847" s="1" t="n">
        <v>45597</v>
      </c>
      <c r="C12847" s="1" t="n">
        <v>45677</v>
      </c>
      <c r="D12847" t="inlineStr">
        <is>
          <t>GÄVLEBORGS LÄN</t>
        </is>
      </c>
      <c r="E12847" t="inlineStr">
        <is>
          <t>SÖDERHAMN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49961-2024</t>
        </is>
      </c>
      <c r="B12848" s="1" t="n">
        <v>45597</v>
      </c>
      <c r="C12848" s="1" t="n">
        <v>45677</v>
      </c>
      <c r="D12848" t="inlineStr">
        <is>
          <t>GÄVLEBORGS LÄN</t>
        </is>
      </c>
      <c r="E12848" t="inlineStr">
        <is>
          <t>SÖDERHAMN</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49762-2024</t>
        </is>
      </c>
      <c r="B12849" s="1" t="n">
        <v>45597</v>
      </c>
      <c r="C12849" s="1" t="n">
        <v>45677</v>
      </c>
      <c r="D12849" t="inlineStr">
        <is>
          <t>GÄVLEBORGS LÄN</t>
        </is>
      </c>
      <c r="E12849" t="inlineStr">
        <is>
          <t>SÖDERHAMN</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49963-2024</t>
        </is>
      </c>
      <c r="B12850" s="1" t="n">
        <v>45597</v>
      </c>
      <c r="C12850" s="1" t="n">
        <v>45677</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49828-2024</t>
        </is>
      </c>
      <c r="B12851" s="1" t="n">
        <v>45597</v>
      </c>
      <c r="C12851" s="1" t="n">
        <v>45677</v>
      </c>
      <c r="D12851" t="inlineStr">
        <is>
          <t>GÄVLEBORGS LÄN</t>
        </is>
      </c>
      <c r="E12851" t="inlineStr">
        <is>
          <t>HUDIKSVALL</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49956-2024</t>
        </is>
      </c>
      <c r="B12852" s="1" t="n">
        <v>45597</v>
      </c>
      <c r="C12852" s="1" t="n">
        <v>45677</v>
      </c>
      <c r="D12852" t="inlineStr">
        <is>
          <t>GÄVLEBORGS LÄN</t>
        </is>
      </c>
      <c r="E12852" t="inlineStr">
        <is>
          <t>LJUSDAL</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49993-2024</t>
        </is>
      </c>
      <c r="B12853" s="1" t="n">
        <v>45597</v>
      </c>
      <c r="C12853" s="1" t="n">
        <v>45677</v>
      </c>
      <c r="D12853" t="inlineStr">
        <is>
          <t>GÄVLEBORGS LÄN</t>
        </is>
      </c>
      <c r="E12853" t="inlineStr">
        <is>
          <t>BOLLNÄS</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50038-2024</t>
        </is>
      </c>
      <c r="B12854" s="1" t="n">
        <v>45600</v>
      </c>
      <c r="C12854" s="1" t="n">
        <v>45677</v>
      </c>
      <c r="D12854" t="inlineStr">
        <is>
          <t>GÄVLEBORGS LÄN</t>
        </is>
      </c>
      <c r="E12854" t="inlineStr">
        <is>
          <t>BOLLNÄS</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50068-2024</t>
        </is>
      </c>
      <c r="B12855" s="1" t="n">
        <v>45600</v>
      </c>
      <c r="C12855" s="1" t="n">
        <v>45677</v>
      </c>
      <c r="D12855" t="inlineStr">
        <is>
          <t>GÄVLEBORGS LÄN</t>
        </is>
      </c>
      <c r="E12855" t="inlineStr">
        <is>
          <t>OCKELBO</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50083-2024</t>
        </is>
      </c>
      <c r="B12856" s="1" t="n">
        <v>45600</v>
      </c>
      <c r="C12856" s="1" t="n">
        <v>45677</v>
      </c>
      <c r="D12856" t="inlineStr">
        <is>
          <t>GÄVLEBORGS LÄN</t>
        </is>
      </c>
      <c r="E12856" t="inlineStr">
        <is>
          <t>GÄVLE</t>
        </is>
      </c>
      <c r="F12856" t="inlineStr">
        <is>
          <t>Bergvik skog öst AB</t>
        </is>
      </c>
      <c r="G12856" t="n">
        <v>10.6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50197-2024</t>
        </is>
      </c>
      <c r="B12857" s="1" t="n">
        <v>45600</v>
      </c>
      <c r="C12857" s="1" t="n">
        <v>45677</v>
      </c>
      <c r="D12857" t="inlineStr">
        <is>
          <t>GÄVLEBORGS LÄN</t>
        </is>
      </c>
      <c r="E12857" t="inlineStr">
        <is>
          <t>OCKELBO</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50242-2024</t>
        </is>
      </c>
      <c r="B12858" s="1" t="n">
        <v>45600</v>
      </c>
      <c r="C12858" s="1" t="n">
        <v>45677</v>
      </c>
      <c r="D12858" t="inlineStr">
        <is>
          <t>GÄVLEBORGS LÄN</t>
        </is>
      </c>
      <c r="E12858" t="inlineStr">
        <is>
          <t>HUDIKSVALL</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50267-2024</t>
        </is>
      </c>
      <c r="B12859" s="1" t="n">
        <v>45600</v>
      </c>
      <c r="C12859" s="1" t="n">
        <v>45677</v>
      </c>
      <c r="D12859" t="inlineStr">
        <is>
          <t>GÄVLEBORGS LÄN</t>
        </is>
      </c>
      <c r="E12859" t="inlineStr">
        <is>
          <t>LJUSDAL</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50283-2024</t>
        </is>
      </c>
      <c r="B12860" s="1" t="n">
        <v>45600</v>
      </c>
      <c r="C12860" s="1" t="n">
        <v>45677</v>
      </c>
      <c r="D12860" t="inlineStr">
        <is>
          <t>GÄVLEBORGS LÄN</t>
        </is>
      </c>
      <c r="E12860" t="inlineStr">
        <is>
          <t>SÖDERHAMN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50299-2024</t>
        </is>
      </c>
      <c r="B12861" s="1" t="n">
        <v>45600</v>
      </c>
      <c r="C12861" s="1" t="n">
        <v>45677</v>
      </c>
      <c r="D12861" t="inlineStr">
        <is>
          <t>GÄVLEBORGS LÄN</t>
        </is>
      </c>
      <c r="E12861" t="inlineStr">
        <is>
          <t>SANDVIKEN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50351-2024</t>
        </is>
      </c>
      <c r="B12862" s="1" t="n">
        <v>45600</v>
      </c>
      <c r="C12862" s="1" t="n">
        <v>45677</v>
      </c>
      <c r="D12862" t="inlineStr">
        <is>
          <t>GÄVLEBORGS LÄN</t>
        </is>
      </c>
      <c r="E12862" t="inlineStr">
        <is>
          <t>SANDVIKEN</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50148-2024</t>
        </is>
      </c>
      <c r="B12863" s="1" t="n">
        <v>45600</v>
      </c>
      <c r="C12863" s="1" t="n">
        <v>45677</v>
      </c>
      <c r="D12863" t="inlineStr">
        <is>
          <t>GÄVLEBORGS LÄN</t>
        </is>
      </c>
      <c r="E12863" t="inlineStr">
        <is>
          <t>HUDIKSVALL</t>
        </is>
      </c>
      <c r="G12863" t="n">
        <v>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50169-2024</t>
        </is>
      </c>
      <c r="B12864" s="1" t="n">
        <v>45600</v>
      </c>
      <c r="C12864" s="1" t="n">
        <v>45677</v>
      </c>
      <c r="D12864" t="inlineStr">
        <is>
          <t>GÄVLEBORGS LÄN</t>
        </is>
      </c>
      <c r="E12864" t="inlineStr">
        <is>
          <t>LJUSDAL</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50281-2024</t>
        </is>
      </c>
      <c r="B12865" s="1" t="n">
        <v>45600</v>
      </c>
      <c r="C12865" s="1" t="n">
        <v>45677</v>
      </c>
      <c r="D12865" t="inlineStr">
        <is>
          <t>GÄVLEBORGS LÄN</t>
        </is>
      </c>
      <c r="E12865" t="inlineStr">
        <is>
          <t>SÖDERHAMN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50228-2024</t>
        </is>
      </c>
      <c r="B12866" s="1" t="n">
        <v>45600</v>
      </c>
      <c r="C12866" s="1" t="n">
        <v>45677</v>
      </c>
      <c r="D12866" t="inlineStr">
        <is>
          <t>GÄVLEBORGS LÄN</t>
        </is>
      </c>
      <c r="E12866" t="inlineStr">
        <is>
          <t>LJUSDAL</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50191-2024</t>
        </is>
      </c>
      <c r="B12867" s="1" t="n">
        <v>45600</v>
      </c>
      <c r="C12867" s="1" t="n">
        <v>45677</v>
      </c>
      <c r="D12867" t="inlineStr">
        <is>
          <t>GÄVLEBORGS LÄN</t>
        </is>
      </c>
      <c r="E12867" t="inlineStr">
        <is>
          <t>GÄVLE</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50161-2024</t>
        </is>
      </c>
      <c r="B12868" s="1" t="n">
        <v>45600</v>
      </c>
      <c r="C12868" s="1" t="n">
        <v>45677</v>
      </c>
      <c r="D12868" t="inlineStr">
        <is>
          <t>GÄVLEBORGS LÄN</t>
        </is>
      </c>
      <c r="E12868" t="inlineStr">
        <is>
          <t>HUDIKSVALL</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50194-2024</t>
        </is>
      </c>
      <c r="B12869" s="1" t="n">
        <v>45600</v>
      </c>
      <c r="C12869" s="1" t="n">
        <v>45677</v>
      </c>
      <c r="D12869" t="inlineStr">
        <is>
          <t>GÄVLEBORGS LÄN</t>
        </is>
      </c>
      <c r="E12869" t="inlineStr">
        <is>
          <t>OCKELBO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50268-2024</t>
        </is>
      </c>
      <c r="B12870" s="1" t="n">
        <v>45600</v>
      </c>
      <c r="C12870" s="1" t="n">
        <v>45677</v>
      </c>
      <c r="D12870" t="inlineStr">
        <is>
          <t>GÄVLEBORGS LÄN</t>
        </is>
      </c>
      <c r="E12870" t="inlineStr">
        <is>
          <t>SÖDERHAMN</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50272-2024</t>
        </is>
      </c>
      <c r="B12871" s="1" t="n">
        <v>45600</v>
      </c>
      <c r="C12871" s="1" t="n">
        <v>45677</v>
      </c>
      <c r="D12871" t="inlineStr">
        <is>
          <t>GÄVLEBORGS LÄN</t>
        </is>
      </c>
      <c r="E12871" t="inlineStr">
        <is>
          <t>LJUSDAL</t>
        </is>
      </c>
      <c r="F12871" t="inlineStr">
        <is>
          <t>Bergvik skog väst AB</t>
        </is>
      </c>
      <c r="G12871" t="n">
        <v>20.7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50158-2024</t>
        </is>
      </c>
      <c r="B12872" s="1" t="n">
        <v>45600</v>
      </c>
      <c r="C12872" s="1" t="n">
        <v>45677</v>
      </c>
      <c r="D12872" t="inlineStr">
        <is>
          <t>GÄVLEBORGS LÄN</t>
        </is>
      </c>
      <c r="E12872" t="inlineStr">
        <is>
          <t>LJUSDAL</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50200-2024</t>
        </is>
      </c>
      <c r="B12873" s="1" t="n">
        <v>45600</v>
      </c>
      <c r="C12873" s="1" t="n">
        <v>45677</v>
      </c>
      <c r="D12873" t="inlineStr">
        <is>
          <t>GÄVLEBORGS LÄN</t>
        </is>
      </c>
      <c r="E12873" t="inlineStr">
        <is>
          <t>HUDIKSVALL</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50229-2024</t>
        </is>
      </c>
      <c r="B12874" s="1" t="n">
        <v>45600</v>
      </c>
      <c r="C12874" s="1" t="n">
        <v>45677</v>
      </c>
      <c r="D12874" t="inlineStr">
        <is>
          <t>GÄVLEBORGS LÄN</t>
        </is>
      </c>
      <c r="E12874" t="inlineStr">
        <is>
          <t>LJUSDAL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50306-2024</t>
        </is>
      </c>
      <c r="B12875" s="1" t="n">
        <v>45600</v>
      </c>
      <c r="C12875" s="1" t="n">
        <v>45677</v>
      </c>
      <c r="D12875" t="inlineStr">
        <is>
          <t>GÄVLEBORGS LÄN</t>
        </is>
      </c>
      <c r="E12875" t="inlineStr">
        <is>
          <t>HUDIKSVALL</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50314-2024</t>
        </is>
      </c>
      <c r="B12876" s="1" t="n">
        <v>45600</v>
      </c>
      <c r="C12876" s="1" t="n">
        <v>45677</v>
      </c>
      <c r="D12876" t="inlineStr">
        <is>
          <t>GÄVLEBORGS LÄN</t>
        </is>
      </c>
      <c r="E12876" t="inlineStr">
        <is>
          <t>GÄVLE</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50613-2024</t>
        </is>
      </c>
      <c r="B12877" s="1" t="n">
        <v>45601</v>
      </c>
      <c r="C12877" s="1" t="n">
        <v>45677</v>
      </c>
      <c r="D12877" t="inlineStr">
        <is>
          <t>GÄVLEBORGS LÄN</t>
        </is>
      </c>
      <c r="E12877" t="inlineStr">
        <is>
          <t>LJUSDAL</t>
        </is>
      </c>
      <c r="F12877" t="inlineStr">
        <is>
          <t>Bergvik skog väst AB</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50643-2024</t>
        </is>
      </c>
      <c r="B12878" s="1" t="n">
        <v>45601</v>
      </c>
      <c r="C12878" s="1" t="n">
        <v>45677</v>
      </c>
      <c r="D12878" t="inlineStr">
        <is>
          <t>GÄVLEBORGS LÄN</t>
        </is>
      </c>
      <c r="E12878" t="inlineStr">
        <is>
          <t>GÄVLE</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50636-2024</t>
        </is>
      </c>
      <c r="B12879" s="1" t="n">
        <v>45601</v>
      </c>
      <c r="C12879" s="1" t="n">
        <v>45677</v>
      </c>
      <c r="D12879" t="inlineStr">
        <is>
          <t>GÄVLEBORGS LÄN</t>
        </is>
      </c>
      <c r="E12879" t="inlineStr">
        <is>
          <t>GÄVLE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50657-2024</t>
        </is>
      </c>
      <c r="B12880" s="1" t="n">
        <v>45601</v>
      </c>
      <c r="C12880" s="1" t="n">
        <v>45677</v>
      </c>
      <c r="D12880" t="inlineStr">
        <is>
          <t>GÄVLEBORGS LÄN</t>
        </is>
      </c>
      <c r="E12880" t="inlineStr">
        <is>
          <t>NORDANSTIG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50501-2024</t>
        </is>
      </c>
      <c r="B12881" s="1" t="n">
        <v>45601</v>
      </c>
      <c r="C12881" s="1" t="n">
        <v>45677</v>
      </c>
      <c r="D12881" t="inlineStr">
        <is>
          <t>GÄVLEBORGS LÄN</t>
        </is>
      </c>
      <c r="E12881" t="inlineStr">
        <is>
          <t>HUDIKSVALL</t>
        </is>
      </c>
      <c r="G12881" t="n">
        <v>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50480-2024</t>
        </is>
      </c>
      <c r="B12882" s="1" t="n">
        <v>45601</v>
      </c>
      <c r="C12882" s="1" t="n">
        <v>45677</v>
      </c>
      <c r="D12882" t="inlineStr">
        <is>
          <t>GÄVLEBORGS LÄN</t>
        </is>
      </c>
      <c r="E12882" t="inlineStr">
        <is>
          <t>OVANÅKER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50456-2024</t>
        </is>
      </c>
      <c r="B12883" s="1" t="n">
        <v>45601</v>
      </c>
      <c r="C12883" s="1" t="n">
        <v>45677</v>
      </c>
      <c r="D12883" t="inlineStr">
        <is>
          <t>GÄVLEBORGS LÄN</t>
        </is>
      </c>
      <c r="E12883" t="inlineStr">
        <is>
          <t>BOLLNÄS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50548-2024</t>
        </is>
      </c>
      <c r="B12884" s="1" t="n">
        <v>45601</v>
      </c>
      <c r="C12884" s="1" t="n">
        <v>45677</v>
      </c>
      <c r="D12884" t="inlineStr">
        <is>
          <t>GÄVLEBORGS LÄN</t>
        </is>
      </c>
      <c r="E12884" t="inlineStr">
        <is>
          <t>SÖDERHAMN</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50565-2024</t>
        </is>
      </c>
      <c r="B12885" s="1" t="n">
        <v>45601</v>
      </c>
      <c r="C12885" s="1" t="n">
        <v>45677</v>
      </c>
      <c r="D12885" t="inlineStr">
        <is>
          <t>GÄVLEBORGS LÄN</t>
        </is>
      </c>
      <c r="E12885" t="inlineStr">
        <is>
          <t>OVANÅKER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50570-2024</t>
        </is>
      </c>
      <c r="B12886" s="1" t="n">
        <v>45601</v>
      </c>
      <c r="C12886" s="1" t="n">
        <v>45677</v>
      </c>
      <c r="D12886" t="inlineStr">
        <is>
          <t>GÄVLEBORGS LÄN</t>
        </is>
      </c>
      <c r="E12886" t="inlineStr">
        <is>
          <t>OVANÅKER</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50622-2024</t>
        </is>
      </c>
      <c r="B12887" s="1" t="n">
        <v>45601</v>
      </c>
      <c r="C12887" s="1" t="n">
        <v>45677</v>
      </c>
      <c r="D12887" t="inlineStr">
        <is>
          <t>GÄVLEBORGS LÄN</t>
        </is>
      </c>
      <c r="E12887" t="inlineStr">
        <is>
          <t>OVANÅKER</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50650-2024</t>
        </is>
      </c>
      <c r="B12888" s="1" t="n">
        <v>45601</v>
      </c>
      <c r="C12888" s="1" t="n">
        <v>45677</v>
      </c>
      <c r="D12888" t="inlineStr">
        <is>
          <t>GÄVLEBORGS LÄN</t>
        </is>
      </c>
      <c r="E12888" t="inlineStr">
        <is>
          <t>OVANÅKER</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50667-2024</t>
        </is>
      </c>
      <c r="B12889" s="1" t="n">
        <v>45601</v>
      </c>
      <c r="C12889" s="1" t="n">
        <v>45677</v>
      </c>
      <c r="D12889" t="inlineStr">
        <is>
          <t>GÄVLEBORGS LÄN</t>
        </is>
      </c>
      <c r="E12889" t="inlineStr">
        <is>
          <t>SÖDERHAMN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50455-2024</t>
        </is>
      </c>
      <c r="B12890" s="1" t="n">
        <v>45601</v>
      </c>
      <c r="C12890" s="1" t="n">
        <v>45677</v>
      </c>
      <c r="D12890" t="inlineStr">
        <is>
          <t>GÄVLEBORGS LÄN</t>
        </is>
      </c>
      <c r="E12890" t="inlineStr">
        <is>
          <t>BOLLNÄS</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50412-2024</t>
        </is>
      </c>
      <c r="B12891" s="1" t="n">
        <v>45601</v>
      </c>
      <c r="C12891" s="1" t="n">
        <v>45677</v>
      </c>
      <c r="D12891" t="inlineStr">
        <is>
          <t>GÄVLEBORGS LÄN</t>
        </is>
      </c>
      <c r="E12891" t="inlineStr">
        <is>
          <t>OVANÅKER</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50389-2024</t>
        </is>
      </c>
      <c r="B12892" s="1" t="n">
        <v>45601</v>
      </c>
      <c r="C12892" s="1" t="n">
        <v>45677</v>
      </c>
      <c r="D12892" t="inlineStr">
        <is>
          <t>GÄVLEBORGS LÄN</t>
        </is>
      </c>
      <c r="E12892" t="inlineStr">
        <is>
          <t>OVANÅKER</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50457-2024</t>
        </is>
      </c>
      <c r="B12893" s="1" t="n">
        <v>45601</v>
      </c>
      <c r="C12893" s="1" t="n">
        <v>45677</v>
      </c>
      <c r="D12893" t="inlineStr">
        <is>
          <t>GÄVLEBORGS LÄN</t>
        </is>
      </c>
      <c r="E12893" t="inlineStr">
        <is>
          <t>OVANÅKER</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50498-2024</t>
        </is>
      </c>
      <c r="B12894" s="1" t="n">
        <v>45601</v>
      </c>
      <c r="C12894" s="1" t="n">
        <v>45677</v>
      </c>
      <c r="D12894" t="inlineStr">
        <is>
          <t>GÄVLEBORGS LÄN</t>
        </is>
      </c>
      <c r="E12894" t="inlineStr">
        <is>
          <t>HUDIKSVALL</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50473-2024</t>
        </is>
      </c>
      <c r="B12895" s="1" t="n">
        <v>45601</v>
      </c>
      <c r="C12895" s="1" t="n">
        <v>45677</v>
      </c>
      <c r="D12895" t="inlineStr">
        <is>
          <t>GÄVLEBORGS LÄN</t>
        </is>
      </c>
      <c r="E12895" t="inlineStr">
        <is>
          <t>BOLLNÄS</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50469-2024</t>
        </is>
      </c>
      <c r="B12896" s="1" t="n">
        <v>45601</v>
      </c>
      <c r="C12896" s="1" t="n">
        <v>45677</v>
      </c>
      <c r="D12896" t="inlineStr">
        <is>
          <t>GÄVLEBORGS LÄN</t>
        </is>
      </c>
      <c r="E12896" t="inlineStr">
        <is>
          <t>OVANÅKER</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50701-2024</t>
        </is>
      </c>
      <c r="B12897" s="1" t="n">
        <v>45602</v>
      </c>
      <c r="C12897" s="1" t="n">
        <v>45677</v>
      </c>
      <c r="D12897" t="inlineStr">
        <is>
          <t>GÄVLEBORGS LÄN</t>
        </is>
      </c>
      <c r="E12897" t="inlineStr">
        <is>
          <t>SANDVIKEN</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50735-2024</t>
        </is>
      </c>
      <c r="B12898" s="1" t="n">
        <v>45602</v>
      </c>
      <c r="C12898" s="1" t="n">
        <v>45677</v>
      </c>
      <c r="D12898" t="inlineStr">
        <is>
          <t>GÄVLEBORGS LÄN</t>
        </is>
      </c>
      <c r="E12898" t="inlineStr">
        <is>
          <t>OCKELBO</t>
        </is>
      </c>
      <c r="F12898" t="inlineStr">
        <is>
          <t>Bergvik skog väst AB</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50787-2024</t>
        </is>
      </c>
      <c r="B12899" s="1" t="n">
        <v>45602</v>
      </c>
      <c r="C12899" s="1" t="n">
        <v>45677</v>
      </c>
      <c r="D12899" t="inlineStr">
        <is>
          <t>GÄVLEBORGS LÄN</t>
        </is>
      </c>
      <c r="E12899" t="inlineStr">
        <is>
          <t>OVANÅKER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50791-2024</t>
        </is>
      </c>
      <c r="B12900" s="1" t="n">
        <v>45602</v>
      </c>
      <c r="C12900" s="1" t="n">
        <v>45677</v>
      </c>
      <c r="D12900" t="inlineStr">
        <is>
          <t>GÄVLEBORGS LÄN</t>
        </is>
      </c>
      <c r="E12900" t="inlineStr">
        <is>
          <t>OVANÅKER</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50692-2024</t>
        </is>
      </c>
      <c r="B12901" s="1" t="n">
        <v>45602</v>
      </c>
      <c r="C12901" s="1" t="n">
        <v>45677</v>
      </c>
      <c r="D12901" t="inlineStr">
        <is>
          <t>GÄVLEBORGS LÄN</t>
        </is>
      </c>
      <c r="E12901" t="inlineStr">
        <is>
          <t>OCKELBO</t>
        </is>
      </c>
      <c r="F12901" t="inlineStr">
        <is>
          <t>Bergvik skog väst AB</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50685-2024</t>
        </is>
      </c>
      <c r="B12902" s="1" t="n">
        <v>45602</v>
      </c>
      <c r="C12902" s="1" t="n">
        <v>45677</v>
      </c>
      <c r="D12902" t="inlineStr">
        <is>
          <t>GÄVLEBORGS LÄN</t>
        </is>
      </c>
      <c r="E12902" t="inlineStr">
        <is>
          <t>NORDANSTIG</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50689-2024</t>
        </is>
      </c>
      <c r="B12903" s="1" t="n">
        <v>45602</v>
      </c>
      <c r="C12903" s="1" t="n">
        <v>45677</v>
      </c>
      <c r="D12903" t="inlineStr">
        <is>
          <t>GÄVLEBORGS LÄN</t>
        </is>
      </c>
      <c r="E12903" t="inlineStr">
        <is>
          <t>OCKELBO</t>
        </is>
      </c>
      <c r="F12903" t="inlineStr">
        <is>
          <t>Bergvik skog väst AB</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50693-2024</t>
        </is>
      </c>
      <c r="B12904" s="1" t="n">
        <v>45602</v>
      </c>
      <c r="C12904" s="1" t="n">
        <v>45677</v>
      </c>
      <c r="D12904" t="inlineStr">
        <is>
          <t>GÄVLEBORGS LÄN</t>
        </is>
      </c>
      <c r="E12904" t="inlineStr">
        <is>
          <t>OCKELBO</t>
        </is>
      </c>
      <c r="F12904" t="inlineStr">
        <is>
          <t>Bergvik skog väst AB</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50694-2024</t>
        </is>
      </c>
      <c r="B12905" s="1" t="n">
        <v>45602</v>
      </c>
      <c r="C12905" s="1" t="n">
        <v>45677</v>
      </c>
      <c r="D12905" t="inlineStr">
        <is>
          <t>GÄVLEBORGS LÄN</t>
        </is>
      </c>
      <c r="E12905" t="inlineStr">
        <is>
          <t>NORDANSTIG</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50704-2024</t>
        </is>
      </c>
      <c r="B12906" s="1" t="n">
        <v>45602</v>
      </c>
      <c r="C12906" s="1" t="n">
        <v>45677</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50706-2024</t>
        </is>
      </c>
      <c r="B12907" s="1" t="n">
        <v>45602</v>
      </c>
      <c r="C12907" s="1" t="n">
        <v>45677</v>
      </c>
      <c r="D12907" t="inlineStr">
        <is>
          <t>GÄVLEBORGS LÄN</t>
        </is>
      </c>
      <c r="E12907" t="inlineStr">
        <is>
          <t>BOLLNÄS</t>
        </is>
      </c>
      <c r="G12907" t="n">
        <v>6.4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50765-2024</t>
        </is>
      </c>
      <c r="B12908" s="1" t="n">
        <v>45602</v>
      </c>
      <c r="C12908" s="1" t="n">
        <v>45677</v>
      </c>
      <c r="D12908" t="inlineStr">
        <is>
          <t>GÄVLEBORGS LÄN</t>
        </is>
      </c>
      <c r="E12908" t="inlineStr">
        <is>
          <t>SANDVIKEN</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50842-2024</t>
        </is>
      </c>
      <c r="B12909" s="1" t="n">
        <v>45602</v>
      </c>
      <c r="C12909" s="1" t="n">
        <v>45677</v>
      </c>
      <c r="D12909" t="inlineStr">
        <is>
          <t>GÄVLEBORGS LÄN</t>
        </is>
      </c>
      <c r="E12909" t="inlineStr">
        <is>
          <t>SÖDERHAMN</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50900-2024</t>
        </is>
      </c>
      <c r="B12910" s="1" t="n">
        <v>45602</v>
      </c>
      <c r="C12910" s="1" t="n">
        <v>45677</v>
      </c>
      <c r="D12910" t="inlineStr">
        <is>
          <t>GÄVLEBORGS LÄN</t>
        </is>
      </c>
      <c r="E12910" t="inlineStr">
        <is>
          <t>SANDVIKEN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50940-2024</t>
        </is>
      </c>
      <c r="B12911" s="1" t="n">
        <v>45602</v>
      </c>
      <c r="C12911" s="1" t="n">
        <v>45677</v>
      </c>
      <c r="D12911" t="inlineStr">
        <is>
          <t>GÄVLEBORGS LÄN</t>
        </is>
      </c>
      <c r="E12911" t="inlineStr">
        <is>
          <t>OVANÅKER</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50790-2024</t>
        </is>
      </c>
      <c r="B12912" s="1" t="n">
        <v>45602</v>
      </c>
      <c r="C12912" s="1" t="n">
        <v>45677</v>
      </c>
      <c r="D12912" t="inlineStr">
        <is>
          <t>GÄVLEBORGS LÄN</t>
        </is>
      </c>
      <c r="E12912" t="inlineStr">
        <is>
          <t>HUDIKSVALL</t>
        </is>
      </c>
      <c r="F12912" t="inlineStr">
        <is>
          <t>Holmen skog AB</t>
        </is>
      </c>
      <c r="G12912" t="n">
        <v>13.9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50794-2024</t>
        </is>
      </c>
      <c r="B12913" s="1" t="n">
        <v>45602</v>
      </c>
      <c r="C12913" s="1" t="n">
        <v>45677</v>
      </c>
      <c r="D12913" t="inlineStr">
        <is>
          <t>GÄVLEBORGS LÄN</t>
        </is>
      </c>
      <c r="E12913" t="inlineStr">
        <is>
          <t>GÄVLE</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50810-2024</t>
        </is>
      </c>
      <c r="B12914" s="1" t="n">
        <v>45602</v>
      </c>
      <c r="C12914" s="1" t="n">
        <v>45677</v>
      </c>
      <c r="D12914" t="inlineStr">
        <is>
          <t>GÄVLEBORGS LÄN</t>
        </is>
      </c>
      <c r="E12914" t="inlineStr">
        <is>
          <t>SÖDERHAMN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50827-2024</t>
        </is>
      </c>
      <c r="B12915" s="1" t="n">
        <v>45602</v>
      </c>
      <c r="C12915" s="1" t="n">
        <v>45677</v>
      </c>
      <c r="D12915" t="inlineStr">
        <is>
          <t>GÄVLEBORGS LÄN</t>
        </is>
      </c>
      <c r="E12915" t="inlineStr">
        <is>
          <t>BOLLNÄS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50858-2024</t>
        </is>
      </c>
      <c r="B12916" s="1" t="n">
        <v>45602</v>
      </c>
      <c r="C12916" s="1" t="n">
        <v>45677</v>
      </c>
      <c r="D12916" t="inlineStr">
        <is>
          <t>GÄVLEBORGS LÄN</t>
        </is>
      </c>
      <c r="E12916" t="inlineStr">
        <is>
          <t>LJUSDAL</t>
        </is>
      </c>
      <c r="F12916" t="inlineStr">
        <is>
          <t>Bergvik skog väst AB</t>
        </is>
      </c>
      <c r="G12916" t="n">
        <v>6.9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50930-2024</t>
        </is>
      </c>
      <c r="B12917" s="1" t="n">
        <v>45602</v>
      </c>
      <c r="C12917" s="1" t="n">
        <v>45677</v>
      </c>
      <c r="D12917" t="inlineStr">
        <is>
          <t>GÄVLEBORGS LÄN</t>
        </is>
      </c>
      <c r="E12917" t="inlineStr">
        <is>
          <t>SANDVIKEN</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50712-2024</t>
        </is>
      </c>
      <c r="B12918" s="1" t="n">
        <v>45602</v>
      </c>
      <c r="C12918" s="1" t="n">
        <v>45677</v>
      </c>
      <c r="D12918" t="inlineStr">
        <is>
          <t>GÄVLEBORGS LÄN</t>
        </is>
      </c>
      <c r="E12918" t="inlineStr">
        <is>
          <t>LJUSDAL</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50809-2024</t>
        </is>
      </c>
      <c r="B12919" s="1" t="n">
        <v>45602</v>
      </c>
      <c r="C12919" s="1" t="n">
        <v>45677</v>
      </c>
      <c r="D12919" t="inlineStr">
        <is>
          <t>GÄVLEBORGS LÄN</t>
        </is>
      </c>
      <c r="E12919" t="inlineStr">
        <is>
          <t>SÖDERHAMN</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50818-2024</t>
        </is>
      </c>
      <c r="B12920" s="1" t="n">
        <v>45602</v>
      </c>
      <c r="C12920" s="1" t="n">
        <v>45677</v>
      </c>
      <c r="D12920" t="inlineStr">
        <is>
          <t>GÄVLEBORGS LÄN</t>
        </is>
      </c>
      <c r="E12920" t="inlineStr">
        <is>
          <t>LJUSDAL</t>
        </is>
      </c>
      <c r="F12920" t="inlineStr">
        <is>
          <t>Kommuner</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50830-2024</t>
        </is>
      </c>
      <c r="B12921" s="1" t="n">
        <v>45602</v>
      </c>
      <c r="C12921" s="1" t="n">
        <v>45677</v>
      </c>
      <c r="D12921" t="inlineStr">
        <is>
          <t>GÄVLEBORGS LÄN</t>
        </is>
      </c>
      <c r="E12921" t="inlineStr">
        <is>
          <t>LJUSDAL</t>
        </is>
      </c>
      <c r="F12921" t="inlineStr">
        <is>
          <t>Holmen skog AB</t>
        </is>
      </c>
      <c r="G12921" t="n">
        <v>16.9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50905-2024</t>
        </is>
      </c>
      <c r="B12922" s="1" t="n">
        <v>45602</v>
      </c>
      <c r="C12922" s="1" t="n">
        <v>45677</v>
      </c>
      <c r="D12922" t="inlineStr">
        <is>
          <t>GÄVLEBORGS LÄN</t>
        </is>
      </c>
      <c r="E12922" t="inlineStr">
        <is>
          <t>SANDVIKEN</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50941-2024</t>
        </is>
      </c>
      <c r="B12923" s="1" t="n">
        <v>45602</v>
      </c>
      <c r="C12923" s="1" t="n">
        <v>45677</v>
      </c>
      <c r="D12923" t="inlineStr">
        <is>
          <t>GÄVLEBORGS LÄN</t>
        </is>
      </c>
      <c r="E12923" t="inlineStr">
        <is>
          <t>SANDVIKEN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51126-2024</t>
        </is>
      </c>
      <c r="B12924" s="1" t="n">
        <v>45603</v>
      </c>
      <c r="C12924" s="1" t="n">
        <v>45677</v>
      </c>
      <c r="D12924" t="inlineStr">
        <is>
          <t>GÄVLEBORGS LÄN</t>
        </is>
      </c>
      <c r="E12924" t="inlineStr">
        <is>
          <t>HUDIKSVALL</t>
        </is>
      </c>
      <c r="F12924" t="inlineStr">
        <is>
          <t>Holmen skog AB</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51138-2024</t>
        </is>
      </c>
      <c r="B12925" s="1" t="n">
        <v>45603</v>
      </c>
      <c r="C12925" s="1" t="n">
        <v>45677</v>
      </c>
      <c r="D12925" t="inlineStr">
        <is>
          <t>GÄVLEBORGS LÄN</t>
        </is>
      </c>
      <c r="E12925" t="inlineStr">
        <is>
          <t>GÄVLE</t>
        </is>
      </c>
      <c r="F12925" t="inlineStr">
        <is>
          <t>Bergvik skog öst AB</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51005-2024</t>
        </is>
      </c>
      <c r="B12926" s="1" t="n">
        <v>45603</v>
      </c>
      <c r="C12926" s="1" t="n">
        <v>45677</v>
      </c>
      <c r="D12926" t="inlineStr">
        <is>
          <t>GÄVLEBORGS LÄN</t>
        </is>
      </c>
      <c r="E12926" t="inlineStr">
        <is>
          <t>OVANÅKER</t>
        </is>
      </c>
      <c r="G12926" t="n">
        <v>10.9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50980-2024</t>
        </is>
      </c>
      <c r="B12927" s="1" t="n">
        <v>45603</v>
      </c>
      <c r="C12927" s="1" t="n">
        <v>45677</v>
      </c>
      <c r="D12927" t="inlineStr">
        <is>
          <t>GÄVLEBORGS LÄN</t>
        </is>
      </c>
      <c r="E12927" t="inlineStr">
        <is>
          <t>LJUSDAL</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50967-2024</t>
        </is>
      </c>
      <c r="B12928" s="1" t="n">
        <v>45603</v>
      </c>
      <c r="C12928" s="1" t="n">
        <v>45677</v>
      </c>
      <c r="D12928" t="inlineStr">
        <is>
          <t>GÄVLEBORGS LÄN</t>
        </is>
      </c>
      <c r="E12928" t="inlineStr">
        <is>
          <t>LJUSDAL</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50973-2024</t>
        </is>
      </c>
      <c r="B12929" s="1" t="n">
        <v>45603</v>
      </c>
      <c r="C12929" s="1" t="n">
        <v>45677</v>
      </c>
      <c r="D12929" t="inlineStr">
        <is>
          <t>GÄVLEBORGS LÄN</t>
        </is>
      </c>
      <c r="E12929" t="inlineStr">
        <is>
          <t>LJUSDAL</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50985-2024</t>
        </is>
      </c>
      <c r="B12930" s="1" t="n">
        <v>45603</v>
      </c>
      <c r="C12930" s="1" t="n">
        <v>45677</v>
      </c>
      <c r="D12930" t="inlineStr">
        <is>
          <t>GÄVLEBORGS LÄN</t>
        </is>
      </c>
      <c r="E12930" t="inlineStr">
        <is>
          <t>OCKELBO</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51230-2024</t>
        </is>
      </c>
      <c r="B12931" s="1" t="n">
        <v>45603</v>
      </c>
      <c r="C12931" s="1" t="n">
        <v>45677</v>
      </c>
      <c r="D12931" t="inlineStr">
        <is>
          <t>GÄVLEBORGS LÄN</t>
        </is>
      </c>
      <c r="E12931" t="inlineStr">
        <is>
          <t>NORDANSTIG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51247-2024</t>
        </is>
      </c>
      <c r="B12932" s="1" t="n">
        <v>45603</v>
      </c>
      <c r="C12932" s="1" t="n">
        <v>45677</v>
      </c>
      <c r="D12932" t="inlineStr">
        <is>
          <t>GÄVLEBORGS LÄN</t>
        </is>
      </c>
      <c r="E12932" t="inlineStr">
        <is>
          <t>LJUSDAL</t>
        </is>
      </c>
      <c r="F12932" t="inlineStr">
        <is>
          <t>Kommuner</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51003-2024</t>
        </is>
      </c>
      <c r="B12933" s="1" t="n">
        <v>45603</v>
      </c>
      <c r="C12933" s="1" t="n">
        <v>45677</v>
      </c>
      <c r="D12933" t="inlineStr">
        <is>
          <t>GÄVLEBORGS LÄN</t>
        </is>
      </c>
      <c r="E12933" t="inlineStr">
        <is>
          <t>OVANÅKER</t>
        </is>
      </c>
      <c r="G12933" t="n">
        <v>14.3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51007-2024</t>
        </is>
      </c>
      <c r="B12934" s="1" t="n">
        <v>45603</v>
      </c>
      <c r="C12934" s="1" t="n">
        <v>45677</v>
      </c>
      <c r="D12934" t="inlineStr">
        <is>
          <t>GÄVLEBORGS LÄN</t>
        </is>
      </c>
      <c r="E12934" t="inlineStr">
        <is>
          <t>SÖDERHAMN</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51023-2024</t>
        </is>
      </c>
      <c r="B12935" s="1" t="n">
        <v>45603</v>
      </c>
      <c r="C12935" s="1" t="n">
        <v>45677</v>
      </c>
      <c r="D12935" t="inlineStr">
        <is>
          <t>GÄVLEBORGS LÄN</t>
        </is>
      </c>
      <c r="E12935" t="inlineStr">
        <is>
          <t>NORDANSTIG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51071-2024</t>
        </is>
      </c>
      <c r="B12936" s="1" t="n">
        <v>45603</v>
      </c>
      <c r="C12936" s="1" t="n">
        <v>45677</v>
      </c>
      <c r="D12936" t="inlineStr">
        <is>
          <t>GÄVLEBORGS LÄN</t>
        </is>
      </c>
      <c r="E12936" t="inlineStr">
        <is>
          <t>HUDIKSVALL</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51091-2024</t>
        </is>
      </c>
      <c r="B12937" s="1" t="n">
        <v>45603</v>
      </c>
      <c r="C12937" s="1" t="n">
        <v>45677</v>
      </c>
      <c r="D12937" t="inlineStr">
        <is>
          <t>GÄVLEBORGS LÄN</t>
        </is>
      </c>
      <c r="E12937" t="inlineStr">
        <is>
          <t>NORDANSTIG</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51028-2024</t>
        </is>
      </c>
      <c r="B12938" s="1" t="n">
        <v>45603</v>
      </c>
      <c r="C12938" s="1" t="n">
        <v>45677</v>
      </c>
      <c r="D12938" t="inlineStr">
        <is>
          <t>GÄVLEBORGS LÄN</t>
        </is>
      </c>
      <c r="E12938" t="inlineStr">
        <is>
          <t>OCKELBO</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51072-2024</t>
        </is>
      </c>
      <c r="B12939" s="1" t="n">
        <v>45603</v>
      </c>
      <c r="C12939" s="1" t="n">
        <v>45677</v>
      </c>
      <c r="D12939" t="inlineStr">
        <is>
          <t>GÄVLEBORGS LÄN</t>
        </is>
      </c>
      <c r="E12939" t="inlineStr">
        <is>
          <t>HUDIKSVALL</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51236-2024</t>
        </is>
      </c>
      <c r="B12940" s="1" t="n">
        <v>45603</v>
      </c>
      <c r="C12940" s="1" t="n">
        <v>45677</v>
      </c>
      <c r="D12940" t="inlineStr">
        <is>
          <t>GÄVLEBORGS LÄN</t>
        </is>
      </c>
      <c r="E12940" t="inlineStr">
        <is>
          <t>LJUSDAL</t>
        </is>
      </c>
      <c r="F12940" t="inlineStr">
        <is>
          <t>Kommuner</t>
        </is>
      </c>
      <c r="G12940" t="n">
        <v>0.3</v>
      </c>
      <c r="H12940" t="n">
        <v>0</v>
      </c>
      <c r="I12940" t="n">
        <v>0</v>
      </c>
      <c r="J12940" t="n">
        <v>0</v>
      </c>
      <c r="K12940" t="n">
        <v>0</v>
      </c>
      <c r="L12940" t="n">
        <v>0</v>
      </c>
      <c r="M12940" t="n">
        <v>0</v>
      </c>
      <c r="N12940" t="n">
        <v>0</v>
      </c>
      <c r="O12940" t="n">
        <v>0</v>
      </c>
      <c r="P12940" t="n">
        <v>0</v>
      </c>
      <c r="Q12940" t="n">
        <v>0</v>
      </c>
      <c r="R12940" s="2" t="inlineStr"/>
      <c r="U12940">
        <f>HYPERLINK("https://klasma.github.io/Logging_2161/knärot/A 51236-2024 karta knärot.png", "A 51236-2024")</f>
        <v/>
      </c>
      <c r="V12940">
        <f>HYPERLINK("https://klasma.github.io/Logging_2161/klagomål/A 51236-2024 FSC-klagomål.docx", "A 51236-2024")</f>
        <v/>
      </c>
      <c r="W12940">
        <f>HYPERLINK("https://klasma.github.io/Logging_2161/klagomålsmail/A 51236-2024 FSC-klagomål mail.docx", "A 51236-2024")</f>
        <v/>
      </c>
      <c r="X12940">
        <f>HYPERLINK("https://klasma.github.io/Logging_2161/tillsyn/A 51236-2024 tillsynsbegäran.docx", "A 51236-2024")</f>
        <v/>
      </c>
      <c r="Y12940">
        <f>HYPERLINK("https://klasma.github.io/Logging_2161/tillsynsmail/A 51236-2024 tillsynsbegäran mail.docx", "A 51236-2024")</f>
        <v/>
      </c>
    </row>
    <row r="12941" ht="15" customHeight="1">
      <c r="A12941" t="inlineStr">
        <is>
          <t>A 51222-2024</t>
        </is>
      </c>
      <c r="B12941" s="1" t="n">
        <v>45603</v>
      </c>
      <c r="C12941" s="1" t="n">
        <v>45677</v>
      </c>
      <c r="D12941" t="inlineStr">
        <is>
          <t>GÄVLEBORGS LÄN</t>
        </is>
      </c>
      <c r="E12941" t="inlineStr">
        <is>
          <t>NORDANSTIG</t>
        </is>
      </c>
      <c r="G12941" t="n">
        <v>15.1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50968-2024</t>
        </is>
      </c>
      <c r="B12942" s="1" t="n">
        <v>45603</v>
      </c>
      <c r="C12942" s="1" t="n">
        <v>45677</v>
      </c>
      <c r="D12942" t="inlineStr">
        <is>
          <t>GÄVLEBORGS LÄN</t>
        </is>
      </c>
      <c r="E12942" t="inlineStr">
        <is>
          <t>OCKELBO</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51109-2024</t>
        </is>
      </c>
      <c r="B12943" s="1" t="n">
        <v>45603</v>
      </c>
      <c r="C12943" s="1" t="n">
        <v>45677</v>
      </c>
      <c r="D12943" t="inlineStr">
        <is>
          <t>GÄVLEBORGS LÄN</t>
        </is>
      </c>
      <c r="E12943" t="inlineStr">
        <is>
          <t>LJUSDAL</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51380-2024</t>
        </is>
      </c>
      <c r="B12944" s="1" t="n">
        <v>45604</v>
      </c>
      <c r="C12944" s="1" t="n">
        <v>45677</v>
      </c>
      <c r="D12944" t="inlineStr">
        <is>
          <t>GÄVLEBORGS LÄN</t>
        </is>
      </c>
      <c r="E12944" t="inlineStr">
        <is>
          <t>NORDANSTIG</t>
        </is>
      </c>
      <c r="F12944" t="inlineStr">
        <is>
          <t>Holmen skog AB</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51424-2024</t>
        </is>
      </c>
      <c r="B12945" s="1" t="n">
        <v>45604</v>
      </c>
      <c r="C12945" s="1" t="n">
        <v>45677</v>
      </c>
      <c r="D12945" t="inlineStr">
        <is>
          <t>GÄVLEBORGS LÄN</t>
        </is>
      </c>
      <c r="E12945" t="inlineStr">
        <is>
          <t>HUDIKSVALL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51387-2024</t>
        </is>
      </c>
      <c r="B12946" s="1" t="n">
        <v>45604</v>
      </c>
      <c r="C12946" s="1" t="n">
        <v>45677</v>
      </c>
      <c r="D12946" t="inlineStr">
        <is>
          <t>GÄVLEBORGS LÄN</t>
        </is>
      </c>
      <c r="E12946" t="inlineStr">
        <is>
          <t>NORDANSTIG</t>
        </is>
      </c>
      <c r="F12946" t="inlineStr">
        <is>
          <t>Holmen skog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51430-2024</t>
        </is>
      </c>
      <c r="B12947" s="1" t="n">
        <v>45604</v>
      </c>
      <c r="C12947" s="1" t="n">
        <v>45677</v>
      </c>
      <c r="D12947" t="inlineStr">
        <is>
          <t>GÄVLEBORGS LÄN</t>
        </is>
      </c>
      <c r="E12947" t="inlineStr">
        <is>
          <t>HUDIKSVALL</t>
        </is>
      </c>
      <c r="G12947" t="n">
        <v>10.4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51553-2024</t>
        </is>
      </c>
      <c r="B12948" s="1" t="n">
        <v>45604</v>
      </c>
      <c r="C12948" s="1" t="n">
        <v>45677</v>
      </c>
      <c r="D12948" t="inlineStr">
        <is>
          <t>GÄVLEBORGS LÄN</t>
        </is>
      </c>
      <c r="E12948" t="inlineStr">
        <is>
          <t>SÖDERHAMN</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51427-2024</t>
        </is>
      </c>
      <c r="B12949" s="1" t="n">
        <v>45604</v>
      </c>
      <c r="C12949" s="1" t="n">
        <v>45677</v>
      </c>
      <c r="D12949" t="inlineStr">
        <is>
          <t>GÄVLEBORGS LÄN</t>
        </is>
      </c>
      <c r="E12949" t="inlineStr">
        <is>
          <t>LJUSDAL</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51599-2024</t>
        </is>
      </c>
      <c r="B12950" s="1" t="n">
        <v>45604</v>
      </c>
      <c r="C12950" s="1" t="n">
        <v>45677</v>
      </c>
      <c r="D12950" t="inlineStr">
        <is>
          <t>GÄVLEBORGS LÄN</t>
        </is>
      </c>
      <c r="E12950" t="inlineStr">
        <is>
          <t>LJUSDAL</t>
        </is>
      </c>
      <c r="F12950" t="inlineStr">
        <is>
          <t>Sveaskog</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51364-2024</t>
        </is>
      </c>
      <c r="B12951" s="1" t="n">
        <v>45604</v>
      </c>
      <c r="C12951" s="1" t="n">
        <v>45677</v>
      </c>
      <c r="D12951" t="inlineStr">
        <is>
          <t>GÄVLEBORGS LÄN</t>
        </is>
      </c>
      <c r="E12951" t="inlineStr">
        <is>
          <t>LJUSDAL</t>
        </is>
      </c>
      <c r="G12951" t="n">
        <v>10.7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51368-2024</t>
        </is>
      </c>
      <c r="B12952" s="1" t="n">
        <v>45604</v>
      </c>
      <c r="C12952" s="1" t="n">
        <v>45677</v>
      </c>
      <c r="D12952" t="inlineStr">
        <is>
          <t>GÄVLEBORGS LÄN</t>
        </is>
      </c>
      <c r="E12952" t="inlineStr">
        <is>
          <t>GÄVLE</t>
        </is>
      </c>
      <c r="F12952" t="inlineStr">
        <is>
          <t>Bergvik skog öst AB</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51522-2024</t>
        </is>
      </c>
      <c r="B12953" s="1" t="n">
        <v>45604</v>
      </c>
      <c r="C12953" s="1" t="n">
        <v>45677</v>
      </c>
      <c r="D12953" t="inlineStr">
        <is>
          <t>GÄVLEBORGS LÄN</t>
        </is>
      </c>
      <c r="E12953" t="inlineStr">
        <is>
          <t>OVANÅKER</t>
        </is>
      </c>
      <c r="F12953" t="inlineStr">
        <is>
          <t>Bergvik skog väst AB</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51552-2024</t>
        </is>
      </c>
      <c r="B12954" s="1" t="n">
        <v>45604</v>
      </c>
      <c r="C12954" s="1" t="n">
        <v>45677</v>
      </c>
      <c r="D12954" t="inlineStr">
        <is>
          <t>GÄVLEBORGS LÄN</t>
        </is>
      </c>
      <c r="E12954" t="inlineStr">
        <is>
          <t>OVANÅKER</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51637-2024</t>
        </is>
      </c>
      <c r="B12955" s="1" t="n">
        <v>45605</v>
      </c>
      <c r="C12955" s="1" t="n">
        <v>45677</v>
      </c>
      <c r="D12955" t="inlineStr">
        <is>
          <t>GÄVLEBORGS LÄN</t>
        </is>
      </c>
      <c r="E12955" t="inlineStr">
        <is>
          <t>LJUSDAL</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51984-2024</t>
        </is>
      </c>
      <c r="B12956" s="1" t="n">
        <v>45607</v>
      </c>
      <c r="C12956" s="1" t="n">
        <v>45677</v>
      </c>
      <c r="D12956" t="inlineStr">
        <is>
          <t>GÄVLEBORGS LÄN</t>
        </is>
      </c>
      <c r="E12956" t="inlineStr">
        <is>
          <t>OVANÅKER</t>
        </is>
      </c>
      <c r="G12956" t="n">
        <v>15.2</v>
      </c>
      <c r="H12956" t="n">
        <v>0</v>
      </c>
      <c r="I12956" t="n">
        <v>0</v>
      </c>
      <c r="J12956" t="n">
        <v>0</v>
      </c>
      <c r="K12956" t="n">
        <v>0</v>
      </c>
      <c r="L12956" t="n">
        <v>0</v>
      </c>
      <c r="M12956" t="n">
        <v>0</v>
      </c>
      <c r="N12956" t="n">
        <v>0</v>
      </c>
      <c r="O12956" t="n">
        <v>0</v>
      </c>
      <c r="P12956" t="n">
        <v>0</v>
      </c>
      <c r="Q12956" t="n">
        <v>0</v>
      </c>
      <c r="R12956" s="2" t="inlineStr"/>
      <c r="U12956">
        <f>HYPERLINK("https://klasma.github.io/Logging_2121/knärot/A 51984-2024 karta knärot.png", "A 51984-2024")</f>
        <v/>
      </c>
      <c r="V12956">
        <f>HYPERLINK("https://klasma.github.io/Logging_2121/klagomål/A 51984-2024 FSC-klagomål.docx", "A 51984-2024")</f>
        <v/>
      </c>
      <c r="W12956">
        <f>HYPERLINK("https://klasma.github.io/Logging_2121/klagomålsmail/A 51984-2024 FSC-klagomål mail.docx", "A 51984-2024")</f>
        <v/>
      </c>
      <c r="X12956">
        <f>HYPERLINK("https://klasma.github.io/Logging_2121/tillsyn/A 51984-2024 tillsynsbegäran.docx", "A 51984-2024")</f>
        <v/>
      </c>
      <c r="Y12956">
        <f>HYPERLINK("https://klasma.github.io/Logging_2121/tillsynsmail/A 51984-2024 tillsynsbegäran mail.docx", "A 51984-2024")</f>
        <v/>
      </c>
    </row>
    <row r="12957" ht="15" customHeight="1">
      <c r="A12957" t="inlineStr">
        <is>
          <t>A 51988-2024</t>
        </is>
      </c>
      <c r="B12957" s="1" t="n">
        <v>45607</v>
      </c>
      <c r="C12957" s="1" t="n">
        <v>45677</v>
      </c>
      <c r="D12957" t="inlineStr">
        <is>
          <t>GÄVLEBORGS LÄN</t>
        </is>
      </c>
      <c r="E12957" t="inlineStr">
        <is>
          <t>NORDANSTIG</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51979-2024</t>
        </is>
      </c>
      <c r="B12958" s="1" t="n">
        <v>45607</v>
      </c>
      <c r="C12958" s="1" t="n">
        <v>45677</v>
      </c>
      <c r="D12958" t="inlineStr">
        <is>
          <t>GÄVLEBORGS LÄN</t>
        </is>
      </c>
      <c r="E12958" t="inlineStr">
        <is>
          <t>BOLLNÄS</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51983-2024</t>
        </is>
      </c>
      <c r="B12959" s="1" t="n">
        <v>45607</v>
      </c>
      <c r="C12959" s="1" t="n">
        <v>45677</v>
      </c>
      <c r="D12959" t="inlineStr">
        <is>
          <t>GÄVLEBORGS LÄN</t>
        </is>
      </c>
      <c r="E12959" t="inlineStr">
        <is>
          <t>BOLLNÄS</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51681-2024</t>
        </is>
      </c>
      <c r="B12960" s="1" t="n">
        <v>45607</v>
      </c>
      <c r="C12960" s="1" t="n">
        <v>45677</v>
      </c>
      <c r="D12960" t="inlineStr">
        <is>
          <t>GÄVLEBORGS LÄN</t>
        </is>
      </c>
      <c r="E12960" t="inlineStr">
        <is>
          <t>BOLLNÄS</t>
        </is>
      </c>
      <c r="F12960" t="inlineStr">
        <is>
          <t>Bergvik skog väst AB</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51997-2024</t>
        </is>
      </c>
      <c r="B12961" s="1" t="n">
        <v>45607</v>
      </c>
      <c r="C12961" s="1" t="n">
        <v>45677</v>
      </c>
      <c r="D12961" t="inlineStr">
        <is>
          <t>GÄVLEBORGS LÄN</t>
        </is>
      </c>
      <c r="E12961" t="inlineStr">
        <is>
          <t>NORDANSTIG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52001-2024</t>
        </is>
      </c>
      <c r="B12962" s="1" t="n">
        <v>45607</v>
      </c>
      <c r="C12962" s="1" t="n">
        <v>45677</v>
      </c>
      <c r="D12962" t="inlineStr">
        <is>
          <t>GÄVLEBORGS LÄN</t>
        </is>
      </c>
      <c r="E12962" t="inlineStr">
        <is>
          <t>NORDANSTIG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52000-2024</t>
        </is>
      </c>
      <c r="B12963" s="1" t="n">
        <v>45607</v>
      </c>
      <c r="C12963" s="1" t="n">
        <v>45677</v>
      </c>
      <c r="D12963" t="inlineStr">
        <is>
          <t>GÄVLEBORGS LÄN</t>
        </is>
      </c>
      <c r="E12963" t="inlineStr">
        <is>
          <t>NORDANSTIG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51788-2024</t>
        </is>
      </c>
      <c r="B12964" s="1" t="n">
        <v>45607</v>
      </c>
      <c r="C12964" s="1" t="n">
        <v>45677</v>
      </c>
      <c r="D12964" t="inlineStr">
        <is>
          <t>GÄVLEBORGS LÄN</t>
        </is>
      </c>
      <c r="E12964" t="inlineStr">
        <is>
          <t>OVANÅKER</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51807-2024</t>
        </is>
      </c>
      <c r="B12965" s="1" t="n">
        <v>45607</v>
      </c>
      <c r="C12965" s="1" t="n">
        <v>45677</v>
      </c>
      <c r="D12965" t="inlineStr">
        <is>
          <t>GÄVLEBORGS LÄN</t>
        </is>
      </c>
      <c r="E12965" t="inlineStr">
        <is>
          <t>LJUSDAL</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51821-2024</t>
        </is>
      </c>
      <c r="B12966" s="1" t="n">
        <v>45607</v>
      </c>
      <c r="C12966" s="1" t="n">
        <v>45677</v>
      </c>
      <c r="D12966" t="inlineStr">
        <is>
          <t>GÄVLEBORGS LÄN</t>
        </is>
      </c>
      <c r="E12966" t="inlineStr">
        <is>
          <t>NORDANSTIG</t>
        </is>
      </c>
      <c r="F12966" t="inlineStr">
        <is>
          <t>Holmen skog AB</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51880-2024</t>
        </is>
      </c>
      <c r="B12967" s="1" t="n">
        <v>45607</v>
      </c>
      <c r="C12967" s="1" t="n">
        <v>45677</v>
      </c>
      <c r="D12967" t="inlineStr">
        <is>
          <t>GÄVLEBORGS LÄN</t>
        </is>
      </c>
      <c r="E12967" t="inlineStr">
        <is>
          <t>LJUSDAL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51970-2024</t>
        </is>
      </c>
      <c r="B12968" s="1" t="n">
        <v>45607</v>
      </c>
      <c r="C12968" s="1" t="n">
        <v>45677</v>
      </c>
      <c r="D12968" t="inlineStr">
        <is>
          <t>GÄVLEBORGS LÄN</t>
        </is>
      </c>
      <c r="E12968" t="inlineStr">
        <is>
          <t>BOLLNÄS</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51986-2024</t>
        </is>
      </c>
      <c r="B12969" s="1" t="n">
        <v>45607</v>
      </c>
      <c r="C12969" s="1" t="n">
        <v>45677</v>
      </c>
      <c r="D12969" t="inlineStr">
        <is>
          <t>GÄVLEBORGS LÄN</t>
        </is>
      </c>
      <c r="E12969" t="inlineStr">
        <is>
          <t>SÖDERHAMN</t>
        </is>
      </c>
      <c r="F12969" t="inlineStr">
        <is>
          <t>Bergvik skog väst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51711-2024</t>
        </is>
      </c>
      <c r="B12970" s="1" t="n">
        <v>45607</v>
      </c>
      <c r="C12970" s="1" t="n">
        <v>45677</v>
      </c>
      <c r="D12970" t="inlineStr">
        <is>
          <t>GÄVLEBORGS LÄN</t>
        </is>
      </c>
      <c r="E12970" t="inlineStr">
        <is>
          <t>LJUSDAL</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51725-2024</t>
        </is>
      </c>
      <c r="B12971" s="1" t="n">
        <v>45607</v>
      </c>
      <c r="C12971" s="1" t="n">
        <v>45677</v>
      </c>
      <c r="D12971" t="inlineStr">
        <is>
          <t>GÄVLEBORGS LÄN</t>
        </is>
      </c>
      <c r="E12971" t="inlineStr">
        <is>
          <t>LJUSDAL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51801-2024</t>
        </is>
      </c>
      <c r="B12972" s="1" t="n">
        <v>45607</v>
      </c>
      <c r="C12972" s="1" t="n">
        <v>45677</v>
      </c>
      <c r="D12972" t="inlineStr">
        <is>
          <t>GÄVLEBORGS LÄN</t>
        </is>
      </c>
      <c r="E12972" t="inlineStr">
        <is>
          <t>LJUSDAL</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51806-2024</t>
        </is>
      </c>
      <c r="B12973" s="1" t="n">
        <v>45607</v>
      </c>
      <c r="C12973" s="1" t="n">
        <v>45677</v>
      </c>
      <c r="D12973" t="inlineStr">
        <is>
          <t>GÄVLEBORGS LÄN</t>
        </is>
      </c>
      <c r="E12973" t="inlineStr">
        <is>
          <t>NORDANSTIG</t>
        </is>
      </c>
      <c r="F12973" t="inlineStr">
        <is>
          <t>Holmen skog AB</t>
        </is>
      </c>
      <c r="G12973" t="n">
        <v>10</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51867-2024</t>
        </is>
      </c>
      <c r="B12974" s="1" t="n">
        <v>45607</v>
      </c>
      <c r="C12974" s="1" t="n">
        <v>45677</v>
      </c>
      <c r="D12974" t="inlineStr">
        <is>
          <t>GÄVLEBORGS LÄN</t>
        </is>
      </c>
      <c r="E12974" t="inlineStr">
        <is>
          <t>LJUSDAL</t>
        </is>
      </c>
      <c r="F12974" t="inlineStr">
        <is>
          <t>SCA</t>
        </is>
      </c>
      <c r="G12974" t="n">
        <v>10.3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51892-2024</t>
        </is>
      </c>
      <c r="B12975" s="1" t="n">
        <v>45607</v>
      </c>
      <c r="C12975" s="1" t="n">
        <v>45677</v>
      </c>
      <c r="D12975" t="inlineStr">
        <is>
          <t>GÄVLEBORGS LÄN</t>
        </is>
      </c>
      <c r="E12975" t="inlineStr">
        <is>
          <t>HUDIKSVALL</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52002-2024</t>
        </is>
      </c>
      <c r="B12976" s="1" t="n">
        <v>45607</v>
      </c>
      <c r="C12976" s="1" t="n">
        <v>45677</v>
      </c>
      <c r="D12976" t="inlineStr">
        <is>
          <t>GÄVLEBORGS LÄN</t>
        </is>
      </c>
      <c r="E12976" t="inlineStr">
        <is>
          <t>NORDANSTIG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52006-2024</t>
        </is>
      </c>
      <c r="B12977" s="1" t="n">
        <v>45607</v>
      </c>
      <c r="C12977" s="1" t="n">
        <v>45677</v>
      </c>
      <c r="D12977" t="inlineStr">
        <is>
          <t>GÄVLEBORGS LÄN</t>
        </is>
      </c>
      <c r="E12977" t="inlineStr">
        <is>
          <t>NORDANSTIG</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51916-2024</t>
        </is>
      </c>
      <c r="B12978" s="1" t="n">
        <v>45607</v>
      </c>
      <c r="C12978" s="1" t="n">
        <v>45677</v>
      </c>
      <c r="D12978" t="inlineStr">
        <is>
          <t>GÄVLEBORGS LÄN</t>
        </is>
      </c>
      <c r="E12978" t="inlineStr">
        <is>
          <t>HUDIKSVALL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51869-2024</t>
        </is>
      </c>
      <c r="B12979" s="1" t="n">
        <v>45607</v>
      </c>
      <c r="C12979" s="1" t="n">
        <v>45677</v>
      </c>
      <c r="D12979" t="inlineStr">
        <is>
          <t>GÄVLEBORGS LÄN</t>
        </is>
      </c>
      <c r="E12979" t="inlineStr">
        <is>
          <t>LJUSDAL</t>
        </is>
      </c>
      <c r="F12979" t="inlineStr">
        <is>
          <t>Naturvårdsverket</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51831-2024</t>
        </is>
      </c>
      <c r="B12980" s="1" t="n">
        <v>45607</v>
      </c>
      <c r="C12980" s="1" t="n">
        <v>45677</v>
      </c>
      <c r="D12980" t="inlineStr">
        <is>
          <t>GÄVLEBORGS LÄN</t>
        </is>
      </c>
      <c r="E12980" t="inlineStr">
        <is>
          <t>GÄVLE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51842-2024</t>
        </is>
      </c>
      <c r="B12981" s="1" t="n">
        <v>45607</v>
      </c>
      <c r="C12981" s="1" t="n">
        <v>45677</v>
      </c>
      <c r="D12981" t="inlineStr">
        <is>
          <t>GÄVLEBORGS LÄN</t>
        </is>
      </c>
      <c r="E12981" t="inlineStr">
        <is>
          <t>NORDANSTIG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51789-2024</t>
        </is>
      </c>
      <c r="B12982" s="1" t="n">
        <v>45607</v>
      </c>
      <c r="C12982" s="1" t="n">
        <v>45677</v>
      </c>
      <c r="D12982" t="inlineStr">
        <is>
          <t>GÄVLEBORGS LÄN</t>
        </is>
      </c>
      <c r="E12982" t="inlineStr">
        <is>
          <t>BOLLNÄS</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51756-2024</t>
        </is>
      </c>
      <c r="B12983" s="1" t="n">
        <v>45607</v>
      </c>
      <c r="C12983" s="1" t="n">
        <v>45677</v>
      </c>
      <c r="D12983" t="inlineStr">
        <is>
          <t>GÄVLEBORGS LÄN</t>
        </is>
      </c>
      <c r="E12983" t="inlineStr">
        <is>
          <t>BOLLNÄS</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51719-2024</t>
        </is>
      </c>
      <c r="B12984" s="1" t="n">
        <v>45607</v>
      </c>
      <c r="C12984" s="1" t="n">
        <v>45677</v>
      </c>
      <c r="D12984" t="inlineStr">
        <is>
          <t>GÄVLEBORGS LÄN</t>
        </is>
      </c>
      <c r="E12984" t="inlineStr">
        <is>
          <t>LJUSDAL</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51714-2024</t>
        </is>
      </c>
      <c r="B12985" s="1" t="n">
        <v>45607</v>
      </c>
      <c r="C12985" s="1" t="n">
        <v>45677</v>
      </c>
      <c r="D12985" t="inlineStr">
        <is>
          <t>GÄVLEBORGS LÄN</t>
        </is>
      </c>
      <c r="E12985" t="inlineStr">
        <is>
          <t>LJUSDAL</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51703-2024</t>
        </is>
      </c>
      <c r="B12986" s="1" t="n">
        <v>45607</v>
      </c>
      <c r="C12986" s="1" t="n">
        <v>45677</v>
      </c>
      <c r="D12986" t="inlineStr">
        <is>
          <t>GÄVLEBORGS LÄN</t>
        </is>
      </c>
      <c r="E12986" t="inlineStr">
        <is>
          <t>BOLLNÄS</t>
        </is>
      </c>
      <c r="F12986" t="inlineStr">
        <is>
          <t>Bergvik skog väst AB</t>
        </is>
      </c>
      <c r="G12986" t="n">
        <v>35.8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51679-2024</t>
        </is>
      </c>
      <c r="B12987" s="1" t="n">
        <v>45607</v>
      </c>
      <c r="C12987" s="1" t="n">
        <v>45677</v>
      </c>
      <c r="D12987" t="inlineStr">
        <is>
          <t>GÄVLEBORGS LÄN</t>
        </is>
      </c>
      <c r="E12987" t="inlineStr">
        <is>
          <t>GÄVLE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52253-2024</t>
        </is>
      </c>
      <c r="B12988" s="1" t="n">
        <v>45608</v>
      </c>
      <c r="C12988" s="1" t="n">
        <v>45677</v>
      </c>
      <c r="D12988" t="inlineStr">
        <is>
          <t>GÄVLEBORGS LÄN</t>
        </is>
      </c>
      <c r="E12988" t="inlineStr">
        <is>
          <t>GÄVLE</t>
        </is>
      </c>
      <c r="F12988" t="inlineStr">
        <is>
          <t>Bergvik skog väst AB</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52273-2024</t>
        </is>
      </c>
      <c r="B12989" s="1" t="n">
        <v>45608</v>
      </c>
      <c r="C12989" s="1" t="n">
        <v>45677</v>
      </c>
      <c r="D12989" t="inlineStr">
        <is>
          <t>GÄVLEBORGS LÄN</t>
        </is>
      </c>
      <c r="E12989" t="inlineStr">
        <is>
          <t>OCKELBO</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52286-2024</t>
        </is>
      </c>
      <c r="B12990" s="1" t="n">
        <v>45608</v>
      </c>
      <c r="C12990" s="1" t="n">
        <v>45677</v>
      </c>
      <c r="D12990" t="inlineStr">
        <is>
          <t>GÄVLEBORGS LÄN</t>
        </is>
      </c>
      <c r="E12990" t="inlineStr">
        <is>
          <t>OVANÅKER</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52181-2024</t>
        </is>
      </c>
      <c r="B12991" s="1" t="n">
        <v>45608</v>
      </c>
      <c r="C12991" s="1" t="n">
        <v>45677</v>
      </c>
      <c r="D12991" t="inlineStr">
        <is>
          <t>GÄVLEBORGS LÄN</t>
        </is>
      </c>
      <c r="E12991" t="inlineStr">
        <is>
          <t>BOLLNÄS</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52090-2024</t>
        </is>
      </c>
      <c r="B12992" s="1" t="n">
        <v>45608</v>
      </c>
      <c r="C12992" s="1" t="n">
        <v>45677</v>
      </c>
      <c r="D12992" t="inlineStr">
        <is>
          <t>GÄVLEBORGS LÄN</t>
        </is>
      </c>
      <c r="E12992" t="inlineStr">
        <is>
          <t>LJUSDAL</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52099-2024</t>
        </is>
      </c>
      <c r="B12993" s="1" t="n">
        <v>45608</v>
      </c>
      <c r="C12993" s="1" t="n">
        <v>45677</v>
      </c>
      <c r="D12993" t="inlineStr">
        <is>
          <t>GÄVLEBORGS LÄN</t>
        </is>
      </c>
      <c r="E12993" t="inlineStr">
        <is>
          <t>LJUSDAL</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52215-2024</t>
        </is>
      </c>
      <c r="B12994" s="1" t="n">
        <v>45608</v>
      </c>
      <c r="C12994" s="1" t="n">
        <v>45677</v>
      </c>
      <c r="D12994" t="inlineStr">
        <is>
          <t>GÄVLEBORGS LÄN</t>
        </is>
      </c>
      <c r="E12994" t="inlineStr">
        <is>
          <t>NORDANSTIG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52052-2024</t>
        </is>
      </c>
      <c r="B12995" s="1" t="n">
        <v>45608</v>
      </c>
      <c r="C12995" s="1" t="n">
        <v>45677</v>
      </c>
      <c r="D12995" t="inlineStr">
        <is>
          <t>GÄVLEBORGS LÄN</t>
        </is>
      </c>
      <c r="E12995" t="inlineStr">
        <is>
          <t>HUDIKSVALL</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52125-2024</t>
        </is>
      </c>
      <c r="B12996" s="1" t="n">
        <v>45608</v>
      </c>
      <c r="C12996" s="1" t="n">
        <v>45677</v>
      </c>
      <c r="D12996" t="inlineStr">
        <is>
          <t>GÄVLEBORGS LÄN</t>
        </is>
      </c>
      <c r="E12996" t="inlineStr">
        <is>
          <t>OCKELBO</t>
        </is>
      </c>
      <c r="G12996" t="n">
        <v>8.5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52243-2024</t>
        </is>
      </c>
      <c r="B12997" s="1" t="n">
        <v>45608</v>
      </c>
      <c r="C12997" s="1" t="n">
        <v>45677</v>
      </c>
      <c r="D12997" t="inlineStr">
        <is>
          <t>GÄVLEBORGS LÄN</t>
        </is>
      </c>
      <c r="E12997" t="inlineStr">
        <is>
          <t>OCKELBO</t>
        </is>
      </c>
      <c r="F12997" t="inlineStr">
        <is>
          <t>Bergvik skog väst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52206-2024</t>
        </is>
      </c>
      <c r="B12998" s="1" t="n">
        <v>45608</v>
      </c>
      <c r="C12998" s="1" t="n">
        <v>45677</v>
      </c>
      <c r="D12998" t="inlineStr">
        <is>
          <t>GÄVLEBORGS LÄN</t>
        </is>
      </c>
      <c r="E12998" t="inlineStr">
        <is>
          <t>OCKELBO</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52195-2024</t>
        </is>
      </c>
      <c r="B12999" s="1" t="n">
        <v>45608</v>
      </c>
      <c r="C12999" s="1" t="n">
        <v>45677</v>
      </c>
      <c r="D12999" t="inlineStr">
        <is>
          <t>GÄVLEBORGS LÄN</t>
        </is>
      </c>
      <c r="E12999" t="inlineStr">
        <is>
          <t>SÖDERHAMN</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52140-2024</t>
        </is>
      </c>
      <c r="B13000" s="1" t="n">
        <v>45608</v>
      </c>
      <c r="C13000" s="1" t="n">
        <v>45677</v>
      </c>
      <c r="D13000" t="inlineStr">
        <is>
          <t>GÄVLEBORGS LÄN</t>
        </is>
      </c>
      <c r="E13000" t="inlineStr">
        <is>
          <t>OCKELBO</t>
        </is>
      </c>
      <c r="F13000" t="inlineStr">
        <is>
          <t>Bergvik skog väst AB</t>
        </is>
      </c>
      <c r="G13000" t="n">
        <v>9.800000000000001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52210-2024</t>
        </is>
      </c>
      <c r="B13001" s="1" t="n">
        <v>45608</v>
      </c>
      <c r="C13001" s="1" t="n">
        <v>45677</v>
      </c>
      <c r="D13001" t="inlineStr">
        <is>
          <t>GÄVLEBORGS LÄN</t>
        </is>
      </c>
      <c r="E13001" t="inlineStr">
        <is>
          <t>HUDIKSVALL</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52221-2024</t>
        </is>
      </c>
      <c r="B13002" s="1" t="n">
        <v>45608</v>
      </c>
      <c r="C13002" s="1" t="n">
        <v>45677</v>
      </c>
      <c r="D13002" t="inlineStr">
        <is>
          <t>GÄVLEBORGS LÄN</t>
        </is>
      </c>
      <c r="E13002" t="inlineStr">
        <is>
          <t>HUDIKSVALL</t>
        </is>
      </c>
      <c r="G13002" t="n">
        <v>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52241-2024</t>
        </is>
      </c>
      <c r="B13003" s="1" t="n">
        <v>45608</v>
      </c>
      <c r="C13003" s="1" t="n">
        <v>45677</v>
      </c>
      <c r="D13003" t="inlineStr">
        <is>
          <t>GÄVLEBORGS LÄN</t>
        </is>
      </c>
      <c r="E13003" t="inlineStr">
        <is>
          <t>OCKELBO</t>
        </is>
      </c>
      <c r="F13003" t="inlineStr">
        <is>
          <t>Bergvik skog väst AB</t>
        </is>
      </c>
      <c r="G13003" t="n">
        <v>7.7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52250-2024</t>
        </is>
      </c>
      <c r="B13004" s="1" t="n">
        <v>45608</v>
      </c>
      <c r="C13004" s="1" t="n">
        <v>45677</v>
      </c>
      <c r="D13004" t="inlineStr">
        <is>
          <t>GÄVLEBORGS LÄN</t>
        </is>
      </c>
      <c r="E13004" t="inlineStr">
        <is>
          <t>GÄVLE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52335-2024</t>
        </is>
      </c>
      <c r="B13005" s="1" t="n">
        <v>45609</v>
      </c>
      <c r="C13005" s="1" t="n">
        <v>45677</v>
      </c>
      <c r="D13005" t="inlineStr">
        <is>
          <t>GÄVLEBORGS LÄN</t>
        </is>
      </c>
      <c r="E13005" t="inlineStr">
        <is>
          <t>OCKELBO</t>
        </is>
      </c>
      <c r="F13005" t="inlineStr">
        <is>
          <t>Bergvik skog väst AB</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52339-2024</t>
        </is>
      </c>
      <c r="B13006" s="1" t="n">
        <v>45609</v>
      </c>
      <c r="C13006" s="1" t="n">
        <v>45677</v>
      </c>
      <c r="D13006" t="inlineStr">
        <is>
          <t>GÄVLEBORGS LÄN</t>
        </is>
      </c>
      <c r="E13006" t="inlineStr">
        <is>
          <t>LJUSDAL</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52330-2024</t>
        </is>
      </c>
      <c r="B13007" s="1" t="n">
        <v>45609</v>
      </c>
      <c r="C13007" s="1" t="n">
        <v>45677</v>
      </c>
      <c r="D13007" t="inlineStr">
        <is>
          <t>GÄVLEBORGS LÄN</t>
        </is>
      </c>
      <c r="E13007" t="inlineStr">
        <is>
          <t>OCKELBO</t>
        </is>
      </c>
      <c r="F13007" t="inlineStr">
        <is>
          <t>Bergvik skog väst AB</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52460-2024</t>
        </is>
      </c>
      <c r="B13008" s="1" t="n">
        <v>45609</v>
      </c>
      <c r="C13008" s="1" t="n">
        <v>45677</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52519-2024</t>
        </is>
      </c>
      <c r="B13009" s="1" t="n">
        <v>45609</v>
      </c>
      <c r="C13009" s="1" t="n">
        <v>45677</v>
      </c>
      <c r="D13009" t="inlineStr">
        <is>
          <t>GÄVLEBORGS LÄN</t>
        </is>
      </c>
      <c r="E13009" t="inlineStr">
        <is>
          <t>SÖDERHAMN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52348-2024</t>
        </is>
      </c>
      <c r="B13010" s="1" t="n">
        <v>45609</v>
      </c>
      <c r="C13010" s="1" t="n">
        <v>45677</v>
      </c>
      <c r="D13010" t="inlineStr">
        <is>
          <t>GÄVLEBORGS LÄN</t>
        </is>
      </c>
      <c r="E13010" t="inlineStr">
        <is>
          <t>OVANÅKER</t>
        </is>
      </c>
      <c r="F13010" t="inlineStr">
        <is>
          <t>Bergvik skog öst AB</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52365-2024</t>
        </is>
      </c>
      <c r="B13011" s="1" t="n">
        <v>45609</v>
      </c>
      <c r="C13011" s="1" t="n">
        <v>45677</v>
      </c>
      <c r="D13011" t="inlineStr">
        <is>
          <t>GÄVLEBORGS LÄN</t>
        </is>
      </c>
      <c r="E13011" t="inlineStr">
        <is>
          <t>LJUSDAL</t>
        </is>
      </c>
      <c r="F13011" t="inlineStr">
        <is>
          <t>Bergvik skog väst AB</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52489-2024</t>
        </is>
      </c>
      <c r="B13012" s="1" t="n">
        <v>45609</v>
      </c>
      <c r="C13012" s="1" t="n">
        <v>45677</v>
      </c>
      <c r="D13012" t="inlineStr">
        <is>
          <t>GÄVLEBORGS LÄN</t>
        </is>
      </c>
      <c r="E13012" t="inlineStr">
        <is>
          <t>SÖDERHAMN</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52362-2024</t>
        </is>
      </c>
      <c r="B13013" s="1" t="n">
        <v>45609</v>
      </c>
      <c r="C13013" s="1" t="n">
        <v>45677</v>
      </c>
      <c r="D13013" t="inlineStr">
        <is>
          <t>GÄVLEBORGS LÄN</t>
        </is>
      </c>
      <c r="E13013" t="inlineStr">
        <is>
          <t>SANDVIKEN</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52518-2024</t>
        </is>
      </c>
      <c r="B13014" s="1" t="n">
        <v>45609</v>
      </c>
      <c r="C13014" s="1" t="n">
        <v>45677</v>
      </c>
      <c r="D13014" t="inlineStr">
        <is>
          <t>GÄVLEBORGS LÄN</t>
        </is>
      </c>
      <c r="E13014" t="inlineStr">
        <is>
          <t>SÖDERHAMN</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52539-2024</t>
        </is>
      </c>
      <c r="B13015" s="1" t="n">
        <v>45609</v>
      </c>
      <c r="C13015" s="1" t="n">
        <v>45677</v>
      </c>
      <c r="D13015" t="inlineStr">
        <is>
          <t>GÄVLEBORGS LÄN</t>
        </is>
      </c>
      <c r="E13015" t="inlineStr">
        <is>
          <t>OVANÅKER</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52624-2024</t>
        </is>
      </c>
      <c r="B13016" s="1" t="n">
        <v>45609</v>
      </c>
      <c r="C13016" s="1" t="n">
        <v>45677</v>
      </c>
      <c r="D13016" t="inlineStr">
        <is>
          <t>GÄVLEBORGS LÄN</t>
        </is>
      </c>
      <c r="E13016" t="inlineStr">
        <is>
          <t>OCKELBO</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52613-2024</t>
        </is>
      </c>
      <c r="B13017" s="1" t="n">
        <v>45609</v>
      </c>
      <c r="C13017" s="1" t="n">
        <v>45677</v>
      </c>
      <c r="D13017" t="inlineStr">
        <is>
          <t>GÄVLEBORGS LÄN</t>
        </is>
      </c>
      <c r="E13017" t="inlineStr">
        <is>
          <t>BOLLNÄS</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52656-2024</t>
        </is>
      </c>
      <c r="B13018" s="1" t="n">
        <v>45610</v>
      </c>
      <c r="C13018" s="1" t="n">
        <v>45677</v>
      </c>
      <c r="D13018" t="inlineStr">
        <is>
          <t>GÄVLEBORGS LÄN</t>
        </is>
      </c>
      <c r="E13018" t="inlineStr">
        <is>
          <t>HUDIKSVALL</t>
        </is>
      </c>
      <c r="G13018" t="n">
        <v>15.6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52660-2024</t>
        </is>
      </c>
      <c r="B13019" s="1" t="n">
        <v>45610</v>
      </c>
      <c r="C13019" s="1" t="n">
        <v>45677</v>
      </c>
      <c r="D13019" t="inlineStr">
        <is>
          <t>GÄVLEBORGS LÄN</t>
        </is>
      </c>
      <c r="E13019" t="inlineStr">
        <is>
          <t>NORDANSTIG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52668-2024</t>
        </is>
      </c>
      <c r="B13020" s="1" t="n">
        <v>45610</v>
      </c>
      <c r="C13020" s="1" t="n">
        <v>45677</v>
      </c>
      <c r="D13020" t="inlineStr">
        <is>
          <t>GÄVLEBORGS LÄN</t>
        </is>
      </c>
      <c r="E13020" t="inlineStr">
        <is>
          <t>NORDANSTIG</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52672-2024</t>
        </is>
      </c>
      <c r="B13021" s="1" t="n">
        <v>45610</v>
      </c>
      <c r="C13021" s="1" t="n">
        <v>45677</v>
      </c>
      <c r="D13021" t="inlineStr">
        <is>
          <t>GÄVLEBORGS LÄN</t>
        </is>
      </c>
      <c r="E13021" t="inlineStr">
        <is>
          <t>LJUSDAL</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52722-2024</t>
        </is>
      </c>
      <c r="B13022" s="1" t="n">
        <v>45610</v>
      </c>
      <c r="C13022" s="1" t="n">
        <v>45677</v>
      </c>
      <c r="D13022" t="inlineStr">
        <is>
          <t>GÄVLEBORGS LÄN</t>
        </is>
      </c>
      <c r="E13022" t="inlineStr">
        <is>
          <t>LJUSDAL</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52777-2024</t>
        </is>
      </c>
      <c r="B13023" s="1" t="n">
        <v>45610</v>
      </c>
      <c r="C13023" s="1" t="n">
        <v>45677</v>
      </c>
      <c r="D13023" t="inlineStr">
        <is>
          <t>GÄVLEBORGS LÄN</t>
        </is>
      </c>
      <c r="E13023" t="inlineStr">
        <is>
          <t>GÄVLE</t>
        </is>
      </c>
      <c r="F13023" t="inlineStr">
        <is>
          <t>Bergvik skog öst AB</t>
        </is>
      </c>
      <c r="G13023" t="n">
        <v>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52781-2024</t>
        </is>
      </c>
      <c r="B13024" s="1" t="n">
        <v>45610</v>
      </c>
      <c r="C13024" s="1" t="n">
        <v>45677</v>
      </c>
      <c r="D13024" t="inlineStr">
        <is>
          <t>GÄVLEBORGS LÄN</t>
        </is>
      </c>
      <c r="E13024" t="inlineStr">
        <is>
          <t>GÄVLE</t>
        </is>
      </c>
      <c r="F13024" t="inlineStr">
        <is>
          <t>Bergvik skog öst AB</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52813-2024</t>
        </is>
      </c>
      <c r="B13025" s="1" t="n">
        <v>45610</v>
      </c>
      <c r="C13025" s="1" t="n">
        <v>45677</v>
      </c>
      <c r="D13025" t="inlineStr">
        <is>
          <t>GÄVLEBORGS LÄN</t>
        </is>
      </c>
      <c r="E13025" t="inlineStr">
        <is>
          <t>GÄVLE</t>
        </is>
      </c>
      <c r="F13025" t="inlineStr">
        <is>
          <t>Bergvik skog öst AB</t>
        </is>
      </c>
      <c r="G13025" t="n">
        <v>4.7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52873-2024</t>
        </is>
      </c>
      <c r="B13026" s="1" t="n">
        <v>45610</v>
      </c>
      <c r="C13026" s="1" t="n">
        <v>45677</v>
      </c>
      <c r="D13026" t="inlineStr">
        <is>
          <t>GÄVLEBORGS LÄN</t>
        </is>
      </c>
      <c r="E13026" t="inlineStr">
        <is>
          <t>BOLLNÄS</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52881-2024</t>
        </is>
      </c>
      <c r="B13027" s="1" t="n">
        <v>45610</v>
      </c>
      <c r="C13027" s="1" t="n">
        <v>45677</v>
      </c>
      <c r="D13027" t="inlineStr">
        <is>
          <t>GÄVLEBORGS LÄN</t>
        </is>
      </c>
      <c r="E13027" t="inlineStr">
        <is>
          <t>NORDANSTIG</t>
        </is>
      </c>
      <c r="F13027" t="inlineStr">
        <is>
          <t>Holmen skog AB</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52885-2024</t>
        </is>
      </c>
      <c r="B13028" s="1" t="n">
        <v>45610</v>
      </c>
      <c r="C13028" s="1" t="n">
        <v>45677</v>
      </c>
      <c r="D13028" t="inlineStr">
        <is>
          <t>GÄVLEBORGS LÄN</t>
        </is>
      </c>
      <c r="E13028" t="inlineStr">
        <is>
          <t>NORDANSTIG</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52917-2024</t>
        </is>
      </c>
      <c r="B13029" s="1" t="n">
        <v>45610</v>
      </c>
      <c r="C13029" s="1" t="n">
        <v>45677</v>
      </c>
      <c r="D13029" t="inlineStr">
        <is>
          <t>GÄVLEBORGS LÄN</t>
        </is>
      </c>
      <c r="E13029" t="inlineStr">
        <is>
          <t>LJUSDAL</t>
        </is>
      </c>
      <c r="F13029" t="inlineStr">
        <is>
          <t>Allmännings- och besparingsskogar</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52748-2024</t>
        </is>
      </c>
      <c r="B13030" s="1" t="n">
        <v>45610</v>
      </c>
      <c r="C13030" s="1" t="n">
        <v>45677</v>
      </c>
      <c r="D13030" t="inlineStr">
        <is>
          <t>GÄVLEBORGS LÄN</t>
        </is>
      </c>
      <c r="E13030" t="inlineStr">
        <is>
          <t>BOLLNÄS</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52788-2024</t>
        </is>
      </c>
      <c r="B13031" s="1" t="n">
        <v>45610</v>
      </c>
      <c r="C13031" s="1" t="n">
        <v>45677</v>
      </c>
      <c r="D13031" t="inlineStr">
        <is>
          <t>GÄVLEBORGS LÄN</t>
        </is>
      </c>
      <c r="E13031" t="inlineStr">
        <is>
          <t>NORDANSTIG</t>
        </is>
      </c>
      <c r="F13031" t="inlineStr">
        <is>
          <t>Holmen skog AB</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52921-2024</t>
        </is>
      </c>
      <c r="B13032" s="1" t="n">
        <v>45610</v>
      </c>
      <c r="C13032" s="1" t="n">
        <v>45677</v>
      </c>
      <c r="D13032" t="inlineStr">
        <is>
          <t>GÄVLEBORGS LÄN</t>
        </is>
      </c>
      <c r="E13032" t="inlineStr">
        <is>
          <t>LJUSDAL</t>
        </is>
      </c>
      <c r="F13032" t="inlineStr">
        <is>
          <t>Allmännings- och besparingsskogar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52779-2024</t>
        </is>
      </c>
      <c r="B13033" s="1" t="n">
        <v>45610</v>
      </c>
      <c r="C13033" s="1" t="n">
        <v>45677</v>
      </c>
      <c r="D13033" t="inlineStr">
        <is>
          <t>GÄVLEBORGS LÄN</t>
        </is>
      </c>
      <c r="E13033" t="inlineStr">
        <is>
          <t>GÄVLE</t>
        </is>
      </c>
      <c r="F13033" t="inlineStr">
        <is>
          <t>Bergvik skog öst AB</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52783-2024</t>
        </is>
      </c>
      <c r="B13034" s="1" t="n">
        <v>45610</v>
      </c>
      <c r="C13034" s="1" t="n">
        <v>45677</v>
      </c>
      <c r="D13034" t="inlineStr">
        <is>
          <t>GÄVLEBORGS LÄN</t>
        </is>
      </c>
      <c r="E13034" t="inlineStr">
        <is>
          <t>LJUSDAL</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52787-2024</t>
        </is>
      </c>
      <c r="B13035" s="1" t="n">
        <v>45610</v>
      </c>
      <c r="C13035" s="1" t="n">
        <v>45677</v>
      </c>
      <c r="D13035" t="inlineStr">
        <is>
          <t>GÄVLEBORGS LÄN</t>
        </is>
      </c>
      <c r="E13035" t="inlineStr">
        <is>
          <t>LJUSDAL</t>
        </is>
      </c>
      <c r="F13035" t="inlineStr">
        <is>
          <t>SCA</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52807-2024</t>
        </is>
      </c>
      <c r="B13036" s="1" t="n">
        <v>45610</v>
      </c>
      <c r="C13036" s="1" t="n">
        <v>45677</v>
      </c>
      <c r="D13036" t="inlineStr">
        <is>
          <t>GÄVLEBORGS LÄN</t>
        </is>
      </c>
      <c r="E13036" t="inlineStr">
        <is>
          <t>NORDANSTIG</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52695-2024</t>
        </is>
      </c>
      <c r="B13037" s="1" t="n">
        <v>45610</v>
      </c>
      <c r="C13037" s="1" t="n">
        <v>45677</v>
      </c>
      <c r="D13037" t="inlineStr">
        <is>
          <t>GÄVLEBORGS LÄN</t>
        </is>
      </c>
      <c r="E13037" t="inlineStr">
        <is>
          <t>NORDANSTIG</t>
        </is>
      </c>
      <c r="F13037" t="inlineStr">
        <is>
          <t>Holmen skog AB</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52933-2024</t>
        </is>
      </c>
      <c r="B13038" s="1" t="n">
        <v>45610</v>
      </c>
      <c r="C13038" s="1" t="n">
        <v>45677</v>
      </c>
      <c r="D13038" t="inlineStr">
        <is>
          <t>GÄVLEBORGS LÄN</t>
        </is>
      </c>
      <c r="E13038" t="inlineStr">
        <is>
          <t>OVANÅKER</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52655-2024</t>
        </is>
      </c>
      <c r="B13039" s="1" t="n">
        <v>45610</v>
      </c>
      <c r="C13039" s="1" t="n">
        <v>45677</v>
      </c>
      <c r="D13039" t="inlineStr">
        <is>
          <t>GÄVLEBORGS LÄN</t>
        </is>
      </c>
      <c r="E13039" t="inlineStr">
        <is>
          <t>NORDANSTIG</t>
        </is>
      </c>
      <c r="F13039" t="inlineStr">
        <is>
          <t>Holmen skog AB</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52651-2024</t>
        </is>
      </c>
      <c r="B13040" s="1" t="n">
        <v>45610</v>
      </c>
      <c r="C13040" s="1" t="n">
        <v>45677</v>
      </c>
      <c r="D13040" t="inlineStr">
        <is>
          <t>GÄVLEBORGS LÄN</t>
        </is>
      </c>
      <c r="E13040" t="inlineStr">
        <is>
          <t>HUDIKSVALL</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52896-2024</t>
        </is>
      </c>
      <c r="B13041" s="1" t="n">
        <v>45610</v>
      </c>
      <c r="C13041" s="1" t="n">
        <v>45677</v>
      </c>
      <c r="D13041" t="inlineStr">
        <is>
          <t>GÄVLEBORGS LÄN</t>
        </is>
      </c>
      <c r="E13041" t="inlineStr">
        <is>
          <t>HUDIKSVALL</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52932-2024</t>
        </is>
      </c>
      <c r="B13042" s="1" t="n">
        <v>45610</v>
      </c>
      <c r="C13042" s="1" t="n">
        <v>45677</v>
      </c>
      <c r="D13042" t="inlineStr">
        <is>
          <t>GÄVLEBORGS LÄN</t>
        </is>
      </c>
      <c r="E13042" t="inlineStr">
        <is>
          <t>OVANÅKER</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52915-2024</t>
        </is>
      </c>
      <c r="B13043" s="1" t="n">
        <v>45610</v>
      </c>
      <c r="C13043" s="1" t="n">
        <v>45677</v>
      </c>
      <c r="D13043" t="inlineStr">
        <is>
          <t>GÄVLEBORGS LÄN</t>
        </is>
      </c>
      <c r="E13043" t="inlineStr">
        <is>
          <t>LJUSDAL</t>
        </is>
      </c>
      <c r="F13043" t="inlineStr">
        <is>
          <t>Allmännings- och besparingsskogar</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52919-2024</t>
        </is>
      </c>
      <c r="B13044" s="1" t="n">
        <v>45610</v>
      </c>
      <c r="C13044" s="1" t="n">
        <v>45677</v>
      </c>
      <c r="D13044" t="inlineStr">
        <is>
          <t>GÄVLEBORGS LÄN</t>
        </is>
      </c>
      <c r="E13044" t="inlineStr">
        <is>
          <t>LJUSDAL</t>
        </is>
      </c>
      <c r="F13044" t="inlineStr">
        <is>
          <t>Allmännings- och besparingsskogar</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52670-2024</t>
        </is>
      </c>
      <c r="B13045" s="1" t="n">
        <v>45610</v>
      </c>
      <c r="C13045" s="1" t="n">
        <v>45677</v>
      </c>
      <c r="D13045" t="inlineStr">
        <is>
          <t>GÄVLEBORGS LÄN</t>
        </is>
      </c>
      <c r="E13045" t="inlineStr">
        <is>
          <t>HUDIKSVALL</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52846-2024</t>
        </is>
      </c>
      <c r="B13046" s="1" t="n">
        <v>45610</v>
      </c>
      <c r="C13046" s="1" t="n">
        <v>45677</v>
      </c>
      <c r="D13046" t="inlineStr">
        <is>
          <t>GÄVLEBORGS LÄN</t>
        </is>
      </c>
      <c r="E13046" t="inlineStr">
        <is>
          <t>GÄVLE</t>
        </is>
      </c>
      <c r="F13046" t="inlineStr">
        <is>
          <t>Bergvik skog väst AB</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52870-2024</t>
        </is>
      </c>
      <c r="B13047" s="1" t="n">
        <v>45610</v>
      </c>
      <c r="C13047" s="1" t="n">
        <v>45677</v>
      </c>
      <c r="D13047" t="inlineStr">
        <is>
          <t>GÄVLEBORGS LÄN</t>
        </is>
      </c>
      <c r="E13047" t="inlineStr">
        <is>
          <t>BOLLNÄS</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52874-2024</t>
        </is>
      </c>
      <c r="B13048" s="1" t="n">
        <v>45610</v>
      </c>
      <c r="C13048" s="1" t="n">
        <v>45677</v>
      </c>
      <c r="D13048" t="inlineStr">
        <is>
          <t>GÄVLEBORGS LÄN</t>
        </is>
      </c>
      <c r="E13048" t="inlineStr">
        <is>
          <t>BOLLNÄS</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52960-2024</t>
        </is>
      </c>
      <c r="B13049" s="1" t="n">
        <v>45611</v>
      </c>
      <c r="C13049" s="1" t="n">
        <v>45677</v>
      </c>
      <c r="D13049" t="inlineStr">
        <is>
          <t>GÄVLEBORGS LÄN</t>
        </is>
      </c>
      <c r="E13049" t="inlineStr">
        <is>
          <t>OVANÅKER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52968-2024</t>
        </is>
      </c>
      <c r="B13050" s="1" t="n">
        <v>45611</v>
      </c>
      <c r="C13050" s="1" t="n">
        <v>45677</v>
      </c>
      <c r="D13050" t="inlineStr">
        <is>
          <t>GÄVLEBORGS LÄN</t>
        </is>
      </c>
      <c r="E13050" t="inlineStr">
        <is>
          <t>BOLLNÄS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53005-2024</t>
        </is>
      </c>
      <c r="B13051" s="1" t="n">
        <v>45611</v>
      </c>
      <c r="C13051" s="1" t="n">
        <v>45677</v>
      </c>
      <c r="D13051" t="inlineStr">
        <is>
          <t>GÄVLEBORGS LÄN</t>
        </is>
      </c>
      <c r="E13051" t="inlineStr">
        <is>
          <t>SANDVIKEN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53069-2024</t>
        </is>
      </c>
      <c r="B13052" s="1" t="n">
        <v>45611</v>
      </c>
      <c r="C13052" s="1" t="n">
        <v>45677</v>
      </c>
      <c r="D13052" t="inlineStr">
        <is>
          <t>GÄVLEBORGS LÄN</t>
        </is>
      </c>
      <c r="E13052" t="inlineStr">
        <is>
          <t>OVANÅKER</t>
        </is>
      </c>
      <c r="F13052" t="inlineStr">
        <is>
          <t>Bergvik skog öst AB</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53446-2024</t>
        </is>
      </c>
      <c r="B13053" s="1" t="n">
        <v>45611</v>
      </c>
      <c r="C13053" s="1" t="n">
        <v>45677</v>
      </c>
      <c r="D13053" t="inlineStr">
        <is>
          <t>GÄVLEBORGS LÄN</t>
        </is>
      </c>
      <c r="E13053" t="inlineStr">
        <is>
          <t>SANDVIKEN</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53179-2024</t>
        </is>
      </c>
      <c r="B13054" s="1" t="n">
        <v>45611</v>
      </c>
      <c r="C13054" s="1" t="n">
        <v>45677</v>
      </c>
      <c r="D13054" t="inlineStr">
        <is>
          <t>GÄVLEBORGS LÄN</t>
        </is>
      </c>
      <c r="E13054" t="inlineStr">
        <is>
          <t>NORDANSTIG</t>
        </is>
      </c>
      <c r="F13054" t="inlineStr">
        <is>
          <t>Holmen skog AB</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53167-2024</t>
        </is>
      </c>
      <c r="B13055" s="1" t="n">
        <v>45611</v>
      </c>
      <c r="C13055" s="1" t="n">
        <v>45677</v>
      </c>
      <c r="D13055" t="inlineStr">
        <is>
          <t>GÄVLEBORGS LÄN</t>
        </is>
      </c>
      <c r="E13055" t="inlineStr">
        <is>
          <t>NORDANSTIG</t>
        </is>
      </c>
      <c r="F13055" t="inlineStr">
        <is>
          <t>Holmen skog AB</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53137-2024</t>
        </is>
      </c>
      <c r="B13056" s="1" t="n">
        <v>45611</v>
      </c>
      <c r="C13056" s="1" t="n">
        <v>45677</v>
      </c>
      <c r="D13056" t="inlineStr">
        <is>
          <t>GÄVLEBORGS LÄN</t>
        </is>
      </c>
      <c r="E13056" t="inlineStr">
        <is>
          <t>OCKELBO</t>
        </is>
      </c>
      <c r="F13056" t="inlineStr">
        <is>
          <t>Bergvik skog väst AB</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53192-2024</t>
        </is>
      </c>
      <c r="B13057" s="1" t="n">
        <v>45611</v>
      </c>
      <c r="C13057" s="1" t="n">
        <v>45677</v>
      </c>
      <c r="D13057" t="inlineStr">
        <is>
          <t>GÄVLEBORGS LÄN</t>
        </is>
      </c>
      <c r="E13057" t="inlineStr">
        <is>
          <t>LJUSDAL</t>
        </is>
      </c>
      <c r="G13057" t="n">
        <v>11.3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53153-2024</t>
        </is>
      </c>
      <c r="B13058" s="1" t="n">
        <v>45611</v>
      </c>
      <c r="C13058" s="1" t="n">
        <v>45677</v>
      </c>
      <c r="D13058" t="inlineStr">
        <is>
          <t>GÄVLEBORGS LÄN</t>
        </is>
      </c>
      <c r="E13058" t="inlineStr">
        <is>
          <t>LJUSDAL</t>
        </is>
      </c>
      <c r="G13058" t="n">
        <v>8.199999999999999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53139-2024</t>
        </is>
      </c>
      <c r="B13059" s="1" t="n">
        <v>45611</v>
      </c>
      <c r="C13059" s="1" t="n">
        <v>45677</v>
      </c>
      <c r="D13059" t="inlineStr">
        <is>
          <t>GÄVLEBORGS LÄN</t>
        </is>
      </c>
      <c r="E13059" t="inlineStr">
        <is>
          <t>OCKELBO</t>
        </is>
      </c>
      <c r="F13059" t="inlineStr">
        <is>
          <t>Bergvik skog väst AB</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53064-2024</t>
        </is>
      </c>
      <c r="B13060" s="1" t="n">
        <v>45611</v>
      </c>
      <c r="C13060" s="1" t="n">
        <v>45677</v>
      </c>
      <c r="D13060" t="inlineStr">
        <is>
          <t>GÄVLEBORGS LÄN</t>
        </is>
      </c>
      <c r="E13060" t="inlineStr">
        <is>
          <t>NORDANSTIG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52971-2024</t>
        </is>
      </c>
      <c r="B13061" s="1" t="n">
        <v>45611</v>
      </c>
      <c r="C13061" s="1" t="n">
        <v>45677</v>
      </c>
      <c r="D13061" t="inlineStr">
        <is>
          <t>GÄVLEBORGS LÄN</t>
        </is>
      </c>
      <c r="E13061" t="inlineStr">
        <is>
          <t>LJUSDAL</t>
        </is>
      </c>
      <c r="F13061" t="inlineStr">
        <is>
          <t>Allmännings- och besparingsskogar</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52967-2024</t>
        </is>
      </c>
      <c r="B13062" s="1" t="n">
        <v>45611</v>
      </c>
      <c r="C13062" s="1" t="n">
        <v>45677</v>
      </c>
      <c r="D13062" t="inlineStr">
        <is>
          <t>GÄVLEBORGS LÄN</t>
        </is>
      </c>
      <c r="E13062" t="inlineStr">
        <is>
          <t>LJUSDAL</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53156-2024</t>
        </is>
      </c>
      <c r="B13063" s="1" t="n">
        <v>45611</v>
      </c>
      <c r="C13063" s="1" t="n">
        <v>45677</v>
      </c>
      <c r="D13063" t="inlineStr">
        <is>
          <t>GÄVLEBORGS LÄN</t>
        </is>
      </c>
      <c r="E13063" t="inlineStr">
        <is>
          <t>HUDIKSVALL</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53138-2024</t>
        </is>
      </c>
      <c r="B13064" s="1" t="n">
        <v>45611</v>
      </c>
      <c r="C13064" s="1" t="n">
        <v>45677</v>
      </c>
      <c r="D13064" t="inlineStr">
        <is>
          <t>GÄVLEBORGS LÄN</t>
        </is>
      </c>
      <c r="E13064" t="inlineStr">
        <is>
          <t>GÄVLE</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53007-2024</t>
        </is>
      </c>
      <c r="B13065" s="1" t="n">
        <v>45611</v>
      </c>
      <c r="C13065" s="1" t="n">
        <v>45677</v>
      </c>
      <c r="D13065" t="inlineStr">
        <is>
          <t>GÄVLEBORGS LÄN</t>
        </is>
      </c>
      <c r="E13065" t="inlineStr">
        <is>
          <t>LJUSDAL</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52986-2024</t>
        </is>
      </c>
      <c r="B13066" s="1" t="n">
        <v>45611</v>
      </c>
      <c r="C13066" s="1" t="n">
        <v>45677</v>
      </c>
      <c r="D13066" t="inlineStr">
        <is>
          <t>GÄVLEBORGS LÄN</t>
        </is>
      </c>
      <c r="E13066" t="inlineStr">
        <is>
          <t>HUDIKSVALL</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52970-2024</t>
        </is>
      </c>
      <c r="B13067" s="1" t="n">
        <v>45611</v>
      </c>
      <c r="C13067" s="1" t="n">
        <v>45677</v>
      </c>
      <c r="D13067" t="inlineStr">
        <is>
          <t>GÄVLEBORGS LÄN</t>
        </is>
      </c>
      <c r="E13067" t="inlineStr">
        <is>
          <t>LJUSDAL</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52962-2024</t>
        </is>
      </c>
      <c r="B13068" s="1" t="n">
        <v>45611</v>
      </c>
      <c r="C13068" s="1" t="n">
        <v>45677</v>
      </c>
      <c r="D13068" t="inlineStr">
        <is>
          <t>GÄVLEBORGS LÄN</t>
        </is>
      </c>
      <c r="E13068" t="inlineStr">
        <is>
          <t>HUDIKSVALL</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53050-2024</t>
        </is>
      </c>
      <c r="B13069" s="1" t="n">
        <v>45611</v>
      </c>
      <c r="C13069" s="1" t="n">
        <v>45677</v>
      </c>
      <c r="D13069" t="inlineStr">
        <is>
          <t>GÄVLEBORGS LÄN</t>
        </is>
      </c>
      <c r="E13069" t="inlineStr">
        <is>
          <t>LJUSDAL</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53036-2024</t>
        </is>
      </c>
      <c r="B13070" s="1" t="n">
        <v>45611</v>
      </c>
      <c r="C13070" s="1" t="n">
        <v>45677</v>
      </c>
      <c r="D13070" t="inlineStr">
        <is>
          <t>GÄVLEBORGS LÄN</t>
        </is>
      </c>
      <c r="E13070" t="inlineStr">
        <is>
          <t>BOLLNÄS</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53015-2024</t>
        </is>
      </c>
      <c r="B13071" s="1" t="n">
        <v>45611</v>
      </c>
      <c r="C13071" s="1" t="n">
        <v>45677</v>
      </c>
      <c r="D13071" t="inlineStr">
        <is>
          <t>GÄVLEBORGS LÄN</t>
        </is>
      </c>
      <c r="E13071" t="inlineStr">
        <is>
          <t>HUDIKSVALL</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53001-2024</t>
        </is>
      </c>
      <c r="B13072" s="1" t="n">
        <v>45611</v>
      </c>
      <c r="C13072" s="1" t="n">
        <v>45677</v>
      </c>
      <c r="D13072" t="inlineStr">
        <is>
          <t>GÄVLEBORGS LÄN</t>
        </is>
      </c>
      <c r="E13072" t="inlineStr">
        <is>
          <t>LJUSDAL</t>
        </is>
      </c>
      <c r="F13072" t="inlineStr">
        <is>
          <t>Allmännings- och besparingsskogar</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52981-2024</t>
        </is>
      </c>
      <c r="B13073" s="1" t="n">
        <v>45611</v>
      </c>
      <c r="C13073" s="1" t="n">
        <v>45677</v>
      </c>
      <c r="D13073" t="inlineStr">
        <is>
          <t>GÄVLEBORGS LÄN</t>
        </is>
      </c>
      <c r="E13073" t="inlineStr">
        <is>
          <t>LJUSDAL</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52973-2024</t>
        </is>
      </c>
      <c r="B13074" s="1" t="n">
        <v>45611</v>
      </c>
      <c r="C13074" s="1" t="n">
        <v>45677</v>
      </c>
      <c r="D13074" t="inlineStr">
        <is>
          <t>GÄVLEBORGS LÄN</t>
        </is>
      </c>
      <c r="E13074" t="inlineStr">
        <is>
          <t>LJUSDAL</t>
        </is>
      </c>
      <c r="G13074" t="n">
        <v>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52961-2024</t>
        </is>
      </c>
      <c r="B13075" s="1" t="n">
        <v>45611</v>
      </c>
      <c r="C13075" s="1" t="n">
        <v>45677</v>
      </c>
      <c r="D13075" t="inlineStr">
        <is>
          <t>GÄVLEBORGS LÄN</t>
        </is>
      </c>
      <c r="E13075" t="inlineStr">
        <is>
          <t>OVANÅKER</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53205-2024</t>
        </is>
      </c>
      <c r="B13076" s="1" t="n">
        <v>45612</v>
      </c>
      <c r="C13076" s="1" t="n">
        <v>45677</v>
      </c>
      <c r="D13076" t="inlineStr">
        <is>
          <t>GÄVLEBORGS LÄN</t>
        </is>
      </c>
      <c r="E13076" t="inlineStr">
        <is>
          <t>LJUSDAL</t>
        </is>
      </c>
      <c r="F13076" t="inlineStr">
        <is>
          <t>Bergvik skog väst AB</t>
        </is>
      </c>
      <c r="G13076" t="n">
        <v>10.8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53234-2024</t>
        </is>
      </c>
      <c r="B13077" s="1" t="n">
        <v>45613</v>
      </c>
      <c r="C13077" s="1" t="n">
        <v>45677</v>
      </c>
      <c r="D13077" t="inlineStr">
        <is>
          <t>GÄVLEBORGS LÄN</t>
        </is>
      </c>
      <c r="E13077" t="inlineStr">
        <is>
          <t>BOLLNÄS</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53244-2024</t>
        </is>
      </c>
      <c r="B13078" s="1" t="n">
        <v>45614</v>
      </c>
      <c r="C13078" s="1" t="n">
        <v>45677</v>
      </c>
      <c r="D13078" t="inlineStr">
        <is>
          <t>GÄVLEBORGS LÄN</t>
        </is>
      </c>
      <c r="E13078" t="inlineStr">
        <is>
          <t>SANDVIKEN</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53245-2024</t>
        </is>
      </c>
      <c r="B13079" s="1" t="n">
        <v>45614</v>
      </c>
      <c r="C13079" s="1" t="n">
        <v>45677</v>
      </c>
      <c r="D13079" t="inlineStr">
        <is>
          <t>GÄVLEBORGS LÄN</t>
        </is>
      </c>
      <c r="E13079" t="inlineStr">
        <is>
          <t>SANDVIKEN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53461-2024</t>
        </is>
      </c>
      <c r="B13080" s="1" t="n">
        <v>45614</v>
      </c>
      <c r="C13080" s="1" t="n">
        <v>45677</v>
      </c>
      <c r="D13080" t="inlineStr">
        <is>
          <t>GÄVLEBORGS LÄN</t>
        </is>
      </c>
      <c r="E13080" t="inlineStr">
        <is>
          <t>OVANÅKER</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53524-2024</t>
        </is>
      </c>
      <c r="B13081" s="1" t="n">
        <v>45614</v>
      </c>
      <c r="C13081" s="1" t="n">
        <v>45677</v>
      </c>
      <c r="D13081" t="inlineStr">
        <is>
          <t>GÄVLEBORGS LÄN</t>
        </is>
      </c>
      <c r="E13081" t="inlineStr">
        <is>
          <t>BOLLNÄS</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53323-2024</t>
        </is>
      </c>
      <c r="B13082" s="1" t="n">
        <v>45614</v>
      </c>
      <c r="C13082" s="1" t="n">
        <v>45677</v>
      </c>
      <c r="D13082" t="inlineStr">
        <is>
          <t>GÄVLEBORGS LÄN</t>
        </is>
      </c>
      <c r="E13082" t="inlineStr">
        <is>
          <t>GÄVLE</t>
        </is>
      </c>
      <c r="F13082" t="inlineStr">
        <is>
          <t>Bergvik skog öst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53281-2024</t>
        </is>
      </c>
      <c r="B13083" s="1" t="n">
        <v>45614</v>
      </c>
      <c r="C13083" s="1" t="n">
        <v>45677</v>
      </c>
      <c r="D13083" t="inlineStr">
        <is>
          <t>GÄVLEBORGS LÄN</t>
        </is>
      </c>
      <c r="E13083" t="inlineStr">
        <is>
          <t>GÄVLE</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53399-2024</t>
        </is>
      </c>
      <c r="B13084" s="1" t="n">
        <v>45614</v>
      </c>
      <c r="C13084" s="1" t="n">
        <v>45677</v>
      </c>
      <c r="D13084" t="inlineStr">
        <is>
          <t>GÄVLEBORGS LÄN</t>
        </is>
      </c>
      <c r="E13084" t="inlineStr">
        <is>
          <t>OVANÅKER</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53439-2024</t>
        </is>
      </c>
      <c r="B13085" s="1" t="n">
        <v>45614</v>
      </c>
      <c r="C13085" s="1" t="n">
        <v>45677</v>
      </c>
      <c r="D13085" t="inlineStr">
        <is>
          <t>GÄVLEBORGS LÄN</t>
        </is>
      </c>
      <c r="E13085" t="inlineStr">
        <is>
          <t>GÄVLE</t>
        </is>
      </c>
      <c r="F13085" t="inlineStr">
        <is>
          <t>Bergvik skog öst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53567-2024</t>
        </is>
      </c>
      <c r="B13086" s="1" t="n">
        <v>45614</v>
      </c>
      <c r="C13086" s="1" t="n">
        <v>45677</v>
      </c>
      <c r="D13086" t="inlineStr">
        <is>
          <t>GÄVLEBORGS LÄN</t>
        </is>
      </c>
      <c r="E13086" t="inlineStr">
        <is>
          <t>GÄVLE</t>
        </is>
      </c>
      <c r="F13086" t="inlineStr">
        <is>
          <t>Bergvik skog öst AB</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53622-2024</t>
        </is>
      </c>
      <c r="B13087" s="1" t="n">
        <v>45614</v>
      </c>
      <c r="C13087" s="1" t="n">
        <v>45677</v>
      </c>
      <c r="D13087" t="inlineStr">
        <is>
          <t>GÄVLEBORGS LÄN</t>
        </is>
      </c>
      <c r="E13087" t="inlineStr">
        <is>
          <t>HUDIKSVALL</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53565-2024</t>
        </is>
      </c>
      <c r="B13088" s="1" t="n">
        <v>45614</v>
      </c>
      <c r="C13088" s="1" t="n">
        <v>45677</v>
      </c>
      <c r="D13088" t="inlineStr">
        <is>
          <t>GÄVLEBORGS LÄN</t>
        </is>
      </c>
      <c r="E13088" t="inlineStr">
        <is>
          <t>OVANÅKER</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53582-2024</t>
        </is>
      </c>
      <c r="B13089" s="1" t="n">
        <v>45614</v>
      </c>
      <c r="C13089" s="1" t="n">
        <v>45677</v>
      </c>
      <c r="D13089" t="inlineStr">
        <is>
          <t>GÄVLEBORGS LÄN</t>
        </is>
      </c>
      <c r="E13089" t="inlineStr">
        <is>
          <t>GÄVLE</t>
        </is>
      </c>
      <c r="F13089" t="inlineStr">
        <is>
          <t>Bergvik skog öst AB</t>
        </is>
      </c>
      <c r="G13089" t="n">
        <v>8.300000000000001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53621-2024</t>
        </is>
      </c>
      <c r="B13090" s="1" t="n">
        <v>45614</v>
      </c>
      <c r="C13090" s="1" t="n">
        <v>45677</v>
      </c>
      <c r="D13090" t="inlineStr">
        <is>
          <t>GÄVLEBORGS LÄN</t>
        </is>
      </c>
      <c r="E13090" t="inlineStr">
        <is>
          <t>HUDIKSVALL</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53526-2024</t>
        </is>
      </c>
      <c r="B13091" s="1" t="n">
        <v>45614</v>
      </c>
      <c r="C13091" s="1" t="n">
        <v>45677</v>
      </c>
      <c r="D13091" t="inlineStr">
        <is>
          <t>GÄVLEBORGS LÄN</t>
        </is>
      </c>
      <c r="E13091" t="inlineStr">
        <is>
          <t>HOFORS</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53521-2024</t>
        </is>
      </c>
      <c r="B13092" s="1" t="n">
        <v>45614</v>
      </c>
      <c r="C13092" s="1" t="n">
        <v>45677</v>
      </c>
      <c r="D13092" t="inlineStr">
        <is>
          <t>GÄVLEBORGS LÄN</t>
        </is>
      </c>
      <c r="E13092" t="inlineStr">
        <is>
          <t>HOFORS</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53517-2024</t>
        </is>
      </c>
      <c r="B13093" s="1" t="n">
        <v>45614</v>
      </c>
      <c r="C13093" s="1" t="n">
        <v>45677</v>
      </c>
      <c r="D13093" t="inlineStr">
        <is>
          <t>GÄVLEBORGS LÄN</t>
        </is>
      </c>
      <c r="E13093" t="inlineStr">
        <is>
          <t>HOFORS</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53444-2024</t>
        </is>
      </c>
      <c r="B13094" s="1" t="n">
        <v>45614</v>
      </c>
      <c r="C13094" s="1" t="n">
        <v>45677</v>
      </c>
      <c r="D13094" t="inlineStr">
        <is>
          <t>GÄVLEBORGS LÄN</t>
        </is>
      </c>
      <c r="E13094" t="inlineStr">
        <is>
          <t>OVANÅKER</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53440-2024</t>
        </is>
      </c>
      <c r="B13095" s="1" t="n">
        <v>45614</v>
      </c>
      <c r="C13095" s="1" t="n">
        <v>45677</v>
      </c>
      <c r="D13095" t="inlineStr">
        <is>
          <t>GÄVLEBORGS LÄN</t>
        </is>
      </c>
      <c r="E13095" t="inlineStr">
        <is>
          <t>OVANÅKER</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53404-2024</t>
        </is>
      </c>
      <c r="B13096" s="1" t="n">
        <v>45614</v>
      </c>
      <c r="C13096" s="1" t="n">
        <v>45677</v>
      </c>
      <c r="D13096" t="inlineStr">
        <is>
          <t>GÄVLEBORGS LÄN</t>
        </is>
      </c>
      <c r="E13096" t="inlineStr">
        <is>
          <t>OVANÅKER</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53324-2024</t>
        </is>
      </c>
      <c r="B13097" s="1" t="n">
        <v>45614</v>
      </c>
      <c r="C13097" s="1" t="n">
        <v>45677</v>
      </c>
      <c r="D13097" t="inlineStr">
        <is>
          <t>GÄVLEBORGS LÄN</t>
        </is>
      </c>
      <c r="E13097" t="inlineStr">
        <is>
          <t>SANDVIKEN</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53282-2024</t>
        </is>
      </c>
      <c r="B13098" s="1" t="n">
        <v>45614</v>
      </c>
      <c r="C13098" s="1" t="n">
        <v>45677</v>
      </c>
      <c r="D13098" t="inlineStr">
        <is>
          <t>GÄVLEBORGS LÄN</t>
        </is>
      </c>
      <c r="E13098" t="inlineStr">
        <is>
          <t>SANDVIKEN</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53250-2024</t>
        </is>
      </c>
      <c r="B13099" s="1" t="n">
        <v>45614</v>
      </c>
      <c r="C13099" s="1" t="n">
        <v>45677</v>
      </c>
      <c r="D13099" t="inlineStr">
        <is>
          <t>GÄVLEBORGS LÄN</t>
        </is>
      </c>
      <c r="E13099" t="inlineStr">
        <is>
          <t>OVANÅKER</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53624-2024</t>
        </is>
      </c>
      <c r="B13100" s="1" t="n">
        <v>45614</v>
      </c>
      <c r="C13100" s="1" t="n">
        <v>45677</v>
      </c>
      <c r="D13100" t="inlineStr">
        <is>
          <t>GÄVLEBORGS LÄN</t>
        </is>
      </c>
      <c r="E13100" t="inlineStr">
        <is>
          <t>HUDIKSVALL</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53523-2024</t>
        </is>
      </c>
      <c r="B13101" s="1" t="n">
        <v>45614</v>
      </c>
      <c r="C13101" s="1" t="n">
        <v>45677</v>
      </c>
      <c r="D13101" t="inlineStr">
        <is>
          <t>GÄVLEBORGS LÄN</t>
        </is>
      </c>
      <c r="E13101" t="inlineStr">
        <is>
          <t>BOLLNÄS</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53475-2024</t>
        </is>
      </c>
      <c r="B13102" s="1" t="n">
        <v>45614</v>
      </c>
      <c r="C13102" s="1" t="n">
        <v>45677</v>
      </c>
      <c r="D13102" t="inlineStr">
        <is>
          <t>GÄVLEBORGS LÄN</t>
        </is>
      </c>
      <c r="E13102" t="inlineStr">
        <is>
          <t>BOLLNÄS</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53470-2024</t>
        </is>
      </c>
      <c r="B13103" s="1" t="n">
        <v>45614</v>
      </c>
      <c r="C13103" s="1" t="n">
        <v>45677</v>
      </c>
      <c r="D13103" t="inlineStr">
        <is>
          <t>GÄVLEBORGS LÄN</t>
        </is>
      </c>
      <c r="E13103" t="inlineStr">
        <is>
          <t>BOLLNÄS</t>
        </is>
      </c>
      <c r="G13103" t="n">
        <v>18.8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53418-2024</t>
        </is>
      </c>
      <c r="B13104" s="1" t="n">
        <v>45614</v>
      </c>
      <c r="C13104" s="1" t="n">
        <v>45677</v>
      </c>
      <c r="D13104" t="inlineStr">
        <is>
          <t>GÄVLEBORGS LÄN</t>
        </is>
      </c>
      <c r="E13104" t="inlineStr">
        <is>
          <t>HUDIKSVALL</t>
        </is>
      </c>
      <c r="G13104" t="n">
        <v>12.3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53410-2024</t>
        </is>
      </c>
      <c r="B13105" s="1" t="n">
        <v>45614</v>
      </c>
      <c r="C13105" s="1" t="n">
        <v>45677</v>
      </c>
      <c r="D13105" t="inlineStr">
        <is>
          <t>GÄVLEBORGS LÄN</t>
        </is>
      </c>
      <c r="E13105" t="inlineStr">
        <is>
          <t>LJUSDAL</t>
        </is>
      </c>
      <c r="F13105" t="inlineStr">
        <is>
          <t>Sveaskog</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53450-2024</t>
        </is>
      </c>
      <c r="B13106" s="1" t="n">
        <v>45614</v>
      </c>
      <c r="C13106" s="1" t="n">
        <v>45677</v>
      </c>
      <c r="D13106" t="inlineStr">
        <is>
          <t>GÄVLEBORGS LÄN</t>
        </is>
      </c>
      <c r="E13106" t="inlineStr">
        <is>
          <t>LJUSDAL</t>
        </is>
      </c>
      <c r="F13106" t="inlineStr">
        <is>
          <t>Sveaskog</t>
        </is>
      </c>
      <c r="G13106" t="n">
        <v>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53326-2024</t>
        </is>
      </c>
      <c r="B13107" s="1" t="n">
        <v>45614</v>
      </c>
      <c r="C13107" s="1" t="n">
        <v>45677</v>
      </c>
      <c r="D13107" t="inlineStr">
        <is>
          <t>GÄVLEBORGS LÄN</t>
        </is>
      </c>
      <c r="E13107" t="inlineStr">
        <is>
          <t>BOLLNÄS</t>
        </is>
      </c>
      <c r="G13107" t="n">
        <v>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53322-2024</t>
        </is>
      </c>
      <c r="B13108" s="1" t="n">
        <v>45614</v>
      </c>
      <c r="C13108" s="1" t="n">
        <v>45677</v>
      </c>
      <c r="D13108" t="inlineStr">
        <is>
          <t>GÄVLEBORGS LÄN</t>
        </is>
      </c>
      <c r="E13108" t="inlineStr">
        <is>
          <t>SANDVIKEN</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53276-2024</t>
        </is>
      </c>
      <c r="B13109" s="1" t="n">
        <v>45614</v>
      </c>
      <c r="C13109" s="1" t="n">
        <v>45677</v>
      </c>
      <c r="D13109" t="inlineStr">
        <is>
          <t>GÄVLEBORGS LÄN</t>
        </is>
      </c>
      <c r="E13109" t="inlineStr">
        <is>
          <t>SANDVIKEN</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53268-2024</t>
        </is>
      </c>
      <c r="B13110" s="1" t="n">
        <v>45614</v>
      </c>
      <c r="C13110" s="1" t="n">
        <v>45677</v>
      </c>
      <c r="D13110" t="inlineStr">
        <is>
          <t>GÄVLEBORGS LÄN</t>
        </is>
      </c>
      <c r="E13110" t="inlineStr">
        <is>
          <t>GÄVLE</t>
        </is>
      </c>
      <c r="F13110" t="inlineStr">
        <is>
          <t>Bergvik skog öst AB</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53397-2024</t>
        </is>
      </c>
      <c r="B13111" s="1" t="n">
        <v>45614</v>
      </c>
      <c r="C13111" s="1" t="n">
        <v>45677</v>
      </c>
      <c r="D13111" t="inlineStr">
        <is>
          <t>GÄVLEBORGS LÄN</t>
        </is>
      </c>
      <c r="E13111" t="inlineStr">
        <is>
          <t>GÄVLE</t>
        </is>
      </c>
      <c r="F13111" t="inlineStr">
        <is>
          <t>Bergvik skog öst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53393-2024</t>
        </is>
      </c>
      <c r="B13112" s="1" t="n">
        <v>45614</v>
      </c>
      <c r="C13112" s="1" t="n">
        <v>45677</v>
      </c>
      <c r="D13112" t="inlineStr">
        <is>
          <t>GÄVLEBORGS LÄN</t>
        </is>
      </c>
      <c r="E13112" t="inlineStr">
        <is>
          <t>HOFORS</t>
        </is>
      </c>
      <c r="F13112" t="inlineStr">
        <is>
          <t>Övriga statliga verk och myndigheter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53385-2024</t>
        </is>
      </c>
      <c r="B13113" s="1" t="n">
        <v>45614</v>
      </c>
      <c r="C13113" s="1" t="n">
        <v>45677</v>
      </c>
      <c r="D13113" t="inlineStr">
        <is>
          <t>GÄVLEBORGS LÄN</t>
        </is>
      </c>
      <c r="E13113" t="inlineStr">
        <is>
          <t>HOFORS</t>
        </is>
      </c>
      <c r="F13113" t="inlineStr">
        <is>
          <t>Övriga statliga verk och myndigheter</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53259-2024</t>
        </is>
      </c>
      <c r="B13114" s="1" t="n">
        <v>45614</v>
      </c>
      <c r="C13114" s="1" t="n">
        <v>45677</v>
      </c>
      <c r="D13114" t="inlineStr">
        <is>
          <t>GÄVLEBORGS LÄN</t>
        </is>
      </c>
      <c r="E13114" t="inlineStr">
        <is>
          <t>HUDIKSVALL</t>
        </is>
      </c>
      <c r="F13114" t="inlineStr">
        <is>
          <t>Holmen skog AB</t>
        </is>
      </c>
      <c r="G13114" t="n">
        <v>35.7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53702-2024</t>
        </is>
      </c>
      <c r="B13115" s="1" t="n">
        <v>45615</v>
      </c>
      <c r="C13115" s="1" t="n">
        <v>45677</v>
      </c>
      <c r="D13115" t="inlineStr">
        <is>
          <t>GÄVLEBORGS LÄN</t>
        </is>
      </c>
      <c r="E13115" t="inlineStr">
        <is>
          <t>OCKELBO</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53718-2024</t>
        </is>
      </c>
      <c r="B13116" s="1" t="n">
        <v>45615</v>
      </c>
      <c r="C13116" s="1" t="n">
        <v>45677</v>
      </c>
      <c r="D13116" t="inlineStr">
        <is>
          <t>GÄVLEBORGS LÄN</t>
        </is>
      </c>
      <c r="E13116" t="inlineStr">
        <is>
          <t>SANDVIKEN</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53691-2024</t>
        </is>
      </c>
      <c r="B13117" s="1" t="n">
        <v>45615</v>
      </c>
      <c r="C13117" s="1" t="n">
        <v>45677</v>
      </c>
      <c r="D13117" t="inlineStr">
        <is>
          <t>GÄVLEBORGS LÄN</t>
        </is>
      </c>
      <c r="E13117" t="inlineStr">
        <is>
          <t>NORDANSTIG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53804-2024</t>
        </is>
      </c>
      <c r="B13118" s="1" t="n">
        <v>45615</v>
      </c>
      <c r="C13118" s="1" t="n">
        <v>45677</v>
      </c>
      <c r="D13118" t="inlineStr">
        <is>
          <t>GÄVLEBORGS LÄN</t>
        </is>
      </c>
      <c r="E13118" t="inlineStr">
        <is>
          <t>LJUSDAL</t>
        </is>
      </c>
      <c r="G13118" t="n">
        <v>34.2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53834-2024</t>
        </is>
      </c>
      <c r="B13119" s="1" t="n">
        <v>45615</v>
      </c>
      <c r="C13119" s="1" t="n">
        <v>45677</v>
      </c>
      <c r="D13119" t="inlineStr">
        <is>
          <t>GÄVLEBORGS LÄN</t>
        </is>
      </c>
      <c r="E13119" t="inlineStr">
        <is>
          <t>OVANÅKER</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53837-2024</t>
        </is>
      </c>
      <c r="B13120" s="1" t="n">
        <v>45615</v>
      </c>
      <c r="C13120" s="1" t="n">
        <v>45677</v>
      </c>
      <c r="D13120" t="inlineStr">
        <is>
          <t>GÄVLEBORGS LÄN</t>
        </is>
      </c>
      <c r="E13120" t="inlineStr">
        <is>
          <t>LJUSDAL</t>
        </is>
      </c>
      <c r="F13120" t="inlineStr">
        <is>
          <t>Sveaskog</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53861-2024</t>
        </is>
      </c>
      <c r="B13121" s="1" t="n">
        <v>45615</v>
      </c>
      <c r="C13121" s="1" t="n">
        <v>45677</v>
      </c>
      <c r="D13121" t="inlineStr">
        <is>
          <t>GÄVLEBORGS LÄN</t>
        </is>
      </c>
      <c r="E13121" t="inlineStr">
        <is>
          <t>SANDVIKEN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53719-2024</t>
        </is>
      </c>
      <c r="B13122" s="1" t="n">
        <v>45615</v>
      </c>
      <c r="C13122" s="1" t="n">
        <v>45677</v>
      </c>
      <c r="D13122" t="inlineStr">
        <is>
          <t>GÄVLEBORGS LÄN</t>
        </is>
      </c>
      <c r="E13122" t="inlineStr">
        <is>
          <t>SANDVIKEN</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53840-2024</t>
        </is>
      </c>
      <c r="B13123" s="1" t="n">
        <v>45615</v>
      </c>
      <c r="C13123" s="1" t="n">
        <v>45677</v>
      </c>
      <c r="D13123" t="inlineStr">
        <is>
          <t>GÄVLEBORGS LÄN</t>
        </is>
      </c>
      <c r="E13123" t="inlineStr">
        <is>
          <t>OVANÅKER</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53845-2024</t>
        </is>
      </c>
      <c r="B13124" s="1" t="n">
        <v>45615</v>
      </c>
      <c r="C13124" s="1" t="n">
        <v>45677</v>
      </c>
      <c r="D13124" t="inlineStr">
        <is>
          <t>GÄVLEBORGS LÄN</t>
        </is>
      </c>
      <c r="E13124" t="inlineStr">
        <is>
          <t>NORDANSTIG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53871-2024</t>
        </is>
      </c>
      <c r="B13125" s="1" t="n">
        <v>45615</v>
      </c>
      <c r="C13125" s="1" t="n">
        <v>45677</v>
      </c>
      <c r="D13125" t="inlineStr">
        <is>
          <t>GÄVLEBORGS LÄN</t>
        </is>
      </c>
      <c r="E13125" t="inlineStr">
        <is>
          <t>OVANÅKER</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53867-2024</t>
        </is>
      </c>
      <c r="B13126" s="1" t="n">
        <v>45615</v>
      </c>
      <c r="C13126" s="1" t="n">
        <v>45677</v>
      </c>
      <c r="D13126" t="inlineStr">
        <is>
          <t>GÄVLEBORGS LÄN</t>
        </is>
      </c>
      <c r="E13126" t="inlineStr">
        <is>
          <t>SANDVIKEN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53905-2024</t>
        </is>
      </c>
      <c r="B13127" s="1" t="n">
        <v>45615</v>
      </c>
      <c r="C13127" s="1" t="n">
        <v>45677</v>
      </c>
      <c r="D13127" t="inlineStr">
        <is>
          <t>GÄVLEBORGS LÄN</t>
        </is>
      </c>
      <c r="E13127" t="inlineStr">
        <is>
          <t>NORDANSTIG</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53917-2024</t>
        </is>
      </c>
      <c r="B13128" s="1" t="n">
        <v>45615</v>
      </c>
      <c r="C13128" s="1" t="n">
        <v>45677</v>
      </c>
      <c r="D13128" t="inlineStr">
        <is>
          <t>GÄVLEBORGS LÄN</t>
        </is>
      </c>
      <c r="E13128" t="inlineStr">
        <is>
          <t>SÖDERHAMN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53751-2024</t>
        </is>
      </c>
      <c r="B13129" s="1" t="n">
        <v>45615</v>
      </c>
      <c r="C13129" s="1" t="n">
        <v>45677</v>
      </c>
      <c r="D13129" t="inlineStr">
        <is>
          <t>GÄVLEBORGS LÄN</t>
        </is>
      </c>
      <c r="E13129" t="inlineStr">
        <is>
          <t>LJUSDAL</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53721-2024</t>
        </is>
      </c>
      <c r="B13130" s="1" t="n">
        <v>45615</v>
      </c>
      <c r="C13130" s="1" t="n">
        <v>45677</v>
      </c>
      <c r="D13130" t="inlineStr">
        <is>
          <t>GÄVLEBORGS LÄN</t>
        </is>
      </c>
      <c r="E13130" t="inlineStr">
        <is>
          <t>HUDIKSVALL</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53902-2024</t>
        </is>
      </c>
      <c r="B13131" s="1" t="n">
        <v>45615</v>
      </c>
      <c r="C13131" s="1" t="n">
        <v>45677</v>
      </c>
      <c r="D13131" t="inlineStr">
        <is>
          <t>GÄVLEBORGS LÄN</t>
        </is>
      </c>
      <c r="E13131" t="inlineStr">
        <is>
          <t>NORDANSTIG</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53918-2024</t>
        </is>
      </c>
      <c r="B13132" s="1" t="n">
        <v>45615</v>
      </c>
      <c r="C13132" s="1" t="n">
        <v>45677</v>
      </c>
      <c r="D13132" t="inlineStr">
        <is>
          <t>GÄVLEBORGS LÄN</t>
        </is>
      </c>
      <c r="E13132" t="inlineStr">
        <is>
          <t>SÖDERHAMN</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53919-2024</t>
        </is>
      </c>
      <c r="B13133" s="1" t="n">
        <v>45615</v>
      </c>
      <c r="C13133" s="1" t="n">
        <v>45677</v>
      </c>
      <c r="D13133" t="inlineStr">
        <is>
          <t>GÄVLEBORGS LÄN</t>
        </is>
      </c>
      <c r="E13133" t="inlineStr">
        <is>
          <t>SÖDERHAMN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53916-2024</t>
        </is>
      </c>
      <c r="B13134" s="1" t="n">
        <v>45615</v>
      </c>
      <c r="C13134" s="1" t="n">
        <v>45677</v>
      </c>
      <c r="D13134" t="inlineStr">
        <is>
          <t>GÄVLEBORGS LÄN</t>
        </is>
      </c>
      <c r="E13134" t="inlineStr">
        <is>
          <t>SÖDERHAMN</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53920-2024</t>
        </is>
      </c>
      <c r="B13135" s="1" t="n">
        <v>45615</v>
      </c>
      <c r="C13135" s="1" t="n">
        <v>45677</v>
      </c>
      <c r="D13135" t="inlineStr">
        <is>
          <t>GÄVLEBORGS LÄN</t>
        </is>
      </c>
      <c r="E13135" t="inlineStr">
        <is>
          <t>SÖDERHAMN</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54135-2024</t>
        </is>
      </c>
      <c r="B13136" s="1" t="n">
        <v>45616</v>
      </c>
      <c r="C13136" s="1" t="n">
        <v>45677</v>
      </c>
      <c r="D13136" t="inlineStr">
        <is>
          <t>GÄVLEBORGS LÄN</t>
        </is>
      </c>
      <c r="E13136" t="inlineStr">
        <is>
          <t>SÖDERHAMN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54171-2024</t>
        </is>
      </c>
      <c r="B13137" s="1" t="n">
        <v>45616</v>
      </c>
      <c r="C13137" s="1" t="n">
        <v>45677</v>
      </c>
      <c r="D13137" t="inlineStr">
        <is>
          <t>GÄVLEBORGS LÄN</t>
        </is>
      </c>
      <c r="E13137" t="inlineStr">
        <is>
          <t>SÖDERHAMN</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54117-2024</t>
        </is>
      </c>
      <c r="B13138" s="1" t="n">
        <v>45616</v>
      </c>
      <c r="C13138" s="1" t="n">
        <v>45677</v>
      </c>
      <c r="D13138" t="inlineStr">
        <is>
          <t>GÄVLEBORGS LÄN</t>
        </is>
      </c>
      <c r="E13138" t="inlineStr">
        <is>
          <t>SANDVIKEN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54015-2024</t>
        </is>
      </c>
      <c r="B13139" s="1" t="n">
        <v>45616</v>
      </c>
      <c r="C13139" s="1" t="n">
        <v>45677</v>
      </c>
      <c r="D13139" t="inlineStr">
        <is>
          <t>GÄVLEBORGS LÄN</t>
        </is>
      </c>
      <c r="E13139" t="inlineStr">
        <is>
          <t>SANDVIKEN</t>
        </is>
      </c>
      <c r="F13139" t="inlineStr">
        <is>
          <t>Kyrkan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54130-2024</t>
        </is>
      </c>
      <c r="B13140" s="1" t="n">
        <v>45616</v>
      </c>
      <c r="C13140" s="1" t="n">
        <v>45677</v>
      </c>
      <c r="D13140" t="inlineStr">
        <is>
          <t>GÄVLEBORGS LÄN</t>
        </is>
      </c>
      <c r="E13140" t="inlineStr">
        <is>
          <t>OCKELBO</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54142-2024</t>
        </is>
      </c>
      <c r="B13141" s="1" t="n">
        <v>45616</v>
      </c>
      <c r="C13141" s="1" t="n">
        <v>45677</v>
      </c>
      <c r="D13141" t="inlineStr">
        <is>
          <t>GÄVLEBORGS LÄN</t>
        </is>
      </c>
      <c r="E13141" t="inlineStr">
        <is>
          <t>GÄVLE</t>
        </is>
      </c>
      <c r="F13141" t="inlineStr">
        <is>
          <t>Bergvik skog öst AB</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54146-2024</t>
        </is>
      </c>
      <c r="B13142" s="1" t="n">
        <v>45616</v>
      </c>
      <c r="C13142" s="1" t="n">
        <v>45677</v>
      </c>
      <c r="D13142" t="inlineStr">
        <is>
          <t>GÄVLEBORGS LÄN</t>
        </is>
      </c>
      <c r="E13142" t="inlineStr">
        <is>
          <t>OVANÅKER</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54214-2024</t>
        </is>
      </c>
      <c r="B13143" s="1" t="n">
        <v>45616</v>
      </c>
      <c r="C13143" s="1" t="n">
        <v>45677</v>
      </c>
      <c r="D13143" t="inlineStr">
        <is>
          <t>GÄVLEBORGS LÄN</t>
        </is>
      </c>
      <c r="E13143" t="inlineStr">
        <is>
          <t>OVANÅKER</t>
        </is>
      </c>
      <c r="F13143" t="inlineStr">
        <is>
          <t>Holmen skog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53970-2024</t>
        </is>
      </c>
      <c r="B13144" s="1" t="n">
        <v>45616</v>
      </c>
      <c r="C13144" s="1" t="n">
        <v>45677</v>
      </c>
      <c r="D13144" t="inlineStr">
        <is>
          <t>GÄVLEBORGS LÄN</t>
        </is>
      </c>
      <c r="E13144" t="inlineStr">
        <is>
          <t>OVANÅKER</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54273-2024</t>
        </is>
      </c>
      <c r="B13145" s="1" t="n">
        <v>45616</v>
      </c>
      <c r="C13145" s="1" t="n">
        <v>45677</v>
      </c>
      <c r="D13145" t="inlineStr">
        <is>
          <t>GÄVLEBORGS LÄN</t>
        </is>
      </c>
      <c r="E13145" t="inlineStr">
        <is>
          <t>OVANÅKER</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53993-2024</t>
        </is>
      </c>
      <c r="B13146" s="1" t="n">
        <v>45616</v>
      </c>
      <c r="C13146" s="1" t="n">
        <v>45677</v>
      </c>
      <c r="D13146" t="inlineStr">
        <is>
          <t>GÄVLEBORGS LÄN</t>
        </is>
      </c>
      <c r="E13146" t="inlineStr">
        <is>
          <t>OCKELBO</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54001-2024</t>
        </is>
      </c>
      <c r="B13147" s="1" t="n">
        <v>45616</v>
      </c>
      <c r="C13147" s="1" t="n">
        <v>45677</v>
      </c>
      <c r="D13147" t="inlineStr">
        <is>
          <t>GÄVLEBORGS LÄN</t>
        </is>
      </c>
      <c r="E13147" t="inlineStr">
        <is>
          <t>OCKELBO</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54156-2024</t>
        </is>
      </c>
      <c r="B13148" s="1" t="n">
        <v>45616</v>
      </c>
      <c r="C13148" s="1" t="n">
        <v>45677</v>
      </c>
      <c r="D13148" t="inlineStr">
        <is>
          <t>GÄVLEBORGS LÄN</t>
        </is>
      </c>
      <c r="E13148" t="inlineStr">
        <is>
          <t>NORDANSTIG</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54209-2024</t>
        </is>
      </c>
      <c r="B13149" s="1" t="n">
        <v>45616</v>
      </c>
      <c r="C13149" s="1" t="n">
        <v>45677</v>
      </c>
      <c r="D13149" t="inlineStr">
        <is>
          <t>GÄVLEBORGS LÄN</t>
        </is>
      </c>
      <c r="E13149" t="inlineStr">
        <is>
          <t>HUDIKSVALL</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53986-2024</t>
        </is>
      </c>
      <c r="B13150" s="1" t="n">
        <v>45616</v>
      </c>
      <c r="C13150" s="1" t="n">
        <v>45677</v>
      </c>
      <c r="D13150" t="inlineStr">
        <is>
          <t>GÄVLEBORGS LÄN</t>
        </is>
      </c>
      <c r="E13150" t="inlineStr">
        <is>
          <t>OVANÅKER</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54187-2024</t>
        </is>
      </c>
      <c r="B13151" s="1" t="n">
        <v>45616</v>
      </c>
      <c r="C13151" s="1" t="n">
        <v>45677</v>
      </c>
      <c r="D13151" t="inlineStr">
        <is>
          <t>GÄVLEBORGS LÄN</t>
        </is>
      </c>
      <c r="E13151" t="inlineStr">
        <is>
          <t>OVANÅKER</t>
        </is>
      </c>
      <c r="F13151" t="inlineStr">
        <is>
          <t>Holmen skog AB</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54323-2024</t>
        </is>
      </c>
      <c r="B13152" s="1" t="n">
        <v>45617</v>
      </c>
      <c r="C13152" s="1" t="n">
        <v>45677</v>
      </c>
      <c r="D13152" t="inlineStr">
        <is>
          <t>GÄVLEBORGS LÄN</t>
        </is>
      </c>
      <c r="E13152" t="inlineStr">
        <is>
          <t>OCKELBO</t>
        </is>
      </c>
      <c r="F13152" t="inlineStr">
        <is>
          <t>Bergvik skog väst AB</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54377-2024</t>
        </is>
      </c>
      <c r="B13153" s="1" t="n">
        <v>45617</v>
      </c>
      <c r="C13153" s="1" t="n">
        <v>45677</v>
      </c>
      <c r="D13153" t="inlineStr">
        <is>
          <t>GÄVLEBORGS LÄN</t>
        </is>
      </c>
      <c r="E13153" t="inlineStr">
        <is>
          <t>OCKELBO</t>
        </is>
      </c>
      <c r="F13153" t="inlineStr">
        <is>
          <t>Bergvik skog väst AB</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54385-2024</t>
        </is>
      </c>
      <c r="B13154" s="1" t="n">
        <v>45617</v>
      </c>
      <c r="C13154" s="1" t="n">
        <v>45677</v>
      </c>
      <c r="D13154" t="inlineStr">
        <is>
          <t>GÄVLEBORGS LÄN</t>
        </is>
      </c>
      <c r="E13154" t="inlineStr">
        <is>
          <t>NORDANSTIG</t>
        </is>
      </c>
      <c r="F13154" t="inlineStr">
        <is>
          <t>Holmen skog AB</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54293-2024</t>
        </is>
      </c>
      <c r="B13155" s="1" t="n">
        <v>45617</v>
      </c>
      <c r="C13155" s="1" t="n">
        <v>45677</v>
      </c>
      <c r="D13155" t="inlineStr">
        <is>
          <t>GÄVLEBORGS LÄN</t>
        </is>
      </c>
      <c r="E13155" t="inlineStr">
        <is>
          <t>GÄVLE</t>
        </is>
      </c>
      <c r="F13155" t="inlineStr">
        <is>
          <t>Bergvik skog öst AB</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54297-2024</t>
        </is>
      </c>
      <c r="B13156" s="1" t="n">
        <v>45617</v>
      </c>
      <c r="C13156" s="1" t="n">
        <v>45677</v>
      </c>
      <c r="D13156" t="inlineStr">
        <is>
          <t>GÄVLEBORGS LÄN</t>
        </is>
      </c>
      <c r="E13156" t="inlineStr">
        <is>
          <t>OVANÅKER</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54337-2024</t>
        </is>
      </c>
      <c r="B13157" s="1" t="n">
        <v>45617</v>
      </c>
      <c r="C13157" s="1" t="n">
        <v>45677</v>
      </c>
      <c r="D13157" t="inlineStr">
        <is>
          <t>GÄVLEBORGS LÄN</t>
        </is>
      </c>
      <c r="E13157" t="inlineStr">
        <is>
          <t>SANDVIKEN</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54454-2024</t>
        </is>
      </c>
      <c r="B13158" s="1" t="n">
        <v>45617</v>
      </c>
      <c r="C13158" s="1" t="n">
        <v>45677</v>
      </c>
      <c r="D13158" t="inlineStr">
        <is>
          <t>GÄVLEBORGS LÄN</t>
        </is>
      </c>
      <c r="E13158" t="inlineStr">
        <is>
          <t>OCKELBO</t>
        </is>
      </c>
      <c r="F13158" t="inlineStr">
        <is>
          <t>Bergvik skog väst AB</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54482-2024</t>
        </is>
      </c>
      <c r="B13159" s="1" t="n">
        <v>45617</v>
      </c>
      <c r="C13159" s="1" t="n">
        <v>45677</v>
      </c>
      <c r="D13159" t="inlineStr">
        <is>
          <t>GÄVLEBORGS LÄN</t>
        </is>
      </c>
      <c r="E13159" t="inlineStr">
        <is>
          <t>SANDVIKEN</t>
        </is>
      </c>
      <c r="F13159" t="inlineStr">
        <is>
          <t>Bergvik skog öst AB</t>
        </is>
      </c>
      <c r="G13159" t="n">
        <v>17.9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54522-2024</t>
        </is>
      </c>
      <c r="B13160" s="1" t="n">
        <v>45617</v>
      </c>
      <c r="C13160" s="1" t="n">
        <v>45677</v>
      </c>
      <c r="D13160" t="inlineStr">
        <is>
          <t>GÄVLEBORGS LÄN</t>
        </is>
      </c>
      <c r="E13160" t="inlineStr">
        <is>
          <t>HUDIKSVALL</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54309-2024</t>
        </is>
      </c>
      <c r="B13161" s="1" t="n">
        <v>45617</v>
      </c>
      <c r="C13161" s="1" t="n">
        <v>45677</v>
      </c>
      <c r="D13161" t="inlineStr">
        <is>
          <t>GÄVLEBORGS LÄN</t>
        </is>
      </c>
      <c r="E13161" t="inlineStr">
        <is>
          <t>OCKELBO</t>
        </is>
      </c>
      <c r="F13161" t="inlineStr">
        <is>
          <t>Bergvik skog väst AB</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54326-2024</t>
        </is>
      </c>
      <c r="B13162" s="1" t="n">
        <v>45617</v>
      </c>
      <c r="C13162" s="1" t="n">
        <v>45677</v>
      </c>
      <c r="D13162" t="inlineStr">
        <is>
          <t>GÄVLEBORGS LÄN</t>
        </is>
      </c>
      <c r="E13162" t="inlineStr">
        <is>
          <t>HUDIKSVALL</t>
        </is>
      </c>
      <c r="F13162" t="inlineStr">
        <is>
          <t>Holmen skog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54350-2024</t>
        </is>
      </c>
      <c r="B13163" s="1" t="n">
        <v>45617</v>
      </c>
      <c r="C13163" s="1" t="n">
        <v>45677</v>
      </c>
      <c r="D13163" t="inlineStr">
        <is>
          <t>GÄVLEBORGS LÄN</t>
        </is>
      </c>
      <c r="E13163" t="inlineStr">
        <is>
          <t>LJUSDAL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54375-2024</t>
        </is>
      </c>
      <c r="B13164" s="1" t="n">
        <v>45617</v>
      </c>
      <c r="C13164" s="1" t="n">
        <v>45677</v>
      </c>
      <c r="D13164" t="inlineStr">
        <is>
          <t>GÄVLEBORGS LÄN</t>
        </is>
      </c>
      <c r="E13164" t="inlineStr">
        <is>
          <t>OCKELBO</t>
        </is>
      </c>
      <c r="F13164" t="inlineStr">
        <is>
          <t>Bergvik skog väst AB</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54443-2024</t>
        </is>
      </c>
      <c r="B13165" s="1" t="n">
        <v>45617</v>
      </c>
      <c r="C13165" s="1" t="n">
        <v>45677</v>
      </c>
      <c r="D13165" t="inlineStr">
        <is>
          <t>GÄVLEBORGS LÄN</t>
        </is>
      </c>
      <c r="E13165" t="inlineStr">
        <is>
          <t>SANDVIKEN</t>
        </is>
      </c>
      <c r="F13165" t="inlineStr">
        <is>
          <t>Bergvik skog öst AB</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54463-2024</t>
        </is>
      </c>
      <c r="B13166" s="1" t="n">
        <v>45617</v>
      </c>
      <c r="C13166" s="1" t="n">
        <v>45677</v>
      </c>
      <c r="D13166" t="inlineStr">
        <is>
          <t>GÄVLEBORGS LÄN</t>
        </is>
      </c>
      <c r="E13166" t="inlineStr">
        <is>
          <t>HUDIKSVALL</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54495-2024</t>
        </is>
      </c>
      <c r="B13167" s="1" t="n">
        <v>45617</v>
      </c>
      <c r="C13167" s="1" t="n">
        <v>45677</v>
      </c>
      <c r="D13167" t="inlineStr">
        <is>
          <t>GÄVLEBORGS LÄN</t>
        </is>
      </c>
      <c r="E13167" t="inlineStr">
        <is>
          <t>SANDVIKEN</t>
        </is>
      </c>
      <c r="F13167" t="inlineStr">
        <is>
          <t>Bergvik skog öst AB</t>
        </is>
      </c>
      <c r="G13167" t="n">
        <v>14.8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54511-2024</t>
        </is>
      </c>
      <c r="B13168" s="1" t="n">
        <v>45617</v>
      </c>
      <c r="C13168" s="1" t="n">
        <v>45677</v>
      </c>
      <c r="D13168" t="inlineStr">
        <is>
          <t>GÄVLEBORGS LÄN</t>
        </is>
      </c>
      <c r="E13168" t="inlineStr">
        <is>
          <t>BOLLNÄS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54519-2024</t>
        </is>
      </c>
      <c r="B13169" s="1" t="n">
        <v>45617</v>
      </c>
      <c r="C13169" s="1" t="n">
        <v>45677</v>
      </c>
      <c r="D13169" t="inlineStr">
        <is>
          <t>GÄVLEBORGS LÄN</t>
        </is>
      </c>
      <c r="E13169" t="inlineStr">
        <is>
          <t>NORDANSTIG</t>
        </is>
      </c>
      <c r="F13169" t="inlineStr">
        <is>
          <t>Holmen skog AB</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54535-2024</t>
        </is>
      </c>
      <c r="B13170" s="1" t="n">
        <v>45617</v>
      </c>
      <c r="C13170" s="1" t="n">
        <v>45677</v>
      </c>
      <c r="D13170" t="inlineStr">
        <is>
          <t>GÄVLEBORGS LÄN</t>
        </is>
      </c>
      <c r="E13170" t="inlineStr">
        <is>
          <t>HUDIKSVALL</t>
        </is>
      </c>
      <c r="F13170" t="inlineStr">
        <is>
          <t>Holmen skog AB</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54571-2024</t>
        </is>
      </c>
      <c r="B13171" s="1" t="n">
        <v>45617</v>
      </c>
      <c r="C13171" s="1" t="n">
        <v>45677</v>
      </c>
      <c r="D13171" t="inlineStr">
        <is>
          <t>GÄVLEBORGS LÄN</t>
        </is>
      </c>
      <c r="E13171" t="inlineStr">
        <is>
          <t>HUDIKSVALL</t>
        </is>
      </c>
      <c r="F13171" t="inlineStr">
        <is>
          <t>Holmen skog AB</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54627-2024</t>
        </is>
      </c>
      <c r="B13172" s="1" t="n">
        <v>45617</v>
      </c>
      <c r="C13172" s="1" t="n">
        <v>45677</v>
      </c>
      <c r="D13172" t="inlineStr">
        <is>
          <t>GÄVLEBORGS LÄN</t>
        </is>
      </c>
      <c r="E13172" t="inlineStr">
        <is>
          <t>OCKELBO</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54554-2024</t>
        </is>
      </c>
      <c r="B13173" s="1" t="n">
        <v>45617</v>
      </c>
      <c r="C13173" s="1" t="n">
        <v>45677</v>
      </c>
      <c r="D13173" t="inlineStr">
        <is>
          <t>GÄVLEBORGS LÄN</t>
        </is>
      </c>
      <c r="E13173" t="inlineStr">
        <is>
          <t>OVANÅKER</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54578-2024</t>
        </is>
      </c>
      <c r="B13174" s="1" t="n">
        <v>45617</v>
      </c>
      <c r="C13174" s="1" t="n">
        <v>45677</v>
      </c>
      <c r="D13174" t="inlineStr">
        <is>
          <t>GÄVLEBORGS LÄN</t>
        </is>
      </c>
      <c r="E13174" t="inlineStr">
        <is>
          <t>HOFORS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54598-2024</t>
        </is>
      </c>
      <c r="B13175" s="1" t="n">
        <v>45617</v>
      </c>
      <c r="C13175" s="1" t="n">
        <v>45677</v>
      </c>
      <c r="D13175" t="inlineStr">
        <is>
          <t>GÄVLEBORGS LÄN</t>
        </is>
      </c>
      <c r="E13175" t="inlineStr">
        <is>
          <t>SÖDERHAMN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54606-2024</t>
        </is>
      </c>
      <c r="B13176" s="1" t="n">
        <v>45617</v>
      </c>
      <c r="C13176" s="1" t="n">
        <v>45677</v>
      </c>
      <c r="D13176" t="inlineStr">
        <is>
          <t>GÄVLEBORGS LÄN</t>
        </is>
      </c>
      <c r="E13176" t="inlineStr">
        <is>
          <t>SÖDERHAMN</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54401-2024</t>
        </is>
      </c>
      <c r="B13177" s="1" t="n">
        <v>45617</v>
      </c>
      <c r="C13177" s="1" t="n">
        <v>45677</v>
      </c>
      <c r="D13177" t="inlineStr">
        <is>
          <t>GÄVLEBORGS LÄN</t>
        </is>
      </c>
      <c r="E13177" t="inlineStr">
        <is>
          <t>NORDANSTIG</t>
        </is>
      </c>
      <c r="F13177" t="inlineStr">
        <is>
          <t>Holmen skog AB</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54440-2024</t>
        </is>
      </c>
      <c r="B13178" s="1" t="n">
        <v>45617</v>
      </c>
      <c r="C13178" s="1" t="n">
        <v>45677</v>
      </c>
      <c r="D13178" t="inlineStr">
        <is>
          <t>GÄVLEBORGS LÄN</t>
        </is>
      </c>
      <c r="E13178" t="inlineStr">
        <is>
          <t>HUDIKSVALL</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54468-2024</t>
        </is>
      </c>
      <c r="B13179" s="1" t="n">
        <v>45617</v>
      </c>
      <c r="C13179" s="1" t="n">
        <v>45677</v>
      </c>
      <c r="D13179" t="inlineStr">
        <is>
          <t>GÄVLEBORGS LÄN</t>
        </is>
      </c>
      <c r="E13179" t="inlineStr">
        <is>
          <t>HUDIKSVALL</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54524-2024</t>
        </is>
      </c>
      <c r="B13180" s="1" t="n">
        <v>45617</v>
      </c>
      <c r="C13180" s="1" t="n">
        <v>45677</v>
      </c>
      <c r="D13180" t="inlineStr">
        <is>
          <t>GÄVLEBORGS LÄN</t>
        </is>
      </c>
      <c r="E13180" t="inlineStr">
        <is>
          <t>NORDANSTIG</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54592-2024</t>
        </is>
      </c>
      <c r="B13181" s="1" t="n">
        <v>45617</v>
      </c>
      <c r="C13181" s="1" t="n">
        <v>45677</v>
      </c>
      <c r="D13181" t="inlineStr">
        <is>
          <t>GÄVLEBORGS LÄN</t>
        </is>
      </c>
      <c r="E13181" t="inlineStr">
        <is>
          <t>HUDIKSVALL</t>
        </is>
      </c>
      <c r="F13181" t="inlineStr">
        <is>
          <t>Holmen skog AB</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54608-2024</t>
        </is>
      </c>
      <c r="B13182" s="1" t="n">
        <v>45617</v>
      </c>
      <c r="C13182" s="1" t="n">
        <v>45677</v>
      </c>
      <c r="D13182" t="inlineStr">
        <is>
          <t>GÄVLEBORGS LÄN</t>
        </is>
      </c>
      <c r="E13182" t="inlineStr">
        <is>
          <t>SÖDERHAMN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54517-2024</t>
        </is>
      </c>
      <c r="B13183" s="1" t="n">
        <v>45617</v>
      </c>
      <c r="C13183" s="1" t="n">
        <v>45677</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54521-2024</t>
        </is>
      </c>
      <c r="B13184" s="1" t="n">
        <v>45617</v>
      </c>
      <c r="C13184" s="1" t="n">
        <v>45677</v>
      </c>
      <c r="D13184" t="inlineStr">
        <is>
          <t>GÄVLEBORGS LÄN</t>
        </is>
      </c>
      <c r="E13184" t="inlineStr">
        <is>
          <t>SANDVIKEN</t>
        </is>
      </c>
      <c r="F13184" t="inlineStr">
        <is>
          <t>Bergvik skog öst AB</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54525-2024</t>
        </is>
      </c>
      <c r="B13185" s="1" t="n">
        <v>45617</v>
      </c>
      <c r="C13185" s="1" t="n">
        <v>45677</v>
      </c>
      <c r="D13185" t="inlineStr">
        <is>
          <t>GÄVLEBORGS LÄN</t>
        </is>
      </c>
      <c r="E13185" t="inlineStr">
        <is>
          <t>SANDVIKEN</t>
        </is>
      </c>
      <c r="F13185" t="inlineStr">
        <is>
          <t>Bergvik skog öst AB</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54529-2024</t>
        </is>
      </c>
      <c r="B13186" s="1" t="n">
        <v>45617</v>
      </c>
      <c r="C13186" s="1" t="n">
        <v>45677</v>
      </c>
      <c r="D13186" t="inlineStr">
        <is>
          <t>GÄVLEBORGS LÄN</t>
        </is>
      </c>
      <c r="E13186" t="inlineStr">
        <is>
          <t>HUDIKSVALL</t>
        </is>
      </c>
      <c r="G13186" t="n">
        <v>35.3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54557-2024</t>
        </is>
      </c>
      <c r="B13187" s="1" t="n">
        <v>45617</v>
      </c>
      <c r="C13187" s="1" t="n">
        <v>45677</v>
      </c>
      <c r="D13187" t="inlineStr">
        <is>
          <t>GÄVLEBORGS LÄN</t>
        </is>
      </c>
      <c r="E13187" t="inlineStr">
        <is>
          <t>OVANÅKER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54883-2024</t>
        </is>
      </c>
      <c r="B13188" s="1" t="n">
        <v>45618</v>
      </c>
      <c r="C13188" s="1" t="n">
        <v>45677</v>
      </c>
      <c r="D13188" t="inlineStr">
        <is>
          <t>GÄVLEBORGS LÄN</t>
        </is>
      </c>
      <c r="E13188" t="inlineStr">
        <is>
          <t>SANDVIKEN</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54807-2024</t>
        </is>
      </c>
      <c r="B13189" s="1" t="n">
        <v>45618</v>
      </c>
      <c r="C13189" s="1" t="n">
        <v>45677</v>
      </c>
      <c r="D13189" t="inlineStr">
        <is>
          <t>GÄVLEBORGS LÄN</t>
        </is>
      </c>
      <c r="E13189" t="inlineStr">
        <is>
          <t>OCKELBO</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54705-2024</t>
        </is>
      </c>
      <c r="B13190" s="1" t="n">
        <v>45618</v>
      </c>
      <c r="C13190" s="1" t="n">
        <v>45677</v>
      </c>
      <c r="D13190" t="inlineStr">
        <is>
          <t>GÄVLEBORGS LÄN</t>
        </is>
      </c>
      <c r="E13190" t="inlineStr">
        <is>
          <t>NORDANSTIG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54665-2024</t>
        </is>
      </c>
      <c r="B13191" s="1" t="n">
        <v>45618</v>
      </c>
      <c r="C13191" s="1" t="n">
        <v>45677</v>
      </c>
      <c r="D13191" t="inlineStr">
        <is>
          <t>GÄVLEBORGS LÄN</t>
        </is>
      </c>
      <c r="E13191" t="inlineStr">
        <is>
          <t>OVANÅKER</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54661-2024</t>
        </is>
      </c>
      <c r="B13192" s="1" t="n">
        <v>45618</v>
      </c>
      <c r="C13192" s="1" t="n">
        <v>45677</v>
      </c>
      <c r="D13192" t="inlineStr">
        <is>
          <t>GÄVLEBORGS LÄN</t>
        </is>
      </c>
      <c r="E13192" t="inlineStr">
        <is>
          <t>OVANÅKER</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54685-2024</t>
        </is>
      </c>
      <c r="B13193" s="1" t="n">
        <v>45618</v>
      </c>
      <c r="C13193" s="1" t="n">
        <v>45677</v>
      </c>
      <c r="D13193" t="inlineStr">
        <is>
          <t>GÄVLEBORGS LÄN</t>
        </is>
      </c>
      <c r="E13193" t="inlineStr">
        <is>
          <t>NORDANSTIG</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54710-2024</t>
        </is>
      </c>
      <c r="B13194" s="1" t="n">
        <v>45618</v>
      </c>
      <c r="C13194" s="1" t="n">
        <v>45677</v>
      </c>
      <c r="D13194" t="inlineStr">
        <is>
          <t>GÄVLEBORGS LÄN</t>
        </is>
      </c>
      <c r="E13194" t="inlineStr">
        <is>
          <t>NORDANSTIG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54758-2024</t>
        </is>
      </c>
      <c r="B13195" s="1" t="n">
        <v>45618</v>
      </c>
      <c r="C13195" s="1" t="n">
        <v>45677</v>
      </c>
      <c r="D13195" t="inlineStr">
        <is>
          <t>GÄVLEBORGS LÄN</t>
        </is>
      </c>
      <c r="E13195" t="inlineStr">
        <is>
          <t>GÄVLE</t>
        </is>
      </c>
      <c r="F13195" t="inlineStr">
        <is>
          <t>Bergvik skog öst AB</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54795-2024</t>
        </is>
      </c>
      <c r="B13196" s="1" t="n">
        <v>45618</v>
      </c>
      <c r="C13196" s="1" t="n">
        <v>45677</v>
      </c>
      <c r="D13196" t="inlineStr">
        <is>
          <t>GÄVLEBORGS LÄN</t>
        </is>
      </c>
      <c r="E13196" t="inlineStr">
        <is>
          <t>BOLLNÄS</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54896-2024</t>
        </is>
      </c>
      <c r="B13197" s="1" t="n">
        <v>45618</v>
      </c>
      <c r="C13197" s="1" t="n">
        <v>45677</v>
      </c>
      <c r="D13197" t="inlineStr">
        <is>
          <t>GÄVLEBORGS LÄN</t>
        </is>
      </c>
      <c r="E13197" t="inlineStr">
        <is>
          <t>NORDANSTIG</t>
        </is>
      </c>
      <c r="F13197" t="inlineStr">
        <is>
          <t>Holmen skog AB</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54820-2024</t>
        </is>
      </c>
      <c r="B13198" s="1" t="n">
        <v>45618</v>
      </c>
      <c r="C13198" s="1" t="n">
        <v>45677</v>
      </c>
      <c r="D13198" t="inlineStr">
        <is>
          <t>GÄVLEBORGS LÄN</t>
        </is>
      </c>
      <c r="E13198" t="inlineStr">
        <is>
          <t>LJUSDAL</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54742-2024</t>
        </is>
      </c>
      <c r="B13199" s="1" t="n">
        <v>45618</v>
      </c>
      <c r="C13199" s="1" t="n">
        <v>45677</v>
      </c>
      <c r="D13199" t="inlineStr">
        <is>
          <t>GÄVLEBORGS LÄN</t>
        </is>
      </c>
      <c r="E13199" t="inlineStr">
        <is>
          <t>BOLLNÄS</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54897-2024</t>
        </is>
      </c>
      <c r="B13200" s="1" t="n">
        <v>45618</v>
      </c>
      <c r="C13200" s="1" t="n">
        <v>45677</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54906-2024</t>
        </is>
      </c>
      <c r="B13201" s="1" t="n">
        <v>45618</v>
      </c>
      <c r="C13201" s="1" t="n">
        <v>45677</v>
      </c>
      <c r="D13201" t="inlineStr">
        <is>
          <t>GÄVLEBORGS LÄN</t>
        </is>
      </c>
      <c r="E13201" t="inlineStr">
        <is>
          <t>LJUSDAL</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54918-2024</t>
        </is>
      </c>
      <c r="B13202" s="1" t="n">
        <v>45618</v>
      </c>
      <c r="C13202" s="1" t="n">
        <v>45677</v>
      </c>
      <c r="D13202" t="inlineStr">
        <is>
          <t>GÄVLEBORGS LÄN</t>
        </is>
      </c>
      <c r="E13202" t="inlineStr">
        <is>
          <t>LJUSDAL</t>
        </is>
      </c>
      <c r="F13202" t="inlineStr">
        <is>
          <t>SCA</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54926-2024</t>
        </is>
      </c>
      <c r="B13203" s="1" t="n">
        <v>45618</v>
      </c>
      <c r="C13203" s="1" t="n">
        <v>45677</v>
      </c>
      <c r="D13203" t="inlineStr">
        <is>
          <t>GÄVLEBORGS LÄN</t>
        </is>
      </c>
      <c r="E13203" t="inlineStr">
        <is>
          <t>LJUSDAL</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54690-2024</t>
        </is>
      </c>
      <c r="B13204" s="1" t="n">
        <v>45618</v>
      </c>
      <c r="C13204" s="1" t="n">
        <v>45677</v>
      </c>
      <c r="D13204" t="inlineStr">
        <is>
          <t>GÄVLEBORGS LÄN</t>
        </is>
      </c>
      <c r="E13204" t="inlineStr">
        <is>
          <t>HUDIKSVALL</t>
        </is>
      </c>
      <c r="F13204" t="inlineStr">
        <is>
          <t>Holmen skog AB</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54853-2024</t>
        </is>
      </c>
      <c r="B13205" s="1" t="n">
        <v>45618</v>
      </c>
      <c r="C13205" s="1" t="n">
        <v>45677</v>
      </c>
      <c r="D13205" t="inlineStr">
        <is>
          <t>GÄVLEBORGS LÄN</t>
        </is>
      </c>
      <c r="E13205" t="inlineStr">
        <is>
          <t>OVANÅKER</t>
        </is>
      </c>
      <c r="F13205" t="inlineStr">
        <is>
          <t>Bergvik skog väst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54885-2024</t>
        </is>
      </c>
      <c r="B13206" s="1" t="n">
        <v>45618</v>
      </c>
      <c r="C13206" s="1" t="n">
        <v>45677</v>
      </c>
      <c r="D13206" t="inlineStr">
        <is>
          <t>GÄVLEBORGS LÄN</t>
        </is>
      </c>
      <c r="E13206" t="inlineStr">
        <is>
          <t>GÄVLE</t>
        </is>
      </c>
      <c r="F13206" t="inlineStr">
        <is>
          <t>Bergvik skog öst AB</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54751-2024</t>
        </is>
      </c>
      <c r="B13207" s="1" t="n">
        <v>45618</v>
      </c>
      <c r="C13207" s="1" t="n">
        <v>45677</v>
      </c>
      <c r="D13207" t="inlineStr">
        <is>
          <t>GÄVLEBORGS LÄN</t>
        </is>
      </c>
      <c r="E13207" t="inlineStr">
        <is>
          <t>GÄVLE</t>
        </is>
      </c>
      <c r="F13207" t="inlineStr">
        <is>
          <t>Bergvik skog öst AB</t>
        </is>
      </c>
      <c r="G13207" t="n">
        <v>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54713-2024</t>
        </is>
      </c>
      <c r="B13208" s="1" t="n">
        <v>45618</v>
      </c>
      <c r="C13208" s="1" t="n">
        <v>45677</v>
      </c>
      <c r="D13208" t="inlineStr">
        <is>
          <t>GÄVLEBORGS LÄN</t>
        </is>
      </c>
      <c r="E13208" t="inlineStr">
        <is>
          <t>NORDANSTIG</t>
        </is>
      </c>
      <c r="F13208" t="inlineStr">
        <is>
          <t>Holmen skog AB</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54890-2024</t>
        </is>
      </c>
      <c r="B13209" s="1" t="n">
        <v>45618</v>
      </c>
      <c r="C13209" s="1" t="n">
        <v>45677</v>
      </c>
      <c r="D13209" t="inlineStr">
        <is>
          <t>GÄVLEBORGS LÄN</t>
        </is>
      </c>
      <c r="E13209" t="inlineStr">
        <is>
          <t>HUDIKSVALL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54683-2024</t>
        </is>
      </c>
      <c r="B13210" s="1" t="n">
        <v>45618</v>
      </c>
      <c r="C13210" s="1" t="n">
        <v>45677</v>
      </c>
      <c r="D13210" t="inlineStr">
        <is>
          <t>GÄVLEBORGS LÄN</t>
        </is>
      </c>
      <c r="E13210" t="inlineStr">
        <is>
          <t>GÄVLE</t>
        </is>
      </c>
      <c r="F13210" t="inlineStr">
        <is>
          <t>Bergvik skog öst AB</t>
        </is>
      </c>
      <c r="G13210" t="n">
        <v>11.7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54667-2024</t>
        </is>
      </c>
      <c r="B13211" s="1" t="n">
        <v>45618</v>
      </c>
      <c r="C13211" s="1" t="n">
        <v>45677</v>
      </c>
      <c r="D13211" t="inlineStr">
        <is>
          <t>GÄVLEBORGS LÄN</t>
        </is>
      </c>
      <c r="E13211" t="inlineStr">
        <is>
          <t>OVANÅKER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54663-2024</t>
        </is>
      </c>
      <c r="B13212" s="1" t="n">
        <v>45618</v>
      </c>
      <c r="C13212" s="1" t="n">
        <v>45677</v>
      </c>
      <c r="D13212" t="inlineStr">
        <is>
          <t>GÄVLEBORGS LÄN</t>
        </is>
      </c>
      <c r="E13212" t="inlineStr">
        <is>
          <t>OVANÅKER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54854-2024</t>
        </is>
      </c>
      <c r="B13213" s="1" t="n">
        <v>45618</v>
      </c>
      <c r="C13213" s="1" t="n">
        <v>45677</v>
      </c>
      <c r="D13213" t="inlineStr">
        <is>
          <t>GÄVLEBORGS LÄN</t>
        </is>
      </c>
      <c r="E13213" t="inlineStr">
        <is>
          <t>BOLLNÄS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54676-2024</t>
        </is>
      </c>
      <c r="B13214" s="1" t="n">
        <v>45618</v>
      </c>
      <c r="C13214" s="1" t="n">
        <v>45677</v>
      </c>
      <c r="D13214" t="inlineStr">
        <is>
          <t>GÄVLEBORGS LÄN</t>
        </is>
      </c>
      <c r="E13214" t="inlineStr">
        <is>
          <t>HUDIKSVALL</t>
        </is>
      </c>
      <c r="F13214" t="inlineStr">
        <is>
          <t>Holmen skog AB</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54976-2024</t>
        </is>
      </c>
      <c r="B13215" s="1" t="n">
        <v>45620</v>
      </c>
      <c r="C13215" s="1" t="n">
        <v>45677</v>
      </c>
      <c r="D13215" t="inlineStr">
        <is>
          <t>GÄVLEBORGS LÄN</t>
        </is>
      </c>
      <c r="E13215" t="inlineStr">
        <is>
          <t>OCKELBO</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54972-2024</t>
        </is>
      </c>
      <c r="B13216" s="1" t="n">
        <v>45620</v>
      </c>
      <c r="C13216" s="1" t="n">
        <v>45677</v>
      </c>
      <c r="D13216" t="inlineStr">
        <is>
          <t>GÄVLEBORGS LÄN</t>
        </is>
      </c>
      <c r="E13216" t="inlineStr">
        <is>
          <t>HUDIKSVALL</t>
        </is>
      </c>
      <c r="F13216" t="inlineStr">
        <is>
          <t>Holmen skog AB</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54977-2024</t>
        </is>
      </c>
      <c r="B13217" s="1" t="n">
        <v>45620</v>
      </c>
      <c r="C13217" s="1" t="n">
        <v>45677</v>
      </c>
      <c r="D13217" t="inlineStr">
        <is>
          <t>GÄVLEBORGS LÄN</t>
        </is>
      </c>
      <c r="E13217" t="inlineStr">
        <is>
          <t>OCKELBO</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55110-2024</t>
        </is>
      </c>
      <c r="B13218" s="1" t="n">
        <v>45621</v>
      </c>
      <c r="C13218" s="1" t="n">
        <v>45677</v>
      </c>
      <c r="D13218" t="inlineStr">
        <is>
          <t>GÄVLEBORGS LÄN</t>
        </is>
      </c>
      <c r="E13218" t="inlineStr">
        <is>
          <t>GÄVLE</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55106-2024</t>
        </is>
      </c>
      <c r="B13219" s="1" t="n">
        <v>45621</v>
      </c>
      <c r="C13219" s="1" t="n">
        <v>45677</v>
      </c>
      <c r="D13219" t="inlineStr">
        <is>
          <t>GÄVLEBORGS LÄN</t>
        </is>
      </c>
      <c r="E13219" t="inlineStr">
        <is>
          <t>SANDVIKEN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55141-2024</t>
        </is>
      </c>
      <c r="B13220" s="1" t="n">
        <v>45621</v>
      </c>
      <c r="C13220" s="1" t="n">
        <v>45677</v>
      </c>
      <c r="D13220" t="inlineStr">
        <is>
          <t>GÄVLEBORGS LÄN</t>
        </is>
      </c>
      <c r="E13220" t="inlineStr">
        <is>
          <t>GÄVLE</t>
        </is>
      </c>
      <c r="F13220" t="inlineStr">
        <is>
          <t>Bergvik skog öst AB</t>
        </is>
      </c>
      <c r="G13220" t="n">
        <v>10.1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55154-2024</t>
        </is>
      </c>
      <c r="B13221" s="1" t="n">
        <v>45621</v>
      </c>
      <c r="C13221" s="1" t="n">
        <v>45677</v>
      </c>
      <c r="D13221" t="inlineStr">
        <is>
          <t>GÄVLEBORGS LÄN</t>
        </is>
      </c>
      <c r="E13221" t="inlineStr">
        <is>
          <t>OCKELBO</t>
        </is>
      </c>
      <c r="F13221" t="inlineStr">
        <is>
          <t>Bergvik skog väst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55216-2024</t>
        </is>
      </c>
      <c r="B13222" s="1" t="n">
        <v>45621</v>
      </c>
      <c r="C13222" s="1" t="n">
        <v>45677</v>
      </c>
      <c r="D13222" t="inlineStr">
        <is>
          <t>GÄVLEBORGS LÄN</t>
        </is>
      </c>
      <c r="E13222" t="inlineStr">
        <is>
          <t>OCKELBO</t>
        </is>
      </c>
      <c r="F13222" t="inlineStr">
        <is>
          <t>Bergvik skog väst AB</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55068-2024</t>
        </is>
      </c>
      <c r="B13223" s="1" t="n">
        <v>45621</v>
      </c>
      <c r="C13223" s="1" t="n">
        <v>45677</v>
      </c>
      <c r="D13223" t="inlineStr">
        <is>
          <t>GÄVLEBORGS LÄN</t>
        </is>
      </c>
      <c r="E13223" t="inlineStr">
        <is>
          <t>NORDANSTIG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55063-2024</t>
        </is>
      </c>
      <c r="B13224" s="1" t="n">
        <v>45621</v>
      </c>
      <c r="C13224" s="1" t="n">
        <v>45677</v>
      </c>
      <c r="D13224" t="inlineStr">
        <is>
          <t>GÄVLEBORGS LÄN</t>
        </is>
      </c>
      <c r="E13224" t="inlineStr">
        <is>
          <t>NORDANSTIG</t>
        </is>
      </c>
      <c r="G13224" t="n">
        <v>6.3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55059-2024</t>
        </is>
      </c>
      <c r="B13225" s="1" t="n">
        <v>45621</v>
      </c>
      <c r="C13225" s="1" t="n">
        <v>45677</v>
      </c>
      <c r="D13225" t="inlineStr">
        <is>
          <t>GÄVLEBORGS LÄN</t>
        </is>
      </c>
      <c r="E13225" t="inlineStr">
        <is>
          <t>BOLLNÄS</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55017-2024</t>
        </is>
      </c>
      <c r="B13226" s="1" t="n">
        <v>45621</v>
      </c>
      <c r="C13226" s="1" t="n">
        <v>45677</v>
      </c>
      <c r="D13226" t="inlineStr">
        <is>
          <t>GÄVLEBORGS LÄN</t>
        </is>
      </c>
      <c r="E13226" t="inlineStr">
        <is>
          <t>HUDIKSVALL</t>
        </is>
      </c>
      <c r="F13226" t="inlineStr">
        <is>
          <t>Holmen skog AB</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55291-2024</t>
        </is>
      </c>
      <c r="B13227" s="1" t="n">
        <v>45621</v>
      </c>
      <c r="C13227" s="1" t="n">
        <v>45677</v>
      </c>
      <c r="D13227" t="inlineStr">
        <is>
          <t>GÄVLEBORGS LÄN</t>
        </is>
      </c>
      <c r="E13227" t="inlineStr">
        <is>
          <t>LJUSDAL</t>
        </is>
      </c>
      <c r="F13227" t="inlineStr">
        <is>
          <t>Sveaskog</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55011-2024</t>
        </is>
      </c>
      <c r="B13228" s="1" t="n">
        <v>45621</v>
      </c>
      <c r="C13228" s="1" t="n">
        <v>45677</v>
      </c>
      <c r="D13228" t="inlineStr">
        <is>
          <t>GÄVLEBORGS LÄN</t>
        </is>
      </c>
      <c r="E13228" t="inlineStr">
        <is>
          <t>OCKELBO</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55019-2024</t>
        </is>
      </c>
      <c r="B13229" s="1" t="n">
        <v>45621</v>
      </c>
      <c r="C13229" s="1" t="n">
        <v>45677</v>
      </c>
      <c r="D13229" t="inlineStr">
        <is>
          <t>GÄVLEBORGS LÄN</t>
        </is>
      </c>
      <c r="E13229" t="inlineStr">
        <is>
          <t>BOLLNÄS</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55057-2024</t>
        </is>
      </c>
      <c r="B13230" s="1" t="n">
        <v>45621</v>
      </c>
      <c r="C13230" s="1" t="n">
        <v>45677</v>
      </c>
      <c r="D13230" t="inlineStr">
        <is>
          <t>GÄVLEBORGS LÄN</t>
        </is>
      </c>
      <c r="E13230" t="inlineStr">
        <is>
          <t>BOLLNÄS</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55074-2024</t>
        </is>
      </c>
      <c r="B13231" s="1" t="n">
        <v>45621</v>
      </c>
      <c r="C13231" s="1" t="n">
        <v>45677</v>
      </c>
      <c r="D13231" t="inlineStr">
        <is>
          <t>GÄVLEBORGS LÄN</t>
        </is>
      </c>
      <c r="E13231" t="inlineStr">
        <is>
          <t>NORDANSTIG</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55146-2024</t>
        </is>
      </c>
      <c r="B13232" s="1" t="n">
        <v>45621</v>
      </c>
      <c r="C13232" s="1" t="n">
        <v>45677</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55205-2024</t>
        </is>
      </c>
      <c r="B13233" s="1" t="n">
        <v>45621</v>
      </c>
      <c r="C13233" s="1" t="n">
        <v>45677</v>
      </c>
      <c r="D13233" t="inlineStr">
        <is>
          <t>GÄVLEBORGS LÄN</t>
        </is>
      </c>
      <c r="E13233" t="inlineStr">
        <is>
          <t>GÄVLE</t>
        </is>
      </c>
      <c r="F13233" t="inlineStr">
        <is>
          <t>Bergvik skog öst AB</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55127-2024</t>
        </is>
      </c>
      <c r="B13234" s="1" t="n">
        <v>45621</v>
      </c>
      <c r="C13234" s="1" t="n">
        <v>45677</v>
      </c>
      <c r="D13234" t="inlineStr">
        <is>
          <t>GÄVLEBORGS LÄN</t>
        </is>
      </c>
      <c r="E13234" t="inlineStr">
        <is>
          <t>HOFORS</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55236-2024</t>
        </is>
      </c>
      <c r="B13235" s="1" t="n">
        <v>45621</v>
      </c>
      <c r="C13235" s="1" t="n">
        <v>45677</v>
      </c>
      <c r="D13235" t="inlineStr">
        <is>
          <t>GÄVLEBORGS LÄN</t>
        </is>
      </c>
      <c r="E13235" t="inlineStr">
        <is>
          <t>BOLLNÄS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55240-2024</t>
        </is>
      </c>
      <c r="B13236" s="1" t="n">
        <v>45621</v>
      </c>
      <c r="C13236" s="1" t="n">
        <v>45677</v>
      </c>
      <c r="D13236" t="inlineStr">
        <is>
          <t>GÄVLEBORGS LÄN</t>
        </is>
      </c>
      <c r="E13236" t="inlineStr">
        <is>
          <t>SÖDERHAMN</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55254-2024</t>
        </is>
      </c>
      <c r="B13237" s="1" t="n">
        <v>45621</v>
      </c>
      <c r="C13237" s="1" t="n">
        <v>45677</v>
      </c>
      <c r="D13237" t="inlineStr">
        <is>
          <t>GÄVLEBORGS LÄN</t>
        </is>
      </c>
      <c r="E13237" t="inlineStr">
        <is>
          <t>OCKELBO</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55276-2024</t>
        </is>
      </c>
      <c r="B13238" s="1" t="n">
        <v>45621</v>
      </c>
      <c r="C13238" s="1" t="n">
        <v>45677</v>
      </c>
      <c r="D13238" t="inlineStr">
        <is>
          <t>GÄVLEBORGS LÄN</t>
        </is>
      </c>
      <c r="E13238" t="inlineStr">
        <is>
          <t>NORDANSTIG</t>
        </is>
      </c>
      <c r="F13238" t="inlineStr">
        <is>
          <t>Holmen skog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55300-2024</t>
        </is>
      </c>
      <c r="B13239" s="1" t="n">
        <v>45621</v>
      </c>
      <c r="C13239" s="1" t="n">
        <v>45677</v>
      </c>
      <c r="D13239" t="inlineStr">
        <is>
          <t>GÄVLEBORGS LÄN</t>
        </is>
      </c>
      <c r="E13239" t="inlineStr">
        <is>
          <t>BOLLNÄS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55312-2024</t>
        </is>
      </c>
      <c r="B13240" s="1" t="n">
        <v>45621</v>
      </c>
      <c r="C13240" s="1" t="n">
        <v>45677</v>
      </c>
      <c r="D13240" t="inlineStr">
        <is>
          <t>GÄVLEBORGS LÄN</t>
        </is>
      </c>
      <c r="E13240" t="inlineStr">
        <is>
          <t>BOLLNÄS</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55316-2024</t>
        </is>
      </c>
      <c r="B13241" s="1" t="n">
        <v>45621</v>
      </c>
      <c r="C13241" s="1" t="n">
        <v>45677</v>
      </c>
      <c r="D13241" t="inlineStr">
        <is>
          <t>GÄVLEBORGS LÄN</t>
        </is>
      </c>
      <c r="E13241" t="inlineStr">
        <is>
          <t>BOLLNÄS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55320-2024</t>
        </is>
      </c>
      <c r="B13242" s="1" t="n">
        <v>45621</v>
      </c>
      <c r="C13242" s="1" t="n">
        <v>45677</v>
      </c>
      <c r="D13242" t="inlineStr">
        <is>
          <t>GÄVLEBORGS LÄN</t>
        </is>
      </c>
      <c r="E13242" t="inlineStr">
        <is>
          <t>LJUSDAL</t>
        </is>
      </c>
      <c r="G13242" t="n">
        <v>9.6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55324-2024</t>
        </is>
      </c>
      <c r="B13243" s="1" t="n">
        <v>45621</v>
      </c>
      <c r="C13243" s="1" t="n">
        <v>45677</v>
      </c>
      <c r="D13243" t="inlineStr">
        <is>
          <t>GÄVLEBORGS LÄN</t>
        </is>
      </c>
      <c r="E13243" t="inlineStr">
        <is>
          <t>LJUSDAL</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55352-2024</t>
        </is>
      </c>
      <c r="B13244" s="1" t="n">
        <v>45621</v>
      </c>
      <c r="C13244" s="1" t="n">
        <v>45677</v>
      </c>
      <c r="D13244" t="inlineStr">
        <is>
          <t>GÄVLEBORGS LÄN</t>
        </is>
      </c>
      <c r="E13244" t="inlineStr">
        <is>
          <t>HUDIKSVALL</t>
        </is>
      </c>
      <c r="F13244" t="inlineStr">
        <is>
          <t>Holmen skog AB</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55426-2024</t>
        </is>
      </c>
      <c r="B13245" s="1" t="n">
        <v>45622</v>
      </c>
      <c r="C13245" s="1" t="n">
        <v>45677</v>
      </c>
      <c r="D13245" t="inlineStr">
        <is>
          <t>GÄVLEBORGS LÄN</t>
        </is>
      </c>
      <c r="E13245" t="inlineStr">
        <is>
          <t>OVANÅKER</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55451-2024</t>
        </is>
      </c>
      <c r="B13246" s="1" t="n">
        <v>45622</v>
      </c>
      <c r="C13246" s="1" t="n">
        <v>45677</v>
      </c>
      <c r="D13246" t="inlineStr">
        <is>
          <t>GÄVLEBORGS LÄN</t>
        </is>
      </c>
      <c r="E13246" t="inlineStr">
        <is>
          <t>LJUSDAL</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55483-2024</t>
        </is>
      </c>
      <c r="B13247" s="1" t="n">
        <v>45622</v>
      </c>
      <c r="C13247" s="1" t="n">
        <v>45677</v>
      </c>
      <c r="D13247" t="inlineStr">
        <is>
          <t>GÄVLEBORGS LÄN</t>
        </is>
      </c>
      <c r="E13247" t="inlineStr">
        <is>
          <t>LJUSDAL</t>
        </is>
      </c>
      <c r="G13247" t="n">
        <v>21.3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55407-2024</t>
        </is>
      </c>
      <c r="B13248" s="1" t="n">
        <v>45622</v>
      </c>
      <c r="C13248" s="1" t="n">
        <v>45677</v>
      </c>
      <c r="D13248" t="inlineStr">
        <is>
          <t>GÄVLEBORGS LÄN</t>
        </is>
      </c>
      <c r="E13248" t="inlineStr">
        <is>
          <t>NORDANSTIG</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55411-2024</t>
        </is>
      </c>
      <c r="B13249" s="1" t="n">
        <v>45622</v>
      </c>
      <c r="C13249" s="1" t="n">
        <v>45677</v>
      </c>
      <c r="D13249" t="inlineStr">
        <is>
          <t>GÄVLEBORGS LÄN</t>
        </is>
      </c>
      <c r="E13249" t="inlineStr">
        <is>
          <t>OVANÅKER</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55433-2024</t>
        </is>
      </c>
      <c r="B13250" s="1" t="n">
        <v>45622</v>
      </c>
      <c r="C13250" s="1" t="n">
        <v>45677</v>
      </c>
      <c r="D13250" t="inlineStr">
        <is>
          <t>GÄVLEBORGS LÄN</t>
        </is>
      </c>
      <c r="E13250" t="inlineStr">
        <is>
          <t>BOLLNÄS</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55445-2024</t>
        </is>
      </c>
      <c r="B13251" s="1" t="n">
        <v>45622</v>
      </c>
      <c r="C13251" s="1" t="n">
        <v>45677</v>
      </c>
      <c r="D13251" t="inlineStr">
        <is>
          <t>GÄVLEBORGS LÄN</t>
        </is>
      </c>
      <c r="E13251" t="inlineStr">
        <is>
          <t>HUDIKSVALL</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55449-2024</t>
        </is>
      </c>
      <c r="B13252" s="1" t="n">
        <v>45622</v>
      </c>
      <c r="C13252" s="1" t="n">
        <v>45677</v>
      </c>
      <c r="D13252" t="inlineStr">
        <is>
          <t>GÄVLEBORGS LÄN</t>
        </is>
      </c>
      <c r="E13252" t="inlineStr">
        <is>
          <t>SANDVIKEN</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55477-2024</t>
        </is>
      </c>
      <c r="B13253" s="1" t="n">
        <v>45622</v>
      </c>
      <c r="C13253" s="1" t="n">
        <v>45677</v>
      </c>
      <c r="D13253" t="inlineStr">
        <is>
          <t>GÄVLEBORGS LÄN</t>
        </is>
      </c>
      <c r="E13253" t="inlineStr">
        <is>
          <t>NORDANSTIG</t>
        </is>
      </c>
      <c r="F13253" t="inlineStr">
        <is>
          <t>Holmen skog AB</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55526-2024</t>
        </is>
      </c>
      <c r="B13254" s="1" t="n">
        <v>45622</v>
      </c>
      <c r="C13254" s="1" t="n">
        <v>45677</v>
      </c>
      <c r="D13254" t="inlineStr">
        <is>
          <t>GÄVLEBORGS LÄN</t>
        </is>
      </c>
      <c r="E13254" t="inlineStr">
        <is>
          <t>NORDANSTIG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55538-2024</t>
        </is>
      </c>
      <c r="B13255" s="1" t="n">
        <v>45622</v>
      </c>
      <c r="C13255" s="1" t="n">
        <v>45677</v>
      </c>
      <c r="D13255" t="inlineStr">
        <is>
          <t>GÄVLEBORGS LÄN</t>
        </is>
      </c>
      <c r="E13255" t="inlineStr">
        <is>
          <t>NORDANSTIG</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55562-2024</t>
        </is>
      </c>
      <c r="B13256" s="1" t="n">
        <v>45622</v>
      </c>
      <c r="C13256" s="1" t="n">
        <v>45677</v>
      </c>
      <c r="D13256" t="inlineStr">
        <is>
          <t>GÄVLEBORGS LÄN</t>
        </is>
      </c>
      <c r="E13256" t="inlineStr">
        <is>
          <t>NORDANSTIG</t>
        </is>
      </c>
      <c r="F13256" t="inlineStr">
        <is>
          <t>Holmen skog AB</t>
        </is>
      </c>
      <c r="G13256" t="n">
        <v>8.699999999999999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55425-2024</t>
        </is>
      </c>
      <c r="B13257" s="1" t="n">
        <v>45622</v>
      </c>
      <c r="C13257" s="1" t="n">
        <v>45677</v>
      </c>
      <c r="D13257" t="inlineStr">
        <is>
          <t>GÄVLEBORGS LÄN</t>
        </is>
      </c>
      <c r="E13257" t="inlineStr">
        <is>
          <t>OVANÅKER</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55446-2024</t>
        </is>
      </c>
      <c r="B13258" s="1" t="n">
        <v>45622</v>
      </c>
      <c r="C13258" s="1" t="n">
        <v>45677</v>
      </c>
      <c r="D13258" t="inlineStr">
        <is>
          <t>GÄVLEBORGS LÄN</t>
        </is>
      </c>
      <c r="E13258" t="inlineStr">
        <is>
          <t>SANDVIKEN</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55450-2024</t>
        </is>
      </c>
      <c r="B13259" s="1" t="n">
        <v>45622</v>
      </c>
      <c r="C13259" s="1" t="n">
        <v>45677</v>
      </c>
      <c r="D13259" t="inlineStr">
        <is>
          <t>GÄVLEBORGS LÄN</t>
        </is>
      </c>
      <c r="E13259" t="inlineStr">
        <is>
          <t>NORDANSTIG</t>
        </is>
      </c>
      <c r="F13259" t="inlineStr">
        <is>
          <t>Holmen skog AB</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55494-2024</t>
        </is>
      </c>
      <c r="B13260" s="1" t="n">
        <v>45622</v>
      </c>
      <c r="C13260" s="1" t="n">
        <v>45677</v>
      </c>
      <c r="D13260" t="inlineStr">
        <is>
          <t>GÄVLEBORGS LÄN</t>
        </is>
      </c>
      <c r="E13260" t="inlineStr">
        <is>
          <t>NORDANSTIG</t>
        </is>
      </c>
      <c r="F13260" t="inlineStr">
        <is>
          <t>Holmen skog AB</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55498-2024</t>
        </is>
      </c>
      <c r="B13261" s="1" t="n">
        <v>45622</v>
      </c>
      <c r="C13261" s="1" t="n">
        <v>45677</v>
      </c>
      <c r="D13261" t="inlineStr">
        <is>
          <t>GÄVLEBORGS LÄN</t>
        </is>
      </c>
      <c r="E13261" t="inlineStr">
        <is>
          <t>NORDANSTIG</t>
        </is>
      </c>
      <c r="F13261" t="inlineStr">
        <is>
          <t>Holmen skog AB</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55511-2024</t>
        </is>
      </c>
      <c r="B13262" s="1" t="n">
        <v>45622</v>
      </c>
      <c r="C13262" s="1" t="n">
        <v>45677</v>
      </c>
      <c r="D13262" t="inlineStr">
        <is>
          <t>GÄVLEBORGS LÄN</t>
        </is>
      </c>
      <c r="E13262" t="inlineStr">
        <is>
          <t>HUDIKSVALL</t>
        </is>
      </c>
      <c r="F13262" t="inlineStr">
        <is>
          <t>Holmen skog AB</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55531-2024</t>
        </is>
      </c>
      <c r="B13263" s="1" t="n">
        <v>45622</v>
      </c>
      <c r="C13263" s="1" t="n">
        <v>45677</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55595-2024</t>
        </is>
      </c>
      <c r="B13264" s="1" t="n">
        <v>45622</v>
      </c>
      <c r="C13264" s="1" t="n">
        <v>45677</v>
      </c>
      <c r="D13264" t="inlineStr">
        <is>
          <t>GÄVLEBORGS LÄN</t>
        </is>
      </c>
      <c r="E13264" t="inlineStr">
        <is>
          <t>SÖDERHAMN</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55613-2024</t>
        </is>
      </c>
      <c r="B13265" s="1" t="n">
        <v>45622</v>
      </c>
      <c r="C13265" s="1" t="n">
        <v>45677</v>
      </c>
      <c r="D13265" t="inlineStr">
        <is>
          <t>GÄVLEBORGS LÄN</t>
        </is>
      </c>
      <c r="E13265" t="inlineStr">
        <is>
          <t>HUDIKSVALL</t>
        </is>
      </c>
      <c r="F13265" t="inlineStr">
        <is>
          <t>Holmen skog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55629-2024</t>
        </is>
      </c>
      <c r="B13266" s="1" t="n">
        <v>45622</v>
      </c>
      <c r="C13266" s="1" t="n">
        <v>45677</v>
      </c>
      <c r="D13266" t="inlineStr">
        <is>
          <t>GÄVLEBORGS LÄN</t>
        </is>
      </c>
      <c r="E13266" t="inlineStr">
        <is>
          <t>HUDIKSVALL</t>
        </is>
      </c>
      <c r="F13266" t="inlineStr">
        <is>
          <t>Holmen skog AB</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55642-2024</t>
        </is>
      </c>
      <c r="B13267" s="1" t="n">
        <v>45622</v>
      </c>
      <c r="C13267" s="1" t="n">
        <v>45677</v>
      </c>
      <c r="D13267" t="inlineStr">
        <is>
          <t>GÄVLEBORGS LÄN</t>
        </is>
      </c>
      <c r="E13267" t="inlineStr">
        <is>
          <t>OVANÅKER</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55513-2024</t>
        </is>
      </c>
      <c r="B13268" s="1" t="n">
        <v>45622</v>
      </c>
      <c r="C13268" s="1" t="n">
        <v>45677</v>
      </c>
      <c r="D13268" t="inlineStr">
        <is>
          <t>GÄVLEBORGS LÄN</t>
        </is>
      </c>
      <c r="E13268" t="inlineStr">
        <is>
          <t>NORDANSTIG</t>
        </is>
      </c>
      <c r="F13268" t="inlineStr">
        <is>
          <t>Holmen skog AB</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55687-2024</t>
        </is>
      </c>
      <c r="B13269" s="1" t="n">
        <v>45622</v>
      </c>
      <c r="C13269" s="1" t="n">
        <v>45677</v>
      </c>
      <c r="D13269" t="inlineStr">
        <is>
          <t>GÄVLEBORGS LÄN</t>
        </is>
      </c>
      <c r="E13269" t="inlineStr">
        <is>
          <t>LJUSDAL</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55427-2024</t>
        </is>
      </c>
      <c r="B13270" s="1" t="n">
        <v>45622</v>
      </c>
      <c r="C13270" s="1" t="n">
        <v>45677</v>
      </c>
      <c r="D13270" t="inlineStr">
        <is>
          <t>GÄVLEBORGS LÄN</t>
        </is>
      </c>
      <c r="E13270" t="inlineStr">
        <is>
          <t>OVANÅKER</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55523-2024</t>
        </is>
      </c>
      <c r="B13271" s="1" t="n">
        <v>45622</v>
      </c>
      <c r="C13271" s="1" t="n">
        <v>45677</v>
      </c>
      <c r="D13271" t="inlineStr">
        <is>
          <t>GÄVLEBORGS LÄN</t>
        </is>
      </c>
      <c r="E13271" t="inlineStr">
        <is>
          <t>NORDANSTIG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55460-2024</t>
        </is>
      </c>
      <c r="B13272" s="1" t="n">
        <v>45622</v>
      </c>
      <c r="C13272" s="1" t="n">
        <v>45677</v>
      </c>
      <c r="D13272" t="inlineStr">
        <is>
          <t>GÄVLEBORGS LÄN</t>
        </is>
      </c>
      <c r="E13272" t="inlineStr">
        <is>
          <t>HUDIKSVALL</t>
        </is>
      </c>
      <c r="F13272" t="inlineStr">
        <is>
          <t>Holmen skog AB</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55519-2024</t>
        </is>
      </c>
      <c r="B13273" s="1" t="n">
        <v>45622</v>
      </c>
      <c r="C13273" s="1" t="n">
        <v>45677</v>
      </c>
      <c r="D13273" t="inlineStr">
        <is>
          <t>GÄVLEBORGS LÄN</t>
        </is>
      </c>
      <c r="E13273" t="inlineStr">
        <is>
          <t>HUDIKSVALL</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55630-2024</t>
        </is>
      </c>
      <c r="B13274" s="1" t="n">
        <v>45622</v>
      </c>
      <c r="C13274" s="1" t="n">
        <v>45677</v>
      </c>
      <c r="D13274" t="inlineStr">
        <is>
          <t>GÄVLEBORGS LÄN</t>
        </is>
      </c>
      <c r="E13274" t="inlineStr">
        <is>
          <t>SÖDERHAMN</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55679-2024</t>
        </is>
      </c>
      <c r="B13275" s="1" t="n">
        <v>45622</v>
      </c>
      <c r="C13275" s="1" t="n">
        <v>45677</v>
      </c>
      <c r="D13275" t="inlineStr">
        <is>
          <t>GÄVLEBORGS LÄN</t>
        </is>
      </c>
      <c r="E13275" t="inlineStr">
        <is>
          <t>NORDANSTIG</t>
        </is>
      </c>
      <c r="F13275" t="inlineStr">
        <is>
          <t>Holmen skog AB</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55704-2024</t>
        </is>
      </c>
      <c r="B13276" s="1" t="n">
        <v>45622</v>
      </c>
      <c r="C13276" s="1" t="n">
        <v>45677</v>
      </c>
      <c r="D13276" t="inlineStr">
        <is>
          <t>GÄVLEBORGS LÄN</t>
        </is>
      </c>
      <c r="E13276" t="inlineStr">
        <is>
          <t>NORDANSTIG</t>
        </is>
      </c>
      <c r="F13276" t="inlineStr">
        <is>
          <t>Holmen skog AB</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55694-2024</t>
        </is>
      </c>
      <c r="B13277" s="1" t="n">
        <v>45622</v>
      </c>
      <c r="C13277" s="1" t="n">
        <v>45677</v>
      </c>
      <c r="D13277" t="inlineStr">
        <is>
          <t>GÄVLEBORGS LÄN</t>
        </is>
      </c>
      <c r="E13277" t="inlineStr">
        <is>
          <t>NORDANSTIG</t>
        </is>
      </c>
      <c r="F13277" t="inlineStr">
        <is>
          <t>Holmen skog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55715-2024</t>
        </is>
      </c>
      <c r="B13278" s="1" t="n">
        <v>45622</v>
      </c>
      <c r="C13278" s="1" t="n">
        <v>45677</v>
      </c>
      <c r="D13278" t="inlineStr">
        <is>
          <t>GÄVLEBORGS LÄN</t>
        </is>
      </c>
      <c r="E13278" t="inlineStr">
        <is>
          <t>SÖDERHAMN</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55553-2024</t>
        </is>
      </c>
      <c r="B13279" s="1" t="n">
        <v>45622</v>
      </c>
      <c r="C13279" s="1" t="n">
        <v>45677</v>
      </c>
      <c r="D13279" t="inlineStr">
        <is>
          <t>GÄVLEBORGS LÄN</t>
        </is>
      </c>
      <c r="E13279" t="inlineStr">
        <is>
          <t>NORDANSTIG</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55570-2024</t>
        </is>
      </c>
      <c r="B13280" s="1" t="n">
        <v>45622</v>
      </c>
      <c r="C13280" s="1" t="n">
        <v>45677</v>
      </c>
      <c r="D13280" t="inlineStr">
        <is>
          <t>GÄVLEBORGS LÄN</t>
        </is>
      </c>
      <c r="E13280" t="inlineStr">
        <is>
          <t>BOLLNÄS</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55574-2024</t>
        </is>
      </c>
      <c r="B13281" s="1" t="n">
        <v>45622</v>
      </c>
      <c r="C13281" s="1" t="n">
        <v>45677</v>
      </c>
      <c r="D13281" t="inlineStr">
        <is>
          <t>GÄVLEBORGS LÄN</t>
        </is>
      </c>
      <c r="E13281" t="inlineStr">
        <is>
          <t>HUDIKSVALL</t>
        </is>
      </c>
      <c r="F13281" t="inlineStr">
        <is>
          <t>Holmen skog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55584-2024</t>
        </is>
      </c>
      <c r="B13282" s="1" t="n">
        <v>45622</v>
      </c>
      <c r="C13282" s="1" t="n">
        <v>45677</v>
      </c>
      <c r="D13282" t="inlineStr">
        <is>
          <t>GÄVLEBORGS LÄN</t>
        </is>
      </c>
      <c r="E13282" t="inlineStr">
        <is>
          <t>BOLLNÄS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55593-2024</t>
        </is>
      </c>
      <c r="B13283" s="1" t="n">
        <v>45622</v>
      </c>
      <c r="C13283" s="1" t="n">
        <v>45677</v>
      </c>
      <c r="D13283" t="inlineStr">
        <is>
          <t>GÄVLEBORGS LÄN</t>
        </is>
      </c>
      <c r="E13283" t="inlineStr">
        <is>
          <t>BOLLNÄS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55597-2024</t>
        </is>
      </c>
      <c r="B13284" s="1" t="n">
        <v>45622</v>
      </c>
      <c r="C13284" s="1" t="n">
        <v>45677</v>
      </c>
      <c r="D13284" t="inlineStr">
        <is>
          <t>GÄVLEBORGS LÄN</t>
        </is>
      </c>
      <c r="E13284" t="inlineStr">
        <is>
          <t>SÖDERHAMN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55601-2024</t>
        </is>
      </c>
      <c r="B13285" s="1" t="n">
        <v>45622</v>
      </c>
      <c r="C13285" s="1" t="n">
        <v>45677</v>
      </c>
      <c r="D13285" t="inlineStr">
        <is>
          <t>GÄVLEBORGS LÄN</t>
        </is>
      </c>
      <c r="E13285" t="inlineStr">
        <is>
          <t>NORDANSTIG</t>
        </is>
      </c>
      <c r="F13285" t="inlineStr">
        <is>
          <t>Holmen skog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55672-2024</t>
        </is>
      </c>
      <c r="B13286" s="1" t="n">
        <v>45622</v>
      </c>
      <c r="C13286" s="1" t="n">
        <v>45677</v>
      </c>
      <c r="D13286" t="inlineStr">
        <is>
          <t>GÄVLEBORGS LÄN</t>
        </is>
      </c>
      <c r="E13286" t="inlineStr">
        <is>
          <t>OVANÅKER</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55676-2024</t>
        </is>
      </c>
      <c r="B13287" s="1" t="n">
        <v>45622</v>
      </c>
      <c r="C13287" s="1" t="n">
        <v>45677</v>
      </c>
      <c r="D13287" t="inlineStr">
        <is>
          <t>GÄVLEBORGS LÄN</t>
        </is>
      </c>
      <c r="E13287" t="inlineStr">
        <is>
          <t>LJUSDAL</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55713-2024</t>
        </is>
      </c>
      <c r="B13288" s="1" t="n">
        <v>45622</v>
      </c>
      <c r="C13288" s="1" t="n">
        <v>45677</v>
      </c>
      <c r="D13288" t="inlineStr">
        <is>
          <t>GÄVLEBORGS LÄN</t>
        </is>
      </c>
      <c r="E13288" t="inlineStr">
        <is>
          <t>SÖDERHAMN</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55742-2024</t>
        </is>
      </c>
      <c r="B13289" s="1" t="n">
        <v>45623</v>
      </c>
      <c r="C13289" s="1" t="n">
        <v>45677</v>
      </c>
      <c r="D13289" t="inlineStr">
        <is>
          <t>GÄVLEBORGS LÄN</t>
        </is>
      </c>
      <c r="E13289" t="inlineStr">
        <is>
          <t>HUDIKSVALL</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55878-2024</t>
        </is>
      </c>
      <c r="B13290" s="1" t="n">
        <v>45623</v>
      </c>
      <c r="C13290" s="1" t="n">
        <v>45677</v>
      </c>
      <c r="D13290" t="inlineStr">
        <is>
          <t>GÄVLEBORGS LÄN</t>
        </is>
      </c>
      <c r="E13290" t="inlineStr">
        <is>
          <t>GÄVLE</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55740-2024</t>
        </is>
      </c>
      <c r="B13291" s="1" t="n">
        <v>45623</v>
      </c>
      <c r="C13291" s="1" t="n">
        <v>45677</v>
      </c>
      <c r="D13291" t="inlineStr">
        <is>
          <t>GÄVLEBORGS LÄN</t>
        </is>
      </c>
      <c r="E13291" t="inlineStr">
        <is>
          <t>HUDIKSVALL</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55841-2024</t>
        </is>
      </c>
      <c r="B13292" s="1" t="n">
        <v>45623</v>
      </c>
      <c r="C13292" s="1" t="n">
        <v>45677</v>
      </c>
      <c r="D13292" t="inlineStr">
        <is>
          <t>GÄVLEBORGS LÄN</t>
        </is>
      </c>
      <c r="E13292" t="inlineStr">
        <is>
          <t>NORDANSTIG</t>
        </is>
      </c>
      <c r="G13292" t="n">
        <v>7.8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55883-2024</t>
        </is>
      </c>
      <c r="B13293" s="1" t="n">
        <v>45623</v>
      </c>
      <c r="C13293" s="1" t="n">
        <v>45677</v>
      </c>
      <c r="D13293" t="inlineStr">
        <is>
          <t>GÄVLEBORGS LÄN</t>
        </is>
      </c>
      <c r="E13293" t="inlineStr">
        <is>
          <t>BOLLNÄS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55843-2024</t>
        </is>
      </c>
      <c r="B13294" s="1" t="n">
        <v>45623</v>
      </c>
      <c r="C13294" s="1" t="n">
        <v>45677</v>
      </c>
      <c r="D13294" t="inlineStr">
        <is>
          <t>GÄVLEBORGS LÄN</t>
        </is>
      </c>
      <c r="E13294" t="inlineStr">
        <is>
          <t>HUDIKSVALL</t>
        </is>
      </c>
      <c r="G13294" t="n">
        <v>13.4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55930-2024</t>
        </is>
      </c>
      <c r="B13295" s="1" t="n">
        <v>45623</v>
      </c>
      <c r="C13295" s="1" t="n">
        <v>45677</v>
      </c>
      <c r="D13295" t="inlineStr">
        <is>
          <t>GÄVLEBORGS LÄN</t>
        </is>
      </c>
      <c r="E13295" t="inlineStr">
        <is>
          <t>GÄVLE</t>
        </is>
      </c>
      <c r="F13295" t="inlineStr">
        <is>
          <t>Bergvik skog väst AB</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55983-2024</t>
        </is>
      </c>
      <c r="B13296" s="1" t="n">
        <v>45623</v>
      </c>
      <c r="C13296" s="1" t="n">
        <v>45677</v>
      </c>
      <c r="D13296" t="inlineStr">
        <is>
          <t>GÄVLEBORGS LÄN</t>
        </is>
      </c>
      <c r="E13296" t="inlineStr">
        <is>
          <t>LJUSDAL</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55906-2024</t>
        </is>
      </c>
      <c r="B13297" s="1" t="n">
        <v>45623</v>
      </c>
      <c r="C13297" s="1" t="n">
        <v>45677</v>
      </c>
      <c r="D13297" t="inlineStr">
        <is>
          <t>GÄVLEBORGS LÄN</t>
        </is>
      </c>
      <c r="E13297" t="inlineStr">
        <is>
          <t>OCKELBO</t>
        </is>
      </c>
      <c r="F13297" t="inlineStr">
        <is>
          <t>Bergvik skog väst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55910-2024</t>
        </is>
      </c>
      <c r="B13298" s="1" t="n">
        <v>45623</v>
      </c>
      <c r="C13298" s="1" t="n">
        <v>45677</v>
      </c>
      <c r="D13298" t="inlineStr">
        <is>
          <t>GÄVLEBORGS LÄN</t>
        </is>
      </c>
      <c r="E13298" t="inlineStr">
        <is>
          <t>OVANÅKER</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55924-2024</t>
        </is>
      </c>
      <c r="B13299" s="1" t="n">
        <v>45623</v>
      </c>
      <c r="C13299" s="1" t="n">
        <v>45677</v>
      </c>
      <c r="D13299" t="inlineStr">
        <is>
          <t>GÄVLEBORGS LÄN</t>
        </is>
      </c>
      <c r="E13299" t="inlineStr">
        <is>
          <t>GÄVLE</t>
        </is>
      </c>
      <c r="F13299" t="inlineStr">
        <is>
          <t>Bergvik skog väst AB</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55932-2024</t>
        </is>
      </c>
      <c r="B13300" s="1" t="n">
        <v>45623</v>
      </c>
      <c r="C13300" s="1" t="n">
        <v>45677</v>
      </c>
      <c r="D13300" t="inlineStr">
        <is>
          <t>GÄVLEBORGS LÄN</t>
        </is>
      </c>
      <c r="E13300" t="inlineStr">
        <is>
          <t>BOLLNÄS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55941-2024</t>
        </is>
      </c>
      <c r="B13301" s="1" t="n">
        <v>45623</v>
      </c>
      <c r="C13301" s="1" t="n">
        <v>45677</v>
      </c>
      <c r="D13301" t="inlineStr">
        <is>
          <t>GÄVLEBORGS LÄN</t>
        </is>
      </c>
      <c r="E13301" t="inlineStr">
        <is>
          <t>BOLLNÄS</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55927-2024</t>
        </is>
      </c>
      <c r="B13302" s="1" t="n">
        <v>45623</v>
      </c>
      <c r="C13302" s="1" t="n">
        <v>45677</v>
      </c>
      <c r="D13302" t="inlineStr">
        <is>
          <t>GÄVLEBORGS LÄN</t>
        </is>
      </c>
      <c r="E13302" t="inlineStr">
        <is>
          <t>GÄVLE</t>
        </is>
      </c>
      <c r="F13302" t="inlineStr">
        <is>
          <t>Bergvik skog väst AB</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55935-2024</t>
        </is>
      </c>
      <c r="B13303" s="1" t="n">
        <v>45623</v>
      </c>
      <c r="C13303" s="1" t="n">
        <v>45677</v>
      </c>
      <c r="D13303" t="inlineStr">
        <is>
          <t>GÄVLEBORGS LÄN</t>
        </is>
      </c>
      <c r="E13303" t="inlineStr">
        <is>
          <t>BOLLNÄS</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55933-2024</t>
        </is>
      </c>
      <c r="B13304" s="1" t="n">
        <v>45623</v>
      </c>
      <c r="C13304" s="1" t="n">
        <v>45677</v>
      </c>
      <c r="D13304" t="inlineStr">
        <is>
          <t>GÄVLEBORGS LÄN</t>
        </is>
      </c>
      <c r="E13304" t="inlineStr">
        <is>
          <t>OCKELBO</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55981-2024</t>
        </is>
      </c>
      <c r="B13305" s="1" t="n">
        <v>45623</v>
      </c>
      <c r="C13305" s="1" t="n">
        <v>45677</v>
      </c>
      <c r="D13305" t="inlineStr">
        <is>
          <t>GÄVLEBORGS LÄN</t>
        </is>
      </c>
      <c r="E13305" t="inlineStr">
        <is>
          <t>GÄVLE</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55948-2024</t>
        </is>
      </c>
      <c r="B13306" s="1" t="n">
        <v>45623</v>
      </c>
      <c r="C13306" s="1" t="n">
        <v>45677</v>
      </c>
      <c r="D13306" t="inlineStr">
        <is>
          <t>GÄVLEBORGS LÄN</t>
        </is>
      </c>
      <c r="E13306" t="inlineStr">
        <is>
          <t>NORDANSTIG</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56018-2024</t>
        </is>
      </c>
      <c r="B13307" s="1" t="n">
        <v>45623</v>
      </c>
      <c r="C13307" s="1" t="n">
        <v>45677</v>
      </c>
      <c r="D13307" t="inlineStr">
        <is>
          <t>GÄVLEBORGS LÄN</t>
        </is>
      </c>
      <c r="E13307" t="inlineStr">
        <is>
          <t>LJUSDAL</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56008-2024</t>
        </is>
      </c>
      <c r="B13308" s="1" t="n">
        <v>45623</v>
      </c>
      <c r="C13308" s="1" t="n">
        <v>45677</v>
      </c>
      <c r="D13308" t="inlineStr">
        <is>
          <t>GÄVLEBORGS LÄN</t>
        </is>
      </c>
      <c r="E13308" t="inlineStr">
        <is>
          <t>LJUSDAL</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56058-2024</t>
        </is>
      </c>
      <c r="B13309" s="1" t="n">
        <v>45624</v>
      </c>
      <c r="C13309" s="1" t="n">
        <v>45677</v>
      </c>
      <c r="D13309" t="inlineStr">
        <is>
          <t>GÄVLEBORGS LÄN</t>
        </is>
      </c>
      <c r="E13309" t="inlineStr">
        <is>
          <t>OCKELBO</t>
        </is>
      </c>
      <c r="F13309" t="inlineStr">
        <is>
          <t>Bergvik skog väst AB</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56055-2024</t>
        </is>
      </c>
      <c r="B13310" s="1" t="n">
        <v>45624</v>
      </c>
      <c r="C13310" s="1" t="n">
        <v>45677</v>
      </c>
      <c r="D13310" t="inlineStr">
        <is>
          <t>GÄVLEBORGS LÄN</t>
        </is>
      </c>
      <c r="E13310" t="inlineStr">
        <is>
          <t>OCKELBO</t>
        </is>
      </c>
      <c r="F13310" t="inlineStr">
        <is>
          <t>Bergvik skog väst AB</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56075-2024</t>
        </is>
      </c>
      <c r="B13311" s="1" t="n">
        <v>45624</v>
      </c>
      <c r="C13311" s="1" t="n">
        <v>45677</v>
      </c>
      <c r="D13311" t="inlineStr">
        <is>
          <t>GÄVLEBORGS LÄN</t>
        </is>
      </c>
      <c r="E13311" t="inlineStr">
        <is>
          <t>LJUSDAL</t>
        </is>
      </c>
      <c r="F13311" t="inlineStr">
        <is>
          <t>SCA</t>
        </is>
      </c>
      <c r="G13311" t="n">
        <v>9.1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56082-2024</t>
        </is>
      </c>
      <c r="B13312" s="1" t="n">
        <v>45624</v>
      </c>
      <c r="C13312" s="1" t="n">
        <v>45677</v>
      </c>
      <c r="D13312" t="inlineStr">
        <is>
          <t>GÄVLEBORGS LÄN</t>
        </is>
      </c>
      <c r="E13312" t="inlineStr">
        <is>
          <t>LJUSDAL</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45677</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56130-2024</t>
        </is>
      </c>
      <c r="B13314" s="1" t="n">
        <v>45624</v>
      </c>
      <c r="C13314" s="1" t="n">
        <v>45677</v>
      </c>
      <c r="D13314" t="inlineStr">
        <is>
          <t>GÄVLEBORGS LÄN</t>
        </is>
      </c>
      <c r="E13314" t="inlineStr">
        <is>
          <t>OCKELBO</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56142-2024</t>
        </is>
      </c>
      <c r="B13315" s="1" t="n">
        <v>45624</v>
      </c>
      <c r="C13315" s="1" t="n">
        <v>45677</v>
      </c>
      <c r="D13315" t="inlineStr">
        <is>
          <t>GÄVLEBORGS LÄN</t>
        </is>
      </c>
      <c r="E13315" t="inlineStr">
        <is>
          <t>HUDIKSVALL</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56147-2024</t>
        </is>
      </c>
      <c r="B13316" s="1" t="n">
        <v>45624</v>
      </c>
      <c r="C13316" s="1" t="n">
        <v>45677</v>
      </c>
      <c r="D13316" t="inlineStr">
        <is>
          <t>GÄVLEBORGS LÄN</t>
        </is>
      </c>
      <c r="E13316" t="inlineStr">
        <is>
          <t>HOFORS</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56215-2024</t>
        </is>
      </c>
      <c r="B13317" s="1" t="n">
        <v>45624</v>
      </c>
      <c r="C13317" s="1" t="n">
        <v>45677</v>
      </c>
      <c r="D13317" t="inlineStr">
        <is>
          <t>GÄVLEBORGS LÄN</t>
        </is>
      </c>
      <c r="E13317" t="inlineStr">
        <is>
          <t>HUDIKSVALL</t>
        </is>
      </c>
      <c r="F13317" t="inlineStr">
        <is>
          <t>Holmen skog AB</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56219-2024</t>
        </is>
      </c>
      <c r="B13318" s="1" t="n">
        <v>45624</v>
      </c>
      <c r="C13318" s="1" t="n">
        <v>45677</v>
      </c>
      <c r="D13318" t="inlineStr">
        <is>
          <t>GÄVLEBORGS LÄN</t>
        </is>
      </c>
      <c r="E13318" t="inlineStr">
        <is>
          <t>NORDANSTIG</t>
        </is>
      </c>
      <c r="F13318" t="inlineStr">
        <is>
          <t>Holmen skog AB</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56196-2024</t>
        </is>
      </c>
      <c r="B13319" s="1" t="n">
        <v>45624</v>
      </c>
      <c r="C13319" s="1" t="n">
        <v>45677</v>
      </c>
      <c r="D13319" t="inlineStr">
        <is>
          <t>GÄVLEBORGS LÄN</t>
        </is>
      </c>
      <c r="E13319" t="inlineStr">
        <is>
          <t>OCKELBO</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56223-2024</t>
        </is>
      </c>
      <c r="B13320" s="1" t="n">
        <v>45624</v>
      </c>
      <c r="C13320" s="1" t="n">
        <v>45677</v>
      </c>
      <c r="D13320" t="inlineStr">
        <is>
          <t>GÄVLEBORGS LÄN</t>
        </is>
      </c>
      <c r="E13320" t="inlineStr">
        <is>
          <t>GÄVLE</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56227-2024</t>
        </is>
      </c>
      <c r="B13321" s="1" t="n">
        <v>45624</v>
      </c>
      <c r="C13321" s="1" t="n">
        <v>45677</v>
      </c>
      <c r="D13321" t="inlineStr">
        <is>
          <t>GÄVLEBORGS LÄN</t>
        </is>
      </c>
      <c r="E13321" t="inlineStr">
        <is>
          <t>NORDANSTIG</t>
        </is>
      </c>
      <c r="F13321" t="inlineStr">
        <is>
          <t>Holmen skog AB</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56231-2024</t>
        </is>
      </c>
      <c r="B13322" s="1" t="n">
        <v>45624</v>
      </c>
      <c r="C13322" s="1" t="n">
        <v>45677</v>
      </c>
      <c r="D13322" t="inlineStr">
        <is>
          <t>GÄVLEBORGS LÄN</t>
        </is>
      </c>
      <c r="E13322" t="inlineStr">
        <is>
          <t>NORDANSTIG</t>
        </is>
      </c>
      <c r="F13322" t="inlineStr">
        <is>
          <t>Holmen skog AB</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56216-2024</t>
        </is>
      </c>
      <c r="B13323" s="1" t="n">
        <v>45624</v>
      </c>
      <c r="C13323" s="1" t="n">
        <v>45677</v>
      </c>
      <c r="D13323" t="inlineStr">
        <is>
          <t>GÄVLEBORGS LÄN</t>
        </is>
      </c>
      <c r="E13323" t="inlineStr">
        <is>
          <t>SÖDERHAMN</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56259-2024</t>
        </is>
      </c>
      <c r="B13324" s="1" t="n">
        <v>45624</v>
      </c>
      <c r="C13324" s="1" t="n">
        <v>45677</v>
      </c>
      <c r="D13324" t="inlineStr">
        <is>
          <t>GÄVLEBORGS LÄN</t>
        </is>
      </c>
      <c r="E13324" t="inlineStr">
        <is>
          <t>HUDIKSVALL</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56263-2024</t>
        </is>
      </c>
      <c r="B13325" s="1" t="n">
        <v>45624</v>
      </c>
      <c r="C13325" s="1" t="n">
        <v>45677</v>
      </c>
      <c r="D13325" t="inlineStr">
        <is>
          <t>GÄVLEBORGS LÄN</t>
        </is>
      </c>
      <c r="E13325" t="inlineStr">
        <is>
          <t>NORDANSTIG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56267-2024</t>
        </is>
      </c>
      <c r="B13326" s="1" t="n">
        <v>45624</v>
      </c>
      <c r="C13326" s="1" t="n">
        <v>45677</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56264-2024</t>
        </is>
      </c>
      <c r="B13327" s="1" t="n">
        <v>45624</v>
      </c>
      <c r="C13327" s="1" t="n">
        <v>45677</v>
      </c>
      <c r="D13327" t="inlineStr">
        <is>
          <t>GÄVLEBORGS LÄN</t>
        </is>
      </c>
      <c r="E13327" t="inlineStr">
        <is>
          <t>LJUSDAL</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56272-2024</t>
        </is>
      </c>
      <c r="B13328" s="1" t="n">
        <v>45624</v>
      </c>
      <c r="C13328" s="1" t="n">
        <v>45677</v>
      </c>
      <c r="D13328" t="inlineStr">
        <is>
          <t>GÄVLEBORGS LÄN</t>
        </is>
      </c>
      <c r="E13328" t="inlineStr">
        <is>
          <t>LJUSDAL</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56280-2024</t>
        </is>
      </c>
      <c r="B13329" s="1" t="n">
        <v>45624</v>
      </c>
      <c r="C13329" s="1" t="n">
        <v>45677</v>
      </c>
      <c r="D13329" t="inlineStr">
        <is>
          <t>GÄVLEBORGS LÄN</t>
        </is>
      </c>
      <c r="E13329" t="inlineStr">
        <is>
          <t>NORDANSTIG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56024-2024</t>
        </is>
      </c>
      <c r="B13330" s="1" t="n">
        <v>45624</v>
      </c>
      <c r="C13330" s="1" t="n">
        <v>45677</v>
      </c>
      <c r="D13330" t="inlineStr">
        <is>
          <t>GÄVLEBORGS LÄN</t>
        </is>
      </c>
      <c r="E13330" t="inlineStr">
        <is>
          <t>BOLLNÄS</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56028-2024</t>
        </is>
      </c>
      <c r="B13331" s="1" t="n">
        <v>45624</v>
      </c>
      <c r="C13331" s="1" t="n">
        <v>45677</v>
      </c>
      <c r="D13331" t="inlineStr">
        <is>
          <t>GÄVLEBORGS LÄN</t>
        </is>
      </c>
      <c r="E13331" t="inlineStr">
        <is>
          <t>NORDANSTIG</t>
        </is>
      </c>
      <c r="F13331" t="inlineStr">
        <is>
          <t>Holmen skog AB</t>
        </is>
      </c>
      <c r="G13331" t="n">
        <v>18.8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56087-2024</t>
        </is>
      </c>
      <c r="B13332" s="1" t="n">
        <v>45624</v>
      </c>
      <c r="C13332" s="1" t="n">
        <v>45677</v>
      </c>
      <c r="D13332" t="inlineStr">
        <is>
          <t>GÄVLEBORGS LÄN</t>
        </is>
      </c>
      <c r="E13332" t="inlineStr">
        <is>
          <t>OVANÅKER</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56035-2024</t>
        </is>
      </c>
      <c r="B13333" s="1" t="n">
        <v>45624</v>
      </c>
      <c r="C13333" s="1" t="n">
        <v>45677</v>
      </c>
      <c r="D13333" t="inlineStr">
        <is>
          <t>GÄVLEBORGS LÄN</t>
        </is>
      </c>
      <c r="E13333" t="inlineStr">
        <is>
          <t>LJUSDAL</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56052-2024</t>
        </is>
      </c>
      <c r="B13334" s="1" t="n">
        <v>45624</v>
      </c>
      <c r="C13334" s="1" t="n">
        <v>45677</v>
      </c>
      <c r="D13334" t="inlineStr">
        <is>
          <t>GÄVLEBORGS LÄN</t>
        </is>
      </c>
      <c r="E13334" t="inlineStr">
        <is>
          <t>OCKELBO</t>
        </is>
      </c>
      <c r="F13334" t="inlineStr">
        <is>
          <t>Bergvik skog väst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56064-2024</t>
        </is>
      </c>
      <c r="B13335" s="1" t="n">
        <v>45624</v>
      </c>
      <c r="C13335" s="1" t="n">
        <v>45677</v>
      </c>
      <c r="D13335" t="inlineStr">
        <is>
          <t>GÄVLEBORGS LÄN</t>
        </is>
      </c>
      <c r="E13335" t="inlineStr">
        <is>
          <t>HUDIKSVALL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56120-2024</t>
        </is>
      </c>
      <c r="B13336" s="1" t="n">
        <v>45624</v>
      </c>
      <c r="C13336" s="1" t="n">
        <v>45677</v>
      </c>
      <c r="D13336" t="inlineStr">
        <is>
          <t>GÄVLEBORGS LÄN</t>
        </is>
      </c>
      <c r="E13336" t="inlineStr">
        <is>
          <t>BOLLNÄS</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56222-2024</t>
        </is>
      </c>
      <c r="B13337" s="1" t="n">
        <v>45624</v>
      </c>
      <c r="C13337" s="1" t="n">
        <v>45677</v>
      </c>
      <c r="D13337" t="inlineStr">
        <is>
          <t>GÄVLEBORGS LÄN</t>
        </is>
      </c>
      <c r="E13337" t="inlineStr">
        <is>
          <t>NORDANSTIG</t>
        </is>
      </c>
      <c r="F13337" t="inlineStr">
        <is>
          <t>Holmen skog AB</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56278-2024</t>
        </is>
      </c>
      <c r="B13338" s="1" t="n">
        <v>45624</v>
      </c>
      <c r="C13338" s="1" t="n">
        <v>45677</v>
      </c>
      <c r="D13338" t="inlineStr">
        <is>
          <t>GÄVLEBORGS LÄN</t>
        </is>
      </c>
      <c r="E13338" t="inlineStr">
        <is>
          <t>NORDANSTIG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56290-2024</t>
        </is>
      </c>
      <c r="B13339" s="1" t="n">
        <v>45624</v>
      </c>
      <c r="C13339" s="1" t="n">
        <v>45677</v>
      </c>
      <c r="D13339" t="inlineStr">
        <is>
          <t>GÄVLEBORGS LÄN</t>
        </is>
      </c>
      <c r="E13339" t="inlineStr">
        <is>
          <t>NORDANSTIG</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56295-2024</t>
        </is>
      </c>
      <c r="B13340" s="1" t="n">
        <v>45624</v>
      </c>
      <c r="C13340" s="1" t="n">
        <v>45677</v>
      </c>
      <c r="D13340" t="inlineStr">
        <is>
          <t>GÄVLEBORGS LÄN</t>
        </is>
      </c>
      <c r="E13340" t="inlineStr">
        <is>
          <t>NORDANSTIG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56131-2024</t>
        </is>
      </c>
      <c r="B13341" s="1" t="n">
        <v>45624</v>
      </c>
      <c r="C13341" s="1" t="n">
        <v>45677</v>
      </c>
      <c r="D13341" t="inlineStr">
        <is>
          <t>GÄVLEBORGS LÄN</t>
        </is>
      </c>
      <c r="E13341" t="inlineStr">
        <is>
          <t>HUDIKSVALL</t>
        </is>
      </c>
      <c r="G13341" t="n">
        <v>6.7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56148-2024</t>
        </is>
      </c>
      <c r="B13342" s="1" t="n">
        <v>45624</v>
      </c>
      <c r="C13342" s="1" t="n">
        <v>45677</v>
      </c>
      <c r="D13342" t="inlineStr">
        <is>
          <t>GÄVLEBORGS LÄN</t>
        </is>
      </c>
      <c r="E13342" t="inlineStr">
        <is>
          <t>SANDVIKEN</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56209-2024</t>
        </is>
      </c>
      <c r="B13343" s="1" t="n">
        <v>45624</v>
      </c>
      <c r="C13343" s="1" t="n">
        <v>45677</v>
      </c>
      <c r="D13343" t="inlineStr">
        <is>
          <t>GÄVLEBORGS LÄN</t>
        </is>
      </c>
      <c r="E13343" t="inlineStr">
        <is>
          <t>SÖDERHAMN</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56229-2024</t>
        </is>
      </c>
      <c r="B13344" s="1" t="n">
        <v>45624</v>
      </c>
      <c r="C13344" s="1" t="n">
        <v>45677</v>
      </c>
      <c r="D13344" t="inlineStr">
        <is>
          <t>GÄVLEBORGS LÄN</t>
        </is>
      </c>
      <c r="E13344" t="inlineStr">
        <is>
          <t>BOLLNÄS</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56253-2024</t>
        </is>
      </c>
      <c r="B13345" s="1" t="n">
        <v>45624</v>
      </c>
      <c r="C13345" s="1" t="n">
        <v>45677</v>
      </c>
      <c r="D13345" t="inlineStr">
        <is>
          <t>GÄVLEBORGS LÄN</t>
        </is>
      </c>
      <c r="E13345" t="inlineStr">
        <is>
          <t>HUDIKSVALL</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56261-2024</t>
        </is>
      </c>
      <c r="B13346" s="1" t="n">
        <v>45624</v>
      </c>
      <c r="C13346" s="1" t="n">
        <v>45677</v>
      </c>
      <c r="D13346" t="inlineStr">
        <is>
          <t>GÄVLEBORGS LÄN</t>
        </is>
      </c>
      <c r="E13346" t="inlineStr">
        <is>
          <t>NORDANSTIG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56269-2024</t>
        </is>
      </c>
      <c r="B13347" s="1" t="n">
        <v>45624</v>
      </c>
      <c r="C13347" s="1" t="n">
        <v>45677</v>
      </c>
      <c r="D13347" t="inlineStr">
        <is>
          <t>GÄVLEBORGS LÄN</t>
        </is>
      </c>
      <c r="E13347" t="inlineStr">
        <is>
          <t>SÖDERHAMN</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56277-2024</t>
        </is>
      </c>
      <c r="B13348" s="1" t="n">
        <v>45624</v>
      </c>
      <c r="C13348" s="1" t="n">
        <v>45677</v>
      </c>
      <c r="D13348" t="inlineStr">
        <is>
          <t>GÄVLEBORGS LÄN</t>
        </is>
      </c>
      <c r="E13348" t="inlineStr">
        <is>
          <t>HUDIKSVALL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56281-2024</t>
        </is>
      </c>
      <c r="B13349" s="1" t="n">
        <v>45624</v>
      </c>
      <c r="C13349" s="1" t="n">
        <v>45677</v>
      </c>
      <c r="D13349" t="inlineStr">
        <is>
          <t>GÄVLEBORGS LÄN</t>
        </is>
      </c>
      <c r="E13349" t="inlineStr">
        <is>
          <t>NORDANSTIG</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56352-2024</t>
        </is>
      </c>
      <c r="B13350" s="1" t="n">
        <v>45624</v>
      </c>
      <c r="C13350" s="1" t="n">
        <v>45677</v>
      </c>
      <c r="D13350" t="inlineStr">
        <is>
          <t>GÄVLEBORGS LÄN</t>
        </is>
      </c>
      <c r="E13350" t="inlineStr">
        <is>
          <t>OCKELBO</t>
        </is>
      </c>
      <c r="F13350" t="inlineStr">
        <is>
          <t>Bergvik skog väst AB</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56356-2024</t>
        </is>
      </c>
      <c r="B13351" s="1" t="n">
        <v>45624</v>
      </c>
      <c r="C13351" s="1" t="n">
        <v>45677</v>
      </c>
      <c r="D13351" t="inlineStr">
        <is>
          <t>GÄVLEBORGS LÄN</t>
        </is>
      </c>
      <c r="E13351" t="inlineStr">
        <is>
          <t>LJUSDAL</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56351-2024</t>
        </is>
      </c>
      <c r="B13352" s="1" t="n">
        <v>45624</v>
      </c>
      <c r="C13352" s="1" t="n">
        <v>45677</v>
      </c>
      <c r="D13352" t="inlineStr">
        <is>
          <t>GÄVLEBORGS LÄN</t>
        </is>
      </c>
      <c r="E13352" t="inlineStr">
        <is>
          <t>NORDANSTIG</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56355-2024</t>
        </is>
      </c>
      <c r="B13353" s="1" t="n">
        <v>45624</v>
      </c>
      <c r="C13353" s="1" t="n">
        <v>45677</v>
      </c>
      <c r="D13353" t="inlineStr">
        <is>
          <t>GÄVLEBORGS LÄN</t>
        </is>
      </c>
      <c r="E13353" t="inlineStr">
        <is>
          <t>LJUSDAL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45677</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56367-2024</t>
        </is>
      </c>
      <c r="B13355" s="1" t="n">
        <v>45625</v>
      </c>
      <c r="C13355" s="1" t="n">
        <v>45677</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56376-2024</t>
        </is>
      </c>
      <c r="B13356" s="1" t="n">
        <v>45625</v>
      </c>
      <c r="C13356" s="1" t="n">
        <v>45677</v>
      </c>
      <c r="D13356" t="inlineStr">
        <is>
          <t>GÄVLEBORGS LÄN</t>
        </is>
      </c>
      <c r="E13356" t="inlineStr">
        <is>
          <t>OCKELBO</t>
        </is>
      </c>
      <c r="F13356" t="inlineStr">
        <is>
          <t>Bergvik skog väst AB</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56380-2024</t>
        </is>
      </c>
      <c r="B13357" s="1" t="n">
        <v>45625</v>
      </c>
      <c r="C13357" s="1" t="n">
        <v>45677</v>
      </c>
      <c r="D13357" t="inlineStr">
        <is>
          <t>GÄVLEBORGS LÄN</t>
        </is>
      </c>
      <c r="E13357" t="inlineStr">
        <is>
          <t>LJUSDAL</t>
        </is>
      </c>
      <c r="F13357" t="inlineStr">
        <is>
          <t>Holmen skog AB</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56615-2024</t>
        </is>
      </c>
      <c r="B13358" s="1" t="n">
        <v>45625</v>
      </c>
      <c r="C13358" s="1" t="n">
        <v>45677</v>
      </c>
      <c r="D13358" t="inlineStr">
        <is>
          <t>GÄVLEBORGS LÄN</t>
        </is>
      </c>
      <c r="E13358" t="inlineStr">
        <is>
          <t>OCKELBO</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56363-2024</t>
        </is>
      </c>
      <c r="B13359" s="1" t="n">
        <v>45625</v>
      </c>
      <c r="C13359" s="1" t="n">
        <v>45677</v>
      </c>
      <c r="D13359" t="inlineStr">
        <is>
          <t>GÄVLEBORGS LÄN</t>
        </is>
      </c>
      <c r="E13359" t="inlineStr">
        <is>
          <t>HUDIKSVALL</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56406-2024</t>
        </is>
      </c>
      <c r="B13360" s="1" t="n">
        <v>45625</v>
      </c>
      <c r="C13360" s="1" t="n">
        <v>45677</v>
      </c>
      <c r="D13360" t="inlineStr">
        <is>
          <t>GÄVLEBORGS LÄN</t>
        </is>
      </c>
      <c r="E13360" t="inlineStr">
        <is>
          <t>NORDANSTIG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56494-2024</t>
        </is>
      </c>
      <c r="B13361" s="1" t="n">
        <v>45625</v>
      </c>
      <c r="C13361" s="1" t="n">
        <v>45677</v>
      </c>
      <c r="D13361" t="inlineStr">
        <is>
          <t>GÄVLEBORGS LÄN</t>
        </is>
      </c>
      <c r="E13361" t="inlineStr">
        <is>
          <t>NORDANSTIG</t>
        </is>
      </c>
      <c r="G13361" t="n">
        <v>10.1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56616-2024</t>
        </is>
      </c>
      <c r="B13362" s="1" t="n">
        <v>45625</v>
      </c>
      <c r="C13362" s="1" t="n">
        <v>45677</v>
      </c>
      <c r="D13362" t="inlineStr">
        <is>
          <t>GÄVLEBORGS LÄN</t>
        </is>
      </c>
      <c r="E13362" t="inlineStr">
        <is>
          <t>LJUSDAL</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56666-2024</t>
        </is>
      </c>
      <c r="B13363" s="1" t="n">
        <v>45626</v>
      </c>
      <c r="C13363" s="1" t="n">
        <v>45677</v>
      </c>
      <c r="D13363" t="inlineStr">
        <is>
          <t>GÄVLEBORGS LÄN</t>
        </is>
      </c>
      <c r="E13363" t="inlineStr">
        <is>
          <t>LJUSDAL</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56709-2024</t>
        </is>
      </c>
      <c r="B13364" s="1" t="n">
        <v>45627</v>
      </c>
      <c r="C13364" s="1" t="n">
        <v>45677</v>
      </c>
      <c r="D13364" t="inlineStr">
        <is>
          <t>GÄVLEBORGS LÄN</t>
        </is>
      </c>
      <c r="E13364" t="inlineStr">
        <is>
          <t>HUDIKSVALL</t>
        </is>
      </c>
      <c r="G13364" t="n">
        <v>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56858-2024</t>
        </is>
      </c>
      <c r="B13365" s="1" t="n">
        <v>45628</v>
      </c>
      <c r="C13365" s="1" t="n">
        <v>45677</v>
      </c>
      <c r="D13365" t="inlineStr">
        <is>
          <t>GÄVLEBORGS LÄN</t>
        </is>
      </c>
      <c r="E13365" t="inlineStr">
        <is>
          <t>HUDIKSVALL</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56728-2024</t>
        </is>
      </c>
      <c r="B13366" s="1" t="n">
        <v>45628</v>
      </c>
      <c r="C13366" s="1" t="n">
        <v>45677</v>
      </c>
      <c r="D13366" t="inlineStr">
        <is>
          <t>GÄVLEBORGS LÄN</t>
        </is>
      </c>
      <c r="E13366" t="inlineStr">
        <is>
          <t>GÄVLE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56882-2024</t>
        </is>
      </c>
      <c r="B13367" s="1" t="n">
        <v>45628</v>
      </c>
      <c r="C13367" s="1" t="n">
        <v>45677</v>
      </c>
      <c r="D13367" t="inlineStr">
        <is>
          <t>GÄVLEBORGS LÄN</t>
        </is>
      </c>
      <c r="E13367" t="inlineStr">
        <is>
          <t>SANDVIKEN</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56933-2024</t>
        </is>
      </c>
      <c r="B13368" s="1" t="n">
        <v>45628</v>
      </c>
      <c r="C13368" s="1" t="n">
        <v>45677</v>
      </c>
      <c r="D13368" t="inlineStr">
        <is>
          <t>GÄVLEBORGS LÄN</t>
        </is>
      </c>
      <c r="E13368" t="inlineStr">
        <is>
          <t>SÖDERHAMN</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56733-2024</t>
        </is>
      </c>
      <c r="B13369" s="1" t="n">
        <v>45628</v>
      </c>
      <c r="C13369" s="1" t="n">
        <v>45677</v>
      </c>
      <c r="D13369" t="inlineStr">
        <is>
          <t>GÄVLEBORGS LÄN</t>
        </is>
      </c>
      <c r="E13369" t="inlineStr">
        <is>
          <t>NORDANSTIG</t>
        </is>
      </c>
      <c r="F13369" t="inlineStr">
        <is>
          <t>Holmen skog AB</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56741-2024</t>
        </is>
      </c>
      <c r="B13370" s="1" t="n">
        <v>45628</v>
      </c>
      <c r="C13370" s="1" t="n">
        <v>45677</v>
      </c>
      <c r="D13370" t="inlineStr">
        <is>
          <t>GÄVLEBORGS LÄN</t>
        </is>
      </c>
      <c r="E13370" t="inlineStr">
        <is>
          <t>OCKELBO</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56894-2024</t>
        </is>
      </c>
      <c r="B13371" s="1" t="n">
        <v>45628</v>
      </c>
      <c r="C13371" s="1" t="n">
        <v>45677</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56915-2024</t>
        </is>
      </c>
      <c r="B13372" s="1" t="n">
        <v>45628</v>
      </c>
      <c r="C13372" s="1" t="n">
        <v>45677</v>
      </c>
      <c r="D13372" t="inlineStr">
        <is>
          <t>GÄVLEBORGS LÄN</t>
        </is>
      </c>
      <c r="E13372" t="inlineStr">
        <is>
          <t>GÄVLE</t>
        </is>
      </c>
      <c r="F13372" t="inlineStr">
        <is>
          <t>Bergvik skog öst AB</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56919-2024</t>
        </is>
      </c>
      <c r="B13373" s="1" t="n">
        <v>45628</v>
      </c>
      <c r="C13373" s="1" t="n">
        <v>45677</v>
      </c>
      <c r="D13373" t="inlineStr">
        <is>
          <t>GÄVLEBORGS LÄN</t>
        </is>
      </c>
      <c r="E13373" t="inlineStr">
        <is>
          <t>SÖDERHAMN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56896-2024</t>
        </is>
      </c>
      <c r="B13374" s="1" t="n">
        <v>45628</v>
      </c>
      <c r="C13374" s="1" t="n">
        <v>45677</v>
      </c>
      <c r="D13374" t="inlineStr">
        <is>
          <t>GÄVLEBORGS LÄN</t>
        </is>
      </c>
      <c r="E13374" t="inlineStr">
        <is>
          <t>HUDIKSVALL</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56901-2024</t>
        </is>
      </c>
      <c r="B13375" s="1" t="n">
        <v>45628</v>
      </c>
      <c r="C13375" s="1" t="n">
        <v>45677</v>
      </c>
      <c r="D13375" t="inlineStr">
        <is>
          <t>GÄVLEBORGS LÄN</t>
        </is>
      </c>
      <c r="E13375" t="inlineStr">
        <is>
          <t>HUDIKSVALL</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56851-2024</t>
        </is>
      </c>
      <c r="B13376" s="1" t="n">
        <v>45628</v>
      </c>
      <c r="C13376" s="1" t="n">
        <v>45677</v>
      </c>
      <c r="D13376" t="inlineStr">
        <is>
          <t>GÄVLEBORGS LÄN</t>
        </is>
      </c>
      <c r="E13376" t="inlineStr">
        <is>
          <t>SANDVIKEN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56934-2024</t>
        </is>
      </c>
      <c r="B13377" s="1" t="n">
        <v>45628</v>
      </c>
      <c r="C13377" s="1" t="n">
        <v>45677</v>
      </c>
      <c r="D13377" t="inlineStr">
        <is>
          <t>GÄVLEBORGS LÄN</t>
        </is>
      </c>
      <c r="E13377" t="inlineStr">
        <is>
          <t>SÖDERHAMN</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57049-2024</t>
        </is>
      </c>
      <c r="B13378" s="1" t="n">
        <v>45629</v>
      </c>
      <c r="C13378" s="1" t="n">
        <v>45677</v>
      </c>
      <c r="D13378" t="inlineStr">
        <is>
          <t>GÄVLEBORGS LÄN</t>
        </is>
      </c>
      <c r="E13378" t="inlineStr">
        <is>
          <t>BOLLNÄS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57053-2024</t>
        </is>
      </c>
      <c r="B13379" s="1" t="n">
        <v>45629</v>
      </c>
      <c r="C13379" s="1" t="n">
        <v>45677</v>
      </c>
      <c r="D13379" t="inlineStr">
        <is>
          <t>GÄVLEBORGS LÄN</t>
        </is>
      </c>
      <c r="E13379" t="inlineStr">
        <is>
          <t>BOLLNÄS</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57100-2024</t>
        </is>
      </c>
      <c r="B13380" s="1" t="n">
        <v>45629</v>
      </c>
      <c r="C13380" s="1" t="n">
        <v>45677</v>
      </c>
      <c r="D13380" t="inlineStr">
        <is>
          <t>GÄVLEBORGS LÄN</t>
        </is>
      </c>
      <c r="E13380" t="inlineStr">
        <is>
          <t>OVANÅKER</t>
        </is>
      </c>
      <c r="F13380" t="inlineStr">
        <is>
          <t>Bergvik skog väst AB</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57189-2024</t>
        </is>
      </c>
      <c r="B13381" s="1" t="n">
        <v>45629</v>
      </c>
      <c r="C13381" s="1" t="n">
        <v>45677</v>
      </c>
      <c r="D13381" t="inlineStr">
        <is>
          <t>GÄVLEBORGS LÄN</t>
        </is>
      </c>
      <c r="E13381" t="inlineStr">
        <is>
          <t>LJUSDAL</t>
        </is>
      </c>
      <c r="F13381" t="inlineStr">
        <is>
          <t>Holmen skog AB</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57054-2024</t>
        </is>
      </c>
      <c r="B13382" s="1" t="n">
        <v>45629</v>
      </c>
      <c r="C13382" s="1" t="n">
        <v>45677</v>
      </c>
      <c r="D13382" t="inlineStr">
        <is>
          <t>GÄVLEBORGS LÄN</t>
        </is>
      </c>
      <c r="E13382" t="inlineStr">
        <is>
          <t>GÄVLE</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57072-2024</t>
        </is>
      </c>
      <c r="B13383" s="1" t="n">
        <v>45629</v>
      </c>
      <c r="C13383" s="1" t="n">
        <v>45677</v>
      </c>
      <c r="D13383" t="inlineStr">
        <is>
          <t>GÄVLEBORGS LÄN</t>
        </is>
      </c>
      <c r="E13383" t="inlineStr">
        <is>
          <t>LJUSDAL</t>
        </is>
      </c>
      <c r="F13383" t="inlineStr">
        <is>
          <t>SCA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57106-2024</t>
        </is>
      </c>
      <c r="B13384" s="1" t="n">
        <v>45629</v>
      </c>
      <c r="C13384" s="1" t="n">
        <v>45677</v>
      </c>
      <c r="D13384" t="inlineStr">
        <is>
          <t>GÄVLEBORGS LÄN</t>
        </is>
      </c>
      <c r="E13384" t="inlineStr">
        <is>
          <t>LJUSDAL</t>
        </is>
      </c>
      <c r="F13384" t="inlineStr">
        <is>
          <t>SCA</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57179-2024</t>
        </is>
      </c>
      <c r="B13385" s="1" t="n">
        <v>45629</v>
      </c>
      <c r="C13385" s="1" t="n">
        <v>45677</v>
      </c>
      <c r="D13385" t="inlineStr">
        <is>
          <t>GÄVLEBORGS LÄN</t>
        </is>
      </c>
      <c r="E13385" t="inlineStr">
        <is>
          <t>OCKELBO</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57196-2024</t>
        </is>
      </c>
      <c r="B13386" s="1" t="n">
        <v>45629</v>
      </c>
      <c r="C13386" s="1" t="n">
        <v>45677</v>
      </c>
      <c r="D13386" t="inlineStr">
        <is>
          <t>GÄVLEBORGS LÄN</t>
        </is>
      </c>
      <c r="E13386" t="inlineStr">
        <is>
          <t>HUDIKSVALL</t>
        </is>
      </c>
      <c r="F13386" t="inlineStr">
        <is>
          <t>Naturvårdsverket</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57091-2024</t>
        </is>
      </c>
      <c r="B13387" s="1" t="n">
        <v>45629</v>
      </c>
      <c r="C13387" s="1" t="n">
        <v>45677</v>
      </c>
      <c r="D13387" t="inlineStr">
        <is>
          <t>GÄVLEBORGS LÄN</t>
        </is>
      </c>
      <c r="E13387" t="inlineStr">
        <is>
          <t>LJUSDAL</t>
        </is>
      </c>
      <c r="F13387" t="inlineStr">
        <is>
          <t>SCA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57113-2024</t>
        </is>
      </c>
      <c r="B13388" s="1" t="n">
        <v>45629</v>
      </c>
      <c r="C13388" s="1" t="n">
        <v>45677</v>
      </c>
      <c r="D13388" t="inlineStr">
        <is>
          <t>GÄVLEBORGS LÄN</t>
        </is>
      </c>
      <c r="E13388" t="inlineStr">
        <is>
          <t>LJUSDAL</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57151-2024</t>
        </is>
      </c>
      <c r="B13389" s="1" t="n">
        <v>45629</v>
      </c>
      <c r="C13389" s="1" t="n">
        <v>45677</v>
      </c>
      <c r="D13389" t="inlineStr">
        <is>
          <t>GÄVLEBORGS LÄN</t>
        </is>
      </c>
      <c r="E13389" t="inlineStr">
        <is>
          <t>GÄVLE</t>
        </is>
      </c>
      <c r="F13389" t="inlineStr">
        <is>
          <t>Bergvik skog öst AB</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57174-2024</t>
        </is>
      </c>
      <c r="B13390" s="1" t="n">
        <v>45629</v>
      </c>
      <c r="C13390" s="1" t="n">
        <v>45677</v>
      </c>
      <c r="D13390" t="inlineStr">
        <is>
          <t>GÄVLEBORGS LÄN</t>
        </is>
      </c>
      <c r="E13390" t="inlineStr">
        <is>
          <t>OCKELBO</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57315-2024</t>
        </is>
      </c>
      <c r="B13391" s="1" t="n">
        <v>45629</v>
      </c>
      <c r="C13391" s="1" t="n">
        <v>45677</v>
      </c>
      <c r="D13391" t="inlineStr">
        <is>
          <t>GÄVLEBORGS LÄN</t>
        </is>
      </c>
      <c r="E13391" t="inlineStr">
        <is>
          <t>LJUSDAL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57387-2024</t>
        </is>
      </c>
      <c r="B13392" s="1" t="n">
        <v>45629</v>
      </c>
      <c r="C13392" s="1" t="n">
        <v>45677</v>
      </c>
      <c r="D13392" t="inlineStr">
        <is>
          <t>GÄVLEBORGS LÄN</t>
        </is>
      </c>
      <c r="E13392" t="inlineStr">
        <is>
          <t>BOLLNÄS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57399-2024</t>
        </is>
      </c>
      <c r="B13393" s="1" t="n">
        <v>45629</v>
      </c>
      <c r="C13393" s="1" t="n">
        <v>45677</v>
      </c>
      <c r="D13393" t="inlineStr">
        <is>
          <t>GÄVLEBORGS LÄN</t>
        </is>
      </c>
      <c r="E13393" t="inlineStr">
        <is>
          <t>HOFORS</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57440-2024</t>
        </is>
      </c>
      <c r="B13394" s="1" t="n">
        <v>45629</v>
      </c>
      <c r="C13394" s="1" t="n">
        <v>45677</v>
      </c>
      <c r="D13394" t="inlineStr">
        <is>
          <t>GÄVLEBORGS LÄN</t>
        </is>
      </c>
      <c r="E13394" t="inlineStr">
        <is>
          <t>BOLLNÄS</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57164-2024</t>
        </is>
      </c>
      <c r="B13395" s="1" t="n">
        <v>45629</v>
      </c>
      <c r="C13395" s="1" t="n">
        <v>45677</v>
      </c>
      <c r="D13395" t="inlineStr">
        <is>
          <t>GÄVLEBORGS LÄN</t>
        </is>
      </c>
      <c r="E13395" t="inlineStr">
        <is>
          <t>LJUSDAL</t>
        </is>
      </c>
      <c r="F13395" t="inlineStr">
        <is>
          <t>Naturvårdsverket</t>
        </is>
      </c>
      <c r="G13395" t="n">
        <v>18.5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57172-2024</t>
        </is>
      </c>
      <c r="B13396" s="1" t="n">
        <v>45629</v>
      </c>
      <c r="C13396" s="1" t="n">
        <v>45677</v>
      </c>
      <c r="D13396" t="inlineStr">
        <is>
          <t>GÄVLEBORGS LÄN</t>
        </is>
      </c>
      <c r="E13396" t="inlineStr">
        <is>
          <t>OCKELBO</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57193-2024</t>
        </is>
      </c>
      <c r="B13397" s="1" t="n">
        <v>45629</v>
      </c>
      <c r="C13397" s="1" t="n">
        <v>45677</v>
      </c>
      <c r="D13397" t="inlineStr">
        <is>
          <t>GÄVLEBORGS LÄN</t>
        </is>
      </c>
      <c r="E13397" t="inlineStr">
        <is>
          <t>LJUSDAL</t>
        </is>
      </c>
      <c r="F13397" t="inlineStr">
        <is>
          <t>Naturvårdsverket</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57210-2024</t>
        </is>
      </c>
      <c r="B13398" s="1" t="n">
        <v>45629</v>
      </c>
      <c r="C13398" s="1" t="n">
        <v>45677</v>
      </c>
      <c r="D13398" t="inlineStr">
        <is>
          <t>GÄVLEBORGS LÄN</t>
        </is>
      </c>
      <c r="E13398" t="inlineStr">
        <is>
          <t>OCKELBO</t>
        </is>
      </c>
      <c r="F13398" t="inlineStr">
        <is>
          <t>Bergvik skog öst AB</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57275-2024</t>
        </is>
      </c>
      <c r="B13399" s="1" t="n">
        <v>45629</v>
      </c>
      <c r="C13399" s="1" t="n">
        <v>45677</v>
      </c>
      <c r="D13399" t="inlineStr">
        <is>
          <t>GÄVLEBORGS LÄN</t>
        </is>
      </c>
      <c r="E13399" t="inlineStr">
        <is>
          <t>OCKELBO</t>
        </is>
      </c>
      <c r="F13399" t="inlineStr">
        <is>
          <t>Bergvik skog öst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57378-2024</t>
        </is>
      </c>
      <c r="B13400" s="1" t="n">
        <v>45629</v>
      </c>
      <c r="C13400" s="1" t="n">
        <v>45677</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57302-2024</t>
        </is>
      </c>
      <c r="B13401" s="1" t="n">
        <v>45629</v>
      </c>
      <c r="C13401" s="1" t="n">
        <v>45677</v>
      </c>
      <c r="D13401" t="inlineStr">
        <is>
          <t>GÄVLEBORGS LÄN</t>
        </is>
      </c>
      <c r="E13401" t="inlineStr">
        <is>
          <t>SANDVIKEN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57356-2024</t>
        </is>
      </c>
      <c r="B13402" s="1" t="n">
        <v>45629</v>
      </c>
      <c r="C13402" s="1" t="n">
        <v>45677</v>
      </c>
      <c r="D13402" t="inlineStr">
        <is>
          <t>GÄVLEBORGS LÄN</t>
        </is>
      </c>
      <c r="E13402" t="inlineStr">
        <is>
          <t>LJUSDAL</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57384-2024</t>
        </is>
      </c>
      <c r="B13403" s="1" t="n">
        <v>45629</v>
      </c>
      <c r="C13403" s="1" t="n">
        <v>45677</v>
      </c>
      <c r="D13403" t="inlineStr">
        <is>
          <t>GÄVLEBORGS LÄN</t>
        </is>
      </c>
      <c r="E13403" t="inlineStr">
        <is>
          <t>BOLLNÄS</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57388-2024</t>
        </is>
      </c>
      <c r="B13404" s="1" t="n">
        <v>45629</v>
      </c>
      <c r="C13404" s="1" t="n">
        <v>45677</v>
      </c>
      <c r="D13404" t="inlineStr">
        <is>
          <t>GÄVLEBORGS LÄN</t>
        </is>
      </c>
      <c r="E13404" t="inlineStr">
        <is>
          <t>BOLLNÄS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57392-2024</t>
        </is>
      </c>
      <c r="B13405" s="1" t="n">
        <v>45629</v>
      </c>
      <c r="C13405" s="1" t="n">
        <v>45677</v>
      </c>
      <c r="D13405" t="inlineStr">
        <is>
          <t>GÄVLEBORGS LÄN</t>
        </is>
      </c>
      <c r="E13405" t="inlineStr">
        <is>
          <t>BOLLNÄS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57400-2024</t>
        </is>
      </c>
      <c r="B13406" s="1" t="n">
        <v>45629</v>
      </c>
      <c r="C13406" s="1" t="n">
        <v>45677</v>
      </c>
      <c r="D13406" t="inlineStr">
        <is>
          <t>GÄVLEBORGS LÄN</t>
        </is>
      </c>
      <c r="E13406" t="inlineStr">
        <is>
          <t>HOFORS</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57441-2024</t>
        </is>
      </c>
      <c r="B13407" s="1" t="n">
        <v>45629</v>
      </c>
      <c r="C13407" s="1" t="n">
        <v>45677</v>
      </c>
      <c r="D13407" t="inlineStr">
        <is>
          <t>GÄVLEBORGS LÄN</t>
        </is>
      </c>
      <c r="E13407" t="inlineStr">
        <is>
          <t>SÖDERHAMN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57447-2024</t>
        </is>
      </c>
      <c r="B13408" s="1" t="n">
        <v>45630</v>
      </c>
      <c r="C13408" s="1" t="n">
        <v>45677</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57448-2024</t>
        </is>
      </c>
      <c r="B13409" s="1" t="n">
        <v>45630</v>
      </c>
      <c r="C13409" s="1" t="n">
        <v>45677</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57464-2024</t>
        </is>
      </c>
      <c r="B13410" s="1" t="n">
        <v>45630</v>
      </c>
      <c r="C13410" s="1" t="n">
        <v>45677</v>
      </c>
      <c r="D13410" t="inlineStr">
        <is>
          <t>GÄVLEBORGS LÄN</t>
        </is>
      </c>
      <c r="E13410" t="inlineStr">
        <is>
          <t>GÄVLE</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57485-2024</t>
        </is>
      </c>
      <c r="B13411" s="1" t="n">
        <v>45630</v>
      </c>
      <c r="C13411" s="1" t="n">
        <v>45677</v>
      </c>
      <c r="D13411" t="inlineStr">
        <is>
          <t>GÄVLEBORGS LÄN</t>
        </is>
      </c>
      <c r="E13411" t="inlineStr">
        <is>
          <t>OCKELBO</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57617-2024</t>
        </is>
      </c>
      <c r="B13412" s="1" t="n">
        <v>45630</v>
      </c>
      <c r="C13412" s="1" t="n">
        <v>45677</v>
      </c>
      <c r="D13412" t="inlineStr">
        <is>
          <t>GÄVLEBORGS LÄN</t>
        </is>
      </c>
      <c r="E13412" t="inlineStr">
        <is>
          <t>SANDVIKEN</t>
        </is>
      </c>
      <c r="F13412" t="inlineStr">
        <is>
          <t>Bergvik skog öst AB</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57751-2024</t>
        </is>
      </c>
      <c r="B13413" s="1" t="n">
        <v>45630</v>
      </c>
      <c r="C13413" s="1" t="n">
        <v>45677</v>
      </c>
      <c r="D13413" t="inlineStr">
        <is>
          <t>GÄVLEBORGS LÄN</t>
        </is>
      </c>
      <c r="E13413" t="inlineStr">
        <is>
          <t>HOFORS</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57478-2024</t>
        </is>
      </c>
      <c r="B13414" s="1" t="n">
        <v>45630</v>
      </c>
      <c r="C13414" s="1" t="n">
        <v>45677</v>
      </c>
      <c r="D13414" t="inlineStr">
        <is>
          <t>GÄVLEBORGS LÄN</t>
        </is>
      </c>
      <c r="E13414" t="inlineStr">
        <is>
          <t>OVANÅKER</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57612-2024</t>
        </is>
      </c>
      <c r="B13415" s="1" t="n">
        <v>45630</v>
      </c>
      <c r="C13415" s="1" t="n">
        <v>45677</v>
      </c>
      <c r="D13415" t="inlineStr">
        <is>
          <t>GÄVLEBORGS LÄN</t>
        </is>
      </c>
      <c r="E13415" t="inlineStr">
        <is>
          <t>OVANÅKER</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57628-2024</t>
        </is>
      </c>
      <c r="B13416" s="1" t="n">
        <v>45630</v>
      </c>
      <c r="C13416" s="1" t="n">
        <v>45677</v>
      </c>
      <c r="D13416" t="inlineStr">
        <is>
          <t>GÄVLEBORGS LÄN</t>
        </is>
      </c>
      <c r="E13416" t="inlineStr">
        <is>
          <t>SANDVIKEN</t>
        </is>
      </c>
      <c r="F13416" t="inlineStr">
        <is>
          <t>Bergvik skog öst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57570-2024</t>
        </is>
      </c>
      <c r="B13417" s="1" t="n">
        <v>45630</v>
      </c>
      <c r="C13417" s="1" t="n">
        <v>45677</v>
      </c>
      <c r="D13417" t="inlineStr">
        <is>
          <t>GÄVLEBORGS LÄN</t>
        </is>
      </c>
      <c r="E13417" t="inlineStr">
        <is>
          <t>GÄVLE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57664-2024</t>
        </is>
      </c>
      <c r="B13418" s="1" t="n">
        <v>45630</v>
      </c>
      <c r="C13418" s="1" t="n">
        <v>45677</v>
      </c>
      <c r="D13418" t="inlineStr">
        <is>
          <t>GÄVLEBORGS LÄN</t>
        </is>
      </c>
      <c r="E13418" t="inlineStr">
        <is>
          <t>LJUSDAL</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57511-2024</t>
        </is>
      </c>
      <c r="B13419" s="1" t="n">
        <v>45630</v>
      </c>
      <c r="C13419" s="1" t="n">
        <v>45677</v>
      </c>
      <c r="D13419" t="inlineStr">
        <is>
          <t>GÄVLEBORGS LÄN</t>
        </is>
      </c>
      <c r="E13419" t="inlineStr">
        <is>
          <t>HUDIKSVALL</t>
        </is>
      </c>
      <c r="F13419" t="inlineStr">
        <is>
          <t>Holmen skog AB</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57731-2024</t>
        </is>
      </c>
      <c r="B13420" s="1" t="n">
        <v>45630</v>
      </c>
      <c r="C13420" s="1" t="n">
        <v>45677</v>
      </c>
      <c r="D13420" t="inlineStr">
        <is>
          <t>GÄVLEBORGS LÄN</t>
        </is>
      </c>
      <c r="E13420" t="inlineStr">
        <is>
          <t>HUDIKSVALL</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57571-2024</t>
        </is>
      </c>
      <c r="B13421" s="1" t="n">
        <v>45630</v>
      </c>
      <c r="C13421" s="1" t="n">
        <v>45677</v>
      </c>
      <c r="D13421" t="inlineStr">
        <is>
          <t>GÄVLEBORGS LÄN</t>
        </is>
      </c>
      <c r="E13421" t="inlineStr">
        <is>
          <t>GÄVLE</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57673-2024</t>
        </is>
      </c>
      <c r="B13422" s="1" t="n">
        <v>45630</v>
      </c>
      <c r="C13422" s="1" t="n">
        <v>45677</v>
      </c>
      <c r="D13422" t="inlineStr">
        <is>
          <t>GÄVLEBORGS LÄN</t>
        </is>
      </c>
      <c r="E13422" t="inlineStr">
        <is>
          <t>LJUSDAL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57724-2024</t>
        </is>
      </c>
      <c r="B13423" s="1" t="n">
        <v>45630</v>
      </c>
      <c r="C13423" s="1" t="n">
        <v>45677</v>
      </c>
      <c r="D13423" t="inlineStr">
        <is>
          <t>GÄVLEBORGS LÄN</t>
        </is>
      </c>
      <c r="E13423" t="inlineStr">
        <is>
          <t>HUDIKSVALL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57758-2024</t>
        </is>
      </c>
      <c r="B13424" s="1" t="n">
        <v>45630</v>
      </c>
      <c r="C13424" s="1" t="n">
        <v>45677</v>
      </c>
      <c r="D13424" t="inlineStr">
        <is>
          <t>GÄVLEBORGS LÄN</t>
        </is>
      </c>
      <c r="E13424" t="inlineStr">
        <is>
          <t>LJUSDAL</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57877-2024</t>
        </is>
      </c>
      <c r="B13425" s="1" t="n">
        <v>45630</v>
      </c>
      <c r="C13425" s="1" t="n">
        <v>45677</v>
      </c>
      <c r="D13425" t="inlineStr">
        <is>
          <t>GÄVLEBORGS LÄN</t>
        </is>
      </c>
      <c r="E13425" t="inlineStr">
        <is>
          <t>GÄVLE</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57780-2024</t>
        </is>
      </c>
      <c r="B13426" s="1" t="n">
        <v>45631</v>
      </c>
      <c r="C13426" s="1" t="n">
        <v>45677</v>
      </c>
      <c r="D13426" t="inlineStr">
        <is>
          <t>GÄVLEBORGS LÄN</t>
        </is>
      </c>
      <c r="E13426" t="inlineStr">
        <is>
          <t>BOLLNÄS</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57784-2024</t>
        </is>
      </c>
      <c r="B13427" s="1" t="n">
        <v>45631</v>
      </c>
      <c r="C13427" s="1" t="n">
        <v>45677</v>
      </c>
      <c r="D13427" t="inlineStr">
        <is>
          <t>GÄVLEBORGS LÄN</t>
        </is>
      </c>
      <c r="E13427" t="inlineStr">
        <is>
          <t>LJUSDAL</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57806-2024</t>
        </is>
      </c>
      <c r="B13428" s="1" t="n">
        <v>45631</v>
      </c>
      <c r="C13428" s="1" t="n">
        <v>45677</v>
      </c>
      <c r="D13428" t="inlineStr">
        <is>
          <t>GÄVLEBORGS LÄN</t>
        </is>
      </c>
      <c r="E13428" t="inlineStr">
        <is>
          <t>NORDANSTIG</t>
        </is>
      </c>
      <c r="F13428" t="inlineStr">
        <is>
          <t>Holmen skog AB</t>
        </is>
      </c>
      <c r="G13428" t="n">
        <v>2.6</v>
      </c>
      <c r="H13428" t="n">
        <v>0</v>
      </c>
      <c r="I13428" t="n">
        <v>0</v>
      </c>
      <c r="J13428" t="n">
        <v>0</v>
      </c>
      <c r="K13428" t="n">
        <v>0</v>
      </c>
      <c r="L13428" t="n">
        <v>0</v>
      </c>
      <c r="M13428" t="n">
        <v>0</v>
      </c>
      <c r="N13428" t="n">
        <v>0</v>
      </c>
      <c r="O13428" t="n">
        <v>0</v>
      </c>
      <c r="P13428" t="n">
        <v>0</v>
      </c>
      <c r="Q13428" t="n">
        <v>0</v>
      </c>
      <c r="R13428" s="2" t="inlineStr"/>
      <c r="U13428">
        <f>HYPERLINK("https://klasma.github.io/Logging_2132/knärot/A 57806-2024 karta knärot.png", "A 57806-2024")</f>
        <v/>
      </c>
      <c r="V13428">
        <f>HYPERLINK("https://klasma.github.io/Logging_2132/klagomål/A 57806-2024 FSC-klagomål.docx", "A 57806-2024")</f>
        <v/>
      </c>
      <c r="W13428">
        <f>HYPERLINK("https://klasma.github.io/Logging_2132/klagomålsmail/A 57806-2024 FSC-klagomål mail.docx", "A 57806-2024")</f>
        <v/>
      </c>
      <c r="X13428">
        <f>HYPERLINK("https://klasma.github.io/Logging_2132/tillsyn/A 57806-2024 tillsynsbegäran.docx", "A 57806-2024")</f>
        <v/>
      </c>
      <c r="Y13428">
        <f>HYPERLINK("https://klasma.github.io/Logging_2132/tillsynsmail/A 57806-2024 tillsynsbegäran mail.docx", "A 57806-2024")</f>
        <v/>
      </c>
    </row>
    <row r="13429" ht="15" customHeight="1">
      <c r="A13429" t="inlineStr">
        <is>
          <t>A 57862-2024</t>
        </is>
      </c>
      <c r="B13429" s="1" t="n">
        <v>45631</v>
      </c>
      <c r="C13429" s="1" t="n">
        <v>45677</v>
      </c>
      <c r="D13429" t="inlineStr">
        <is>
          <t>GÄVLEBORGS LÄN</t>
        </is>
      </c>
      <c r="E13429" t="inlineStr">
        <is>
          <t>SÖDERHAMN</t>
        </is>
      </c>
      <c r="F13429" t="inlineStr">
        <is>
          <t>Bergvik skog väst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57866-2024</t>
        </is>
      </c>
      <c r="B13430" s="1" t="n">
        <v>45631</v>
      </c>
      <c r="C13430" s="1" t="n">
        <v>45677</v>
      </c>
      <c r="D13430" t="inlineStr">
        <is>
          <t>GÄVLEBORGS LÄN</t>
        </is>
      </c>
      <c r="E13430" t="inlineStr">
        <is>
          <t>NORDANSTIG</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57932-2024</t>
        </is>
      </c>
      <c r="B13431" s="1" t="n">
        <v>45631</v>
      </c>
      <c r="C13431" s="1" t="n">
        <v>45677</v>
      </c>
      <c r="D13431" t="inlineStr">
        <is>
          <t>GÄVLEBORGS LÄN</t>
        </is>
      </c>
      <c r="E13431" t="inlineStr">
        <is>
          <t>GÄVLE</t>
        </is>
      </c>
      <c r="F13431" t="inlineStr">
        <is>
          <t>Bergvik skog öst AB</t>
        </is>
      </c>
      <c r="G13431" t="n">
        <v>48.7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57977-2024</t>
        </is>
      </c>
      <c r="B13432" s="1" t="n">
        <v>45631</v>
      </c>
      <c r="C13432" s="1" t="n">
        <v>45677</v>
      </c>
      <c r="D13432" t="inlineStr">
        <is>
          <t>GÄVLEBORGS LÄN</t>
        </is>
      </c>
      <c r="E13432" t="inlineStr">
        <is>
          <t>NORDANSTIG</t>
        </is>
      </c>
      <c r="F13432" t="inlineStr">
        <is>
          <t>Holmen skog AB</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58005-2024</t>
        </is>
      </c>
      <c r="B13433" s="1" t="n">
        <v>45631</v>
      </c>
      <c r="C13433" s="1" t="n">
        <v>45677</v>
      </c>
      <c r="D13433" t="inlineStr">
        <is>
          <t>GÄVLEBORGS LÄN</t>
        </is>
      </c>
      <c r="E13433" t="inlineStr">
        <is>
          <t>HUDIKSVALL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57886-2024</t>
        </is>
      </c>
      <c r="B13434" s="1" t="n">
        <v>45631</v>
      </c>
      <c r="C13434" s="1" t="n">
        <v>45677</v>
      </c>
      <c r="D13434" t="inlineStr">
        <is>
          <t>GÄVLEBORGS LÄN</t>
        </is>
      </c>
      <c r="E13434" t="inlineStr">
        <is>
          <t>LJUSDAL</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57909-2024</t>
        </is>
      </c>
      <c r="B13435" s="1" t="n">
        <v>45631</v>
      </c>
      <c r="C13435" s="1" t="n">
        <v>45677</v>
      </c>
      <c r="D13435" t="inlineStr">
        <is>
          <t>GÄVLEBORGS LÄN</t>
        </is>
      </c>
      <c r="E13435" t="inlineStr">
        <is>
          <t>HUDIKSVALL</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57854-2024</t>
        </is>
      </c>
      <c r="B13436" s="1" t="n">
        <v>45631</v>
      </c>
      <c r="C13436" s="1" t="n">
        <v>45677</v>
      </c>
      <c r="D13436" t="inlineStr">
        <is>
          <t>GÄVLEBORGS LÄN</t>
        </is>
      </c>
      <c r="E13436" t="inlineStr">
        <is>
          <t>SÖDERHAMN</t>
        </is>
      </c>
      <c r="F13436" t="inlineStr">
        <is>
          <t>Bergvik skog väst AB</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57863-2024</t>
        </is>
      </c>
      <c r="B13437" s="1" t="n">
        <v>45631</v>
      </c>
      <c r="C13437" s="1" t="n">
        <v>45677</v>
      </c>
      <c r="D13437" t="inlineStr">
        <is>
          <t>GÄVLEBORGS LÄN</t>
        </is>
      </c>
      <c r="E13437" t="inlineStr">
        <is>
          <t>NORDANSTIG</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57928-2024</t>
        </is>
      </c>
      <c r="B13438" s="1" t="n">
        <v>45631</v>
      </c>
      <c r="C13438" s="1" t="n">
        <v>45677</v>
      </c>
      <c r="D13438" t="inlineStr">
        <is>
          <t>GÄVLEBORGS LÄN</t>
        </is>
      </c>
      <c r="E13438" t="inlineStr">
        <is>
          <t>GÄVLE</t>
        </is>
      </c>
      <c r="F13438" t="inlineStr">
        <is>
          <t>Bergvik skog öst AB</t>
        </is>
      </c>
      <c r="G13438" t="n">
        <v>10.9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58053-2024</t>
        </is>
      </c>
      <c r="B13439" s="1" t="n">
        <v>45631</v>
      </c>
      <c r="C13439" s="1" t="n">
        <v>45677</v>
      </c>
      <c r="D13439" t="inlineStr">
        <is>
          <t>GÄVLEBORGS LÄN</t>
        </is>
      </c>
      <c r="E13439" t="inlineStr">
        <is>
          <t>LJUSDAL</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58113-2024</t>
        </is>
      </c>
      <c r="B13440" s="1" t="n">
        <v>45632</v>
      </c>
      <c r="C13440" s="1" t="n">
        <v>45677</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58137-2024</t>
        </is>
      </c>
      <c r="B13441" s="1" t="n">
        <v>45632</v>
      </c>
      <c r="C13441" s="1" t="n">
        <v>45677</v>
      </c>
      <c r="D13441" t="inlineStr">
        <is>
          <t>GÄVLEBORGS LÄN</t>
        </is>
      </c>
      <c r="E13441" t="inlineStr">
        <is>
          <t>SÖDERHAMN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58142-2024</t>
        </is>
      </c>
      <c r="B13442" s="1" t="n">
        <v>45632</v>
      </c>
      <c r="C13442" s="1" t="n">
        <v>45677</v>
      </c>
      <c r="D13442" t="inlineStr">
        <is>
          <t>GÄVLEBORGS LÄN</t>
        </is>
      </c>
      <c r="E13442" t="inlineStr">
        <is>
          <t>SÖDERHAMN</t>
        </is>
      </c>
      <c r="F13442" t="inlineStr">
        <is>
          <t>Bergvik skog väst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58162-2024</t>
        </is>
      </c>
      <c r="B13443" s="1" t="n">
        <v>45632</v>
      </c>
      <c r="C13443" s="1" t="n">
        <v>45677</v>
      </c>
      <c r="D13443" t="inlineStr">
        <is>
          <t>GÄVLEBORGS LÄN</t>
        </is>
      </c>
      <c r="E13443" t="inlineStr">
        <is>
          <t>NORDANSTIG</t>
        </is>
      </c>
      <c r="F13443" t="inlineStr">
        <is>
          <t>Kyrkan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58166-2024</t>
        </is>
      </c>
      <c r="B13444" s="1" t="n">
        <v>45632</v>
      </c>
      <c r="C13444" s="1" t="n">
        <v>45677</v>
      </c>
      <c r="D13444" t="inlineStr">
        <is>
          <t>GÄVLEBORGS LÄN</t>
        </is>
      </c>
      <c r="E13444" t="inlineStr">
        <is>
          <t>SÖDERHAMN</t>
        </is>
      </c>
      <c r="F13444" t="inlineStr">
        <is>
          <t>Bergvik skog väst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58074-2024</t>
        </is>
      </c>
      <c r="B13445" s="1" t="n">
        <v>45632</v>
      </c>
      <c r="C13445" s="1" t="n">
        <v>45677</v>
      </c>
      <c r="D13445" t="inlineStr">
        <is>
          <t>GÄVLEBORGS LÄN</t>
        </is>
      </c>
      <c r="E13445" t="inlineStr">
        <is>
          <t>SÖDERHAMN</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58082-2024</t>
        </is>
      </c>
      <c r="B13446" s="1" t="n">
        <v>45632</v>
      </c>
      <c r="C13446" s="1" t="n">
        <v>45677</v>
      </c>
      <c r="D13446" t="inlineStr">
        <is>
          <t>GÄVLEBORGS LÄN</t>
        </is>
      </c>
      <c r="E13446" t="inlineStr">
        <is>
          <t>SÖDERHAMN</t>
        </is>
      </c>
      <c r="F13446" t="inlineStr">
        <is>
          <t>Bergvik skog väst AB</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58077-2024</t>
        </is>
      </c>
      <c r="B13447" s="1" t="n">
        <v>45632</v>
      </c>
      <c r="C13447" s="1" t="n">
        <v>45677</v>
      </c>
      <c r="D13447" t="inlineStr">
        <is>
          <t>GÄVLEBORGS LÄN</t>
        </is>
      </c>
      <c r="E13447" t="inlineStr">
        <is>
          <t>SÖDERHAMN</t>
        </is>
      </c>
      <c r="F13447" t="inlineStr">
        <is>
          <t>Bergvik skog väst AB</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58280-2024</t>
        </is>
      </c>
      <c r="B13448" s="1" t="n">
        <v>45632</v>
      </c>
      <c r="C13448" s="1" t="n">
        <v>45677</v>
      </c>
      <c r="D13448" t="inlineStr">
        <is>
          <t>GÄVLEBORGS LÄN</t>
        </is>
      </c>
      <c r="E13448" t="inlineStr">
        <is>
          <t>OVANÅKER</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58322-2024</t>
        </is>
      </c>
      <c r="B13449" s="1" t="n">
        <v>45632</v>
      </c>
      <c r="C13449" s="1" t="n">
        <v>45677</v>
      </c>
      <c r="D13449" t="inlineStr">
        <is>
          <t>GÄVLEBORGS LÄN</t>
        </is>
      </c>
      <c r="E13449" t="inlineStr">
        <is>
          <t>LJUSDAL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58339-2024</t>
        </is>
      </c>
      <c r="B13450" s="1" t="n">
        <v>45632</v>
      </c>
      <c r="C13450" s="1" t="n">
        <v>45677</v>
      </c>
      <c r="D13450" t="inlineStr">
        <is>
          <t>GÄVLEBORGS LÄN</t>
        </is>
      </c>
      <c r="E13450" t="inlineStr">
        <is>
          <t>HUDIKSVALL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58093-2024</t>
        </is>
      </c>
      <c r="B13451" s="1" t="n">
        <v>45632</v>
      </c>
      <c r="C13451" s="1" t="n">
        <v>45677</v>
      </c>
      <c r="D13451" t="inlineStr">
        <is>
          <t>GÄVLEBORGS LÄN</t>
        </is>
      </c>
      <c r="E13451" t="inlineStr">
        <is>
          <t>SÖDERHAMN</t>
        </is>
      </c>
      <c r="F13451" t="inlineStr">
        <is>
          <t>Bergvik skog väst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58143-2024</t>
        </is>
      </c>
      <c r="B13452" s="1" t="n">
        <v>45632</v>
      </c>
      <c r="C13452" s="1" t="n">
        <v>45677</v>
      </c>
      <c r="D13452" t="inlineStr">
        <is>
          <t>GÄVLEBORGS LÄN</t>
        </is>
      </c>
      <c r="E13452" t="inlineStr">
        <is>
          <t>SÖDERHAMN</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58261-2024</t>
        </is>
      </c>
      <c r="B13453" s="1" t="n">
        <v>45632</v>
      </c>
      <c r="C13453" s="1" t="n">
        <v>45677</v>
      </c>
      <c r="D13453" t="inlineStr">
        <is>
          <t>GÄVLEBORGS LÄN</t>
        </is>
      </c>
      <c r="E13453" t="inlineStr">
        <is>
          <t>SÖDERHAMN</t>
        </is>
      </c>
      <c r="F13453" t="inlineStr">
        <is>
          <t>Bergvik skog väst AB</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58281-2024</t>
        </is>
      </c>
      <c r="B13454" s="1" t="n">
        <v>45632</v>
      </c>
      <c r="C13454" s="1" t="n">
        <v>45677</v>
      </c>
      <c r="D13454" t="inlineStr">
        <is>
          <t>GÄVLEBORGS LÄN</t>
        </is>
      </c>
      <c r="E13454" t="inlineStr">
        <is>
          <t>SÖDERHAMN</t>
        </is>
      </c>
      <c r="F13454" t="inlineStr">
        <is>
          <t>Bergvik skog väst AB</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58372-2024</t>
        </is>
      </c>
      <c r="B13455" s="1" t="n">
        <v>45632</v>
      </c>
      <c r="C13455" s="1" t="n">
        <v>45677</v>
      </c>
      <c r="D13455" t="inlineStr">
        <is>
          <t>GÄVLEBORGS LÄN</t>
        </is>
      </c>
      <c r="E13455" t="inlineStr">
        <is>
          <t>LJUSDAL</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58112-2024</t>
        </is>
      </c>
      <c r="B13456" s="1" t="n">
        <v>45632</v>
      </c>
      <c r="C13456" s="1" t="n">
        <v>45677</v>
      </c>
      <c r="D13456" t="inlineStr">
        <is>
          <t>GÄVLEBORGS LÄN</t>
        </is>
      </c>
      <c r="E13456" t="inlineStr">
        <is>
          <t>NORDANSTIG</t>
        </is>
      </c>
      <c r="F13456" t="inlineStr">
        <is>
          <t>Holmen skog AB</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58116-2024</t>
        </is>
      </c>
      <c r="B13457" s="1" t="n">
        <v>45632</v>
      </c>
      <c r="C13457" s="1" t="n">
        <v>45677</v>
      </c>
      <c r="D13457" t="inlineStr">
        <is>
          <t>GÄVLEBORGS LÄN</t>
        </is>
      </c>
      <c r="E13457" t="inlineStr">
        <is>
          <t>OCKELBO</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58141-2024</t>
        </is>
      </c>
      <c r="B13458" s="1" t="n">
        <v>45632</v>
      </c>
      <c r="C13458" s="1" t="n">
        <v>45677</v>
      </c>
      <c r="D13458" t="inlineStr">
        <is>
          <t>GÄVLEBORGS LÄN</t>
        </is>
      </c>
      <c r="E13458" t="inlineStr">
        <is>
          <t>SÖDERHAMN</t>
        </is>
      </c>
      <c r="F13458" t="inlineStr">
        <is>
          <t>Bergvik skog väst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58157-2024</t>
        </is>
      </c>
      <c r="B13459" s="1" t="n">
        <v>45632</v>
      </c>
      <c r="C13459" s="1" t="n">
        <v>45677</v>
      </c>
      <c r="D13459" t="inlineStr">
        <is>
          <t>GÄVLEBORGS LÄN</t>
        </is>
      </c>
      <c r="E13459" t="inlineStr">
        <is>
          <t>OCKELBO</t>
        </is>
      </c>
      <c r="F13459" t="inlineStr">
        <is>
          <t>Bergvik skog öst AB</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58173-2024</t>
        </is>
      </c>
      <c r="B13460" s="1" t="n">
        <v>45632</v>
      </c>
      <c r="C13460" s="1" t="n">
        <v>45677</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58329-2024</t>
        </is>
      </c>
      <c r="B13461" s="1" t="n">
        <v>45632</v>
      </c>
      <c r="C13461" s="1" t="n">
        <v>45677</v>
      </c>
      <c r="D13461" t="inlineStr">
        <is>
          <t>GÄVLEBORGS LÄN</t>
        </is>
      </c>
      <c r="E13461" t="inlineStr">
        <is>
          <t>BOLLNÄS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58370-2024</t>
        </is>
      </c>
      <c r="B13462" s="1" t="n">
        <v>45632</v>
      </c>
      <c r="C13462" s="1" t="n">
        <v>45677</v>
      </c>
      <c r="D13462" t="inlineStr">
        <is>
          <t>GÄVLEBORGS LÄN</t>
        </is>
      </c>
      <c r="E13462" t="inlineStr">
        <is>
          <t>GÄVLE</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58099-2024</t>
        </is>
      </c>
      <c r="B13463" s="1" t="n">
        <v>45632</v>
      </c>
      <c r="C13463" s="1" t="n">
        <v>45677</v>
      </c>
      <c r="D13463" t="inlineStr">
        <is>
          <t>GÄVLEBORGS LÄN</t>
        </is>
      </c>
      <c r="E13463" t="inlineStr">
        <is>
          <t>SÖDERHAMN</t>
        </is>
      </c>
      <c r="F13463" t="inlineStr">
        <is>
          <t>Bergvik skog väst AB</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58156-2024</t>
        </is>
      </c>
      <c r="B13464" s="1" t="n">
        <v>45632</v>
      </c>
      <c r="C13464" s="1" t="n">
        <v>45677</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58168-2024</t>
        </is>
      </c>
      <c r="B13465" s="1" t="n">
        <v>45632</v>
      </c>
      <c r="C13465" s="1" t="n">
        <v>45677</v>
      </c>
      <c r="D13465" t="inlineStr">
        <is>
          <t>GÄVLEBORGS LÄN</t>
        </is>
      </c>
      <c r="E13465" t="inlineStr">
        <is>
          <t>LJUSDAL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58180-2024</t>
        </is>
      </c>
      <c r="B13466" s="1" t="n">
        <v>45632</v>
      </c>
      <c r="C13466" s="1" t="n">
        <v>45677</v>
      </c>
      <c r="D13466" t="inlineStr">
        <is>
          <t>GÄVLEBORGS LÄN</t>
        </is>
      </c>
      <c r="E13466" t="inlineStr">
        <is>
          <t>SÖDERHAMN</t>
        </is>
      </c>
      <c r="F13466" t="inlineStr">
        <is>
          <t>Bergvik skog väst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58192-2024</t>
        </is>
      </c>
      <c r="B13467" s="1" t="n">
        <v>45632</v>
      </c>
      <c r="C13467" s="1" t="n">
        <v>45677</v>
      </c>
      <c r="D13467" t="inlineStr">
        <is>
          <t>GÄVLEBORGS LÄN</t>
        </is>
      </c>
      <c r="E13467" t="inlineStr">
        <is>
          <t>GÄVLE</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58196-2024</t>
        </is>
      </c>
      <c r="B13468" s="1" t="n">
        <v>45632</v>
      </c>
      <c r="C13468" s="1" t="n">
        <v>45677</v>
      </c>
      <c r="D13468" t="inlineStr">
        <is>
          <t>GÄVLEBORGS LÄN</t>
        </is>
      </c>
      <c r="E13468" t="inlineStr">
        <is>
          <t>GÄVLE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58204-2024</t>
        </is>
      </c>
      <c r="B13469" s="1" t="n">
        <v>45632</v>
      </c>
      <c r="C13469" s="1" t="n">
        <v>45677</v>
      </c>
      <c r="D13469" t="inlineStr">
        <is>
          <t>GÄVLEBORGS LÄN</t>
        </is>
      </c>
      <c r="E13469" t="inlineStr">
        <is>
          <t>GÄVLE</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58320-2024</t>
        </is>
      </c>
      <c r="B13470" s="1" t="n">
        <v>45632</v>
      </c>
      <c r="C13470" s="1" t="n">
        <v>45677</v>
      </c>
      <c r="D13470" t="inlineStr">
        <is>
          <t>GÄVLEBORGS LÄN</t>
        </is>
      </c>
      <c r="E13470" t="inlineStr">
        <is>
          <t>LJUSDAL</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58373-2024</t>
        </is>
      </c>
      <c r="B13471" s="1" t="n">
        <v>45632</v>
      </c>
      <c r="C13471" s="1" t="n">
        <v>45677</v>
      </c>
      <c r="D13471" t="inlineStr">
        <is>
          <t>GÄVLEBORGS LÄN</t>
        </is>
      </c>
      <c r="E13471" t="inlineStr">
        <is>
          <t>GÄVLE</t>
        </is>
      </c>
      <c r="G13471" t="n">
        <v>13.1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58604-2024</t>
        </is>
      </c>
      <c r="B13472" s="1" t="n">
        <v>45632</v>
      </c>
      <c r="C13472" s="1" t="n">
        <v>45677</v>
      </c>
      <c r="D13472" t="inlineStr">
        <is>
          <t>GÄVLEBORGS LÄN</t>
        </is>
      </c>
      <c r="E13472" t="inlineStr">
        <is>
          <t>LJUSDAL</t>
        </is>
      </c>
      <c r="G13472" t="n">
        <v>5.6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58645-2024</t>
        </is>
      </c>
      <c r="B13473" s="1" t="n">
        <v>45632</v>
      </c>
      <c r="C13473" s="1" t="n">
        <v>45677</v>
      </c>
      <c r="D13473" t="inlineStr">
        <is>
          <t>GÄVLEBORGS LÄN</t>
        </is>
      </c>
      <c r="E13473" t="inlineStr">
        <is>
          <t>OVANÅKER</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58512-2024</t>
        </is>
      </c>
      <c r="B13474" s="1" t="n">
        <v>45635</v>
      </c>
      <c r="C13474" s="1" t="n">
        <v>45677</v>
      </c>
      <c r="D13474" t="inlineStr">
        <is>
          <t>GÄVLEBORGS LÄN</t>
        </is>
      </c>
      <c r="E13474" t="inlineStr">
        <is>
          <t>HUDIKSVALL</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58549-2024</t>
        </is>
      </c>
      <c r="B13475" s="1" t="n">
        <v>45635</v>
      </c>
      <c r="C13475" s="1" t="n">
        <v>45677</v>
      </c>
      <c r="D13475" t="inlineStr">
        <is>
          <t>GÄVLEBORGS LÄN</t>
        </is>
      </c>
      <c r="E13475" t="inlineStr">
        <is>
          <t>SANDVIKEN</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58585-2024</t>
        </is>
      </c>
      <c r="B13476" s="1" t="n">
        <v>45635</v>
      </c>
      <c r="C13476" s="1" t="n">
        <v>45677</v>
      </c>
      <c r="D13476" t="inlineStr">
        <is>
          <t>GÄVLEBORGS LÄN</t>
        </is>
      </c>
      <c r="E13476" t="inlineStr">
        <is>
          <t>SÖDERHAMN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58599-2024</t>
        </is>
      </c>
      <c r="B13477" s="1" t="n">
        <v>45635</v>
      </c>
      <c r="C13477" s="1" t="n">
        <v>45677</v>
      </c>
      <c r="D13477" t="inlineStr">
        <is>
          <t>GÄVLEBORGS LÄN</t>
        </is>
      </c>
      <c r="E13477" t="inlineStr">
        <is>
          <t>LJUSDAL</t>
        </is>
      </c>
      <c r="F13477" t="inlineStr">
        <is>
          <t>Allmännings- och besparingsskogar</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58718-2024</t>
        </is>
      </c>
      <c r="B13478" s="1" t="n">
        <v>45635</v>
      </c>
      <c r="C13478" s="1" t="n">
        <v>45677</v>
      </c>
      <c r="D13478" t="inlineStr">
        <is>
          <t>GÄVLEBORGS LÄN</t>
        </is>
      </c>
      <c r="E13478" t="inlineStr">
        <is>
          <t>LJUSDAL</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58473-2024</t>
        </is>
      </c>
      <c r="B13479" s="1" t="n">
        <v>45635</v>
      </c>
      <c r="C13479" s="1" t="n">
        <v>45677</v>
      </c>
      <c r="D13479" t="inlineStr">
        <is>
          <t>GÄVLEBORGS LÄN</t>
        </is>
      </c>
      <c r="E13479" t="inlineStr">
        <is>
          <t>HUDIKSVALL</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45677</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45677</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58488-2024</t>
        </is>
      </c>
      <c r="B13482" s="1" t="n">
        <v>45635</v>
      </c>
      <c r="C13482" s="1" t="n">
        <v>45677</v>
      </c>
      <c r="D13482" t="inlineStr">
        <is>
          <t>GÄVLEBORGS LÄN</t>
        </is>
      </c>
      <c r="E13482" t="inlineStr">
        <is>
          <t>SÖDERHAMN</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58538-2024</t>
        </is>
      </c>
      <c r="B13483" s="1" t="n">
        <v>45635</v>
      </c>
      <c r="C13483" s="1" t="n">
        <v>45677</v>
      </c>
      <c r="D13483" t="inlineStr">
        <is>
          <t>GÄVLEBORGS LÄN</t>
        </is>
      </c>
      <c r="E13483" t="inlineStr">
        <is>
          <t>HUDIKSVALL</t>
        </is>
      </c>
      <c r="G13483" t="n">
        <v>6.3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58748-2024</t>
        </is>
      </c>
      <c r="B13484" s="1" t="n">
        <v>45635</v>
      </c>
      <c r="C13484" s="1" t="n">
        <v>45677</v>
      </c>
      <c r="D13484" t="inlineStr">
        <is>
          <t>GÄVLEBORGS LÄN</t>
        </is>
      </c>
      <c r="E13484" t="inlineStr">
        <is>
          <t>BOLLNÄS</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58749-2024</t>
        </is>
      </c>
      <c r="B13485" s="1" t="n">
        <v>45635</v>
      </c>
      <c r="C13485" s="1" t="n">
        <v>45677</v>
      </c>
      <c r="D13485" t="inlineStr">
        <is>
          <t>GÄVLEBORGS LÄN</t>
        </is>
      </c>
      <c r="E13485" t="inlineStr">
        <is>
          <t>NORDANSTIG</t>
        </is>
      </c>
      <c r="F13485" t="inlineStr">
        <is>
          <t>Holmen skog AB</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58799-2024</t>
        </is>
      </c>
      <c r="B13486" s="1" t="n">
        <v>45636</v>
      </c>
      <c r="C13486" s="1" t="n">
        <v>45677</v>
      </c>
      <c r="D13486" t="inlineStr">
        <is>
          <t>GÄVLEBORGS LÄN</t>
        </is>
      </c>
      <c r="E13486" t="inlineStr">
        <is>
          <t>SÖDERHAMN</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59043-2024</t>
        </is>
      </c>
      <c r="B13487" s="1" t="n">
        <v>45636</v>
      </c>
      <c r="C13487" s="1" t="n">
        <v>45677</v>
      </c>
      <c r="D13487" t="inlineStr">
        <is>
          <t>GÄVLEBORGS LÄN</t>
        </is>
      </c>
      <c r="E13487" t="inlineStr">
        <is>
          <t>NORDANSTIG</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59048-2024</t>
        </is>
      </c>
      <c r="B13488" s="1" t="n">
        <v>45636</v>
      </c>
      <c r="C13488" s="1" t="n">
        <v>45677</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58894-2024</t>
        </is>
      </c>
      <c r="B13489" s="1" t="n">
        <v>45636</v>
      </c>
      <c r="C13489" s="1" t="n">
        <v>45677</v>
      </c>
      <c r="D13489" t="inlineStr">
        <is>
          <t>GÄVLEBORGS LÄN</t>
        </is>
      </c>
      <c r="E13489" t="inlineStr">
        <is>
          <t>LJUSDAL</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58872-2024</t>
        </is>
      </c>
      <c r="B13490" s="1" t="n">
        <v>45636</v>
      </c>
      <c r="C13490" s="1" t="n">
        <v>45677</v>
      </c>
      <c r="D13490" t="inlineStr">
        <is>
          <t>GÄVLEBORGS LÄN</t>
        </is>
      </c>
      <c r="E13490" t="inlineStr">
        <is>
          <t>NORDANSTIG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58912-2024</t>
        </is>
      </c>
      <c r="B13491" s="1" t="n">
        <v>45636</v>
      </c>
      <c r="C13491" s="1" t="n">
        <v>45677</v>
      </c>
      <c r="D13491" t="inlineStr">
        <is>
          <t>GÄVLEBORGS LÄN</t>
        </is>
      </c>
      <c r="E13491" t="inlineStr">
        <is>
          <t>NORDANSTIG</t>
        </is>
      </c>
      <c r="F13491" t="inlineStr">
        <is>
          <t>Holmen skog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58810-2024</t>
        </is>
      </c>
      <c r="B13492" s="1" t="n">
        <v>45636</v>
      </c>
      <c r="C13492" s="1" t="n">
        <v>45677</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58796-2024</t>
        </is>
      </c>
      <c r="B13493" s="1" t="n">
        <v>45636</v>
      </c>
      <c r="C13493" s="1" t="n">
        <v>45677</v>
      </c>
      <c r="D13493" t="inlineStr">
        <is>
          <t>GÄVLEBORGS LÄN</t>
        </is>
      </c>
      <c r="E13493" t="inlineStr">
        <is>
          <t>SANDVIKEN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58891-2024</t>
        </is>
      </c>
      <c r="B13494" s="1" t="n">
        <v>45636</v>
      </c>
      <c r="C13494" s="1" t="n">
        <v>45677</v>
      </c>
      <c r="D13494" t="inlineStr">
        <is>
          <t>GÄVLEBORGS LÄN</t>
        </is>
      </c>
      <c r="E13494" t="inlineStr">
        <is>
          <t>NORDANSTIG</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58873-2024</t>
        </is>
      </c>
      <c r="B13495" s="1" t="n">
        <v>45636</v>
      </c>
      <c r="C13495" s="1" t="n">
        <v>45677</v>
      </c>
      <c r="D13495" t="inlineStr">
        <is>
          <t>GÄVLEBORGS LÄN</t>
        </is>
      </c>
      <c r="E13495" t="inlineStr">
        <is>
          <t>GÄVLE</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58802-2024</t>
        </is>
      </c>
      <c r="B13496" s="1" t="n">
        <v>45636</v>
      </c>
      <c r="C13496" s="1" t="n">
        <v>45677</v>
      </c>
      <c r="D13496" t="inlineStr">
        <is>
          <t>GÄVLEBORGS LÄN</t>
        </is>
      </c>
      <c r="E13496" t="inlineStr">
        <is>
          <t>LJUSDAL</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58797-2024</t>
        </is>
      </c>
      <c r="B13497" s="1" t="n">
        <v>45636</v>
      </c>
      <c r="C13497" s="1" t="n">
        <v>45677</v>
      </c>
      <c r="D13497" t="inlineStr">
        <is>
          <t>GÄVLEBORGS LÄN</t>
        </is>
      </c>
      <c r="E13497" t="inlineStr">
        <is>
          <t>SANDVIKEN</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58885-2024</t>
        </is>
      </c>
      <c r="B13498" s="1" t="n">
        <v>45636</v>
      </c>
      <c r="C13498" s="1" t="n">
        <v>45677</v>
      </c>
      <c r="D13498" t="inlineStr">
        <is>
          <t>GÄVLEBORGS LÄN</t>
        </is>
      </c>
      <c r="E13498" t="inlineStr">
        <is>
          <t>SANDVIKEN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58877-2024</t>
        </is>
      </c>
      <c r="B13499" s="1" t="n">
        <v>45636</v>
      </c>
      <c r="C13499" s="1" t="n">
        <v>45677</v>
      </c>
      <c r="D13499" t="inlineStr">
        <is>
          <t>GÄVLEBORGS LÄN</t>
        </is>
      </c>
      <c r="E13499" t="inlineStr">
        <is>
          <t>BOLLNÄS</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58867-2024</t>
        </is>
      </c>
      <c r="B13500" s="1" t="n">
        <v>45636</v>
      </c>
      <c r="C13500" s="1" t="n">
        <v>45677</v>
      </c>
      <c r="D13500" t="inlineStr">
        <is>
          <t>GÄVLEBORGS LÄN</t>
        </is>
      </c>
      <c r="E13500" t="inlineStr">
        <is>
          <t>SÖDERHAMN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58821-2024</t>
        </is>
      </c>
      <c r="B13501" s="1" t="n">
        <v>45636</v>
      </c>
      <c r="C13501" s="1" t="n">
        <v>45677</v>
      </c>
      <c r="D13501" t="inlineStr">
        <is>
          <t>GÄVLEBORGS LÄN</t>
        </is>
      </c>
      <c r="E13501" t="inlineStr">
        <is>
          <t>SÖDERHAMN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58870-2024</t>
        </is>
      </c>
      <c r="B13502" s="1" t="n">
        <v>45636</v>
      </c>
      <c r="C13502" s="1" t="n">
        <v>45677</v>
      </c>
      <c r="D13502" t="inlineStr">
        <is>
          <t>GÄVLEBORGS LÄN</t>
        </is>
      </c>
      <c r="E13502" t="inlineStr">
        <is>
          <t>SÖDERHAMN</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58876-2024</t>
        </is>
      </c>
      <c r="B13503" s="1" t="n">
        <v>45636</v>
      </c>
      <c r="C13503" s="1" t="n">
        <v>45677</v>
      </c>
      <c r="D13503" t="inlineStr">
        <is>
          <t>GÄVLEBORGS LÄN</t>
        </is>
      </c>
      <c r="E13503" t="inlineStr">
        <is>
          <t>NORDANSTIG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58900-2024</t>
        </is>
      </c>
      <c r="B13504" s="1" t="n">
        <v>45636</v>
      </c>
      <c r="C13504" s="1" t="n">
        <v>45677</v>
      </c>
      <c r="D13504" t="inlineStr">
        <is>
          <t>GÄVLEBORGS LÄN</t>
        </is>
      </c>
      <c r="E13504" t="inlineStr">
        <is>
          <t>LJUSDAL</t>
        </is>
      </c>
      <c r="G13504" t="n">
        <v>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59118-2024</t>
        </is>
      </c>
      <c r="B13505" s="1" t="n">
        <v>45637</v>
      </c>
      <c r="C13505" s="1" t="n">
        <v>45677</v>
      </c>
      <c r="D13505" t="inlineStr">
        <is>
          <t>GÄVLEBORGS LÄN</t>
        </is>
      </c>
      <c r="E13505" t="inlineStr">
        <is>
          <t>OVANÅKER</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59150-2024</t>
        </is>
      </c>
      <c r="B13506" s="1" t="n">
        <v>45637</v>
      </c>
      <c r="C13506" s="1" t="n">
        <v>45677</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59154-2024</t>
        </is>
      </c>
      <c r="B13507" s="1" t="n">
        <v>45637</v>
      </c>
      <c r="C13507" s="1" t="n">
        <v>45677</v>
      </c>
      <c r="D13507" t="inlineStr">
        <is>
          <t>GÄVLEBORGS LÄN</t>
        </is>
      </c>
      <c r="E13507" t="inlineStr">
        <is>
          <t>GÄVLE</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59237-2024</t>
        </is>
      </c>
      <c r="B13508" s="1" t="n">
        <v>45637</v>
      </c>
      <c r="C13508" s="1" t="n">
        <v>45677</v>
      </c>
      <c r="D13508" t="inlineStr">
        <is>
          <t>GÄVLEBORGS LÄN</t>
        </is>
      </c>
      <c r="E13508" t="inlineStr">
        <is>
          <t>BOLLNÄS</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59243-2024</t>
        </is>
      </c>
      <c r="B13509" s="1" t="n">
        <v>45637</v>
      </c>
      <c r="C13509" s="1" t="n">
        <v>45677</v>
      </c>
      <c r="D13509" t="inlineStr">
        <is>
          <t>GÄVLEBORGS LÄN</t>
        </is>
      </c>
      <c r="E13509" t="inlineStr">
        <is>
          <t>BOLLNÄS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59119-2024</t>
        </is>
      </c>
      <c r="B13510" s="1" t="n">
        <v>45637</v>
      </c>
      <c r="C13510" s="1" t="n">
        <v>45677</v>
      </c>
      <c r="D13510" t="inlineStr">
        <is>
          <t>GÄVLEBORGS LÄN</t>
        </is>
      </c>
      <c r="E13510" t="inlineStr">
        <is>
          <t>OVANÅKER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59128-2024</t>
        </is>
      </c>
      <c r="B13511" s="1" t="n">
        <v>45637</v>
      </c>
      <c r="C13511" s="1" t="n">
        <v>45677</v>
      </c>
      <c r="D13511" t="inlineStr">
        <is>
          <t>GÄVLEBORGS LÄN</t>
        </is>
      </c>
      <c r="E13511" t="inlineStr">
        <is>
          <t>NORDANSTIG</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59149-2024</t>
        </is>
      </c>
      <c r="B13512" s="1" t="n">
        <v>45637</v>
      </c>
      <c r="C13512" s="1" t="n">
        <v>45677</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59099-2024</t>
        </is>
      </c>
      <c r="B13513" s="1" t="n">
        <v>45637</v>
      </c>
      <c r="C13513" s="1" t="n">
        <v>45677</v>
      </c>
      <c r="D13513" t="inlineStr">
        <is>
          <t>GÄVLEBORGS LÄN</t>
        </is>
      </c>
      <c r="E13513" t="inlineStr">
        <is>
          <t>GÄVLE</t>
        </is>
      </c>
      <c r="F13513" t="inlineStr">
        <is>
          <t>Bergvik skog öst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59251-2024</t>
        </is>
      </c>
      <c r="B13514" s="1" t="n">
        <v>45637</v>
      </c>
      <c r="C13514" s="1" t="n">
        <v>45677</v>
      </c>
      <c r="D13514" t="inlineStr">
        <is>
          <t>GÄVLEBORGS LÄN</t>
        </is>
      </c>
      <c r="E13514" t="inlineStr">
        <is>
          <t>LJUSDAL</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59297-2024</t>
        </is>
      </c>
      <c r="B13515" s="1" t="n">
        <v>45637</v>
      </c>
      <c r="C13515" s="1" t="n">
        <v>45677</v>
      </c>
      <c r="D13515" t="inlineStr">
        <is>
          <t>GÄVLEBORGS LÄN</t>
        </is>
      </c>
      <c r="E13515" t="inlineStr">
        <is>
          <t>NORDANSTIG</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59301-2024</t>
        </is>
      </c>
      <c r="B13516" s="1" t="n">
        <v>45637</v>
      </c>
      <c r="C13516" s="1" t="n">
        <v>45677</v>
      </c>
      <c r="D13516" t="inlineStr">
        <is>
          <t>GÄVLEBORGS LÄN</t>
        </is>
      </c>
      <c r="E13516" t="inlineStr">
        <is>
          <t>SÖDERHAMN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59130-2024</t>
        </is>
      </c>
      <c r="B13517" s="1" t="n">
        <v>45637</v>
      </c>
      <c r="C13517" s="1" t="n">
        <v>45677</v>
      </c>
      <c r="D13517" t="inlineStr">
        <is>
          <t>GÄVLEBORGS LÄN</t>
        </is>
      </c>
      <c r="E13517" t="inlineStr">
        <is>
          <t>HOFORS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59252-2024</t>
        </is>
      </c>
      <c r="B13518" s="1" t="n">
        <v>45637</v>
      </c>
      <c r="C13518" s="1" t="n">
        <v>45677</v>
      </c>
      <c r="D13518" t="inlineStr">
        <is>
          <t>GÄVLEBORGS LÄN</t>
        </is>
      </c>
      <c r="E13518" t="inlineStr">
        <is>
          <t>LJUSDAL</t>
        </is>
      </c>
      <c r="G13518" t="n">
        <v>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59233-2024</t>
        </is>
      </c>
      <c r="B13519" s="1" t="n">
        <v>45637</v>
      </c>
      <c r="C13519" s="1" t="n">
        <v>45677</v>
      </c>
      <c r="D13519" t="inlineStr">
        <is>
          <t>GÄVLEBORGS LÄN</t>
        </is>
      </c>
      <c r="E13519" t="inlineStr">
        <is>
          <t>OCKELBO</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59354-2024</t>
        </is>
      </c>
      <c r="B13520" s="1" t="n">
        <v>45638</v>
      </c>
      <c r="C13520" s="1" t="n">
        <v>45677</v>
      </c>
      <c r="D13520" t="inlineStr">
        <is>
          <t>GÄVLEBORGS LÄN</t>
        </is>
      </c>
      <c r="E13520" t="inlineStr">
        <is>
          <t>OVANÅKER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59586-2024</t>
        </is>
      </c>
      <c r="B13521" s="1" t="n">
        <v>45638</v>
      </c>
      <c r="C13521" s="1" t="n">
        <v>45677</v>
      </c>
      <c r="D13521" t="inlineStr">
        <is>
          <t>GÄVLEBORGS LÄN</t>
        </is>
      </c>
      <c r="E13521" t="inlineStr">
        <is>
          <t>SÖDERHAMN</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59614-2024</t>
        </is>
      </c>
      <c r="B13522" s="1" t="n">
        <v>45638</v>
      </c>
      <c r="C13522" s="1" t="n">
        <v>45677</v>
      </c>
      <c r="D13522" t="inlineStr">
        <is>
          <t>GÄVLEBORGS LÄN</t>
        </is>
      </c>
      <c r="E13522" t="inlineStr">
        <is>
          <t>SANDVIKEN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59373-2024</t>
        </is>
      </c>
      <c r="B13523" s="1" t="n">
        <v>45638</v>
      </c>
      <c r="C13523" s="1" t="n">
        <v>45677</v>
      </c>
      <c r="D13523" t="inlineStr">
        <is>
          <t>GÄVLEBORGS LÄN</t>
        </is>
      </c>
      <c r="E13523" t="inlineStr">
        <is>
          <t>SANDVIKEN</t>
        </is>
      </c>
      <c r="F13523" t="inlineStr">
        <is>
          <t>Bergvik skog öst AB</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59451-2024</t>
        </is>
      </c>
      <c r="B13524" s="1" t="n">
        <v>45638</v>
      </c>
      <c r="C13524" s="1" t="n">
        <v>45677</v>
      </c>
      <c r="D13524" t="inlineStr">
        <is>
          <t>GÄVLEBORGS LÄN</t>
        </is>
      </c>
      <c r="E13524" t="inlineStr">
        <is>
          <t>OCKELBO</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59361-2024</t>
        </is>
      </c>
      <c r="B13525" s="1" t="n">
        <v>45638</v>
      </c>
      <c r="C13525" s="1" t="n">
        <v>45677</v>
      </c>
      <c r="D13525" t="inlineStr">
        <is>
          <t>GÄVLEBORGS LÄN</t>
        </is>
      </c>
      <c r="E13525" t="inlineStr">
        <is>
          <t>BOLLNÄS</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59353-2024</t>
        </is>
      </c>
      <c r="B13526" s="1" t="n">
        <v>45638</v>
      </c>
      <c r="C13526" s="1" t="n">
        <v>45677</v>
      </c>
      <c r="D13526" t="inlineStr">
        <is>
          <t>GÄVLEBORGS LÄN</t>
        </is>
      </c>
      <c r="E13526" t="inlineStr">
        <is>
          <t>OVANÅKER</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59379-2024</t>
        </is>
      </c>
      <c r="B13527" s="1" t="n">
        <v>45638</v>
      </c>
      <c r="C13527" s="1" t="n">
        <v>45677</v>
      </c>
      <c r="D13527" t="inlineStr">
        <is>
          <t>GÄVLEBORGS LÄN</t>
        </is>
      </c>
      <c r="E13527" t="inlineStr">
        <is>
          <t>GÄVLE</t>
        </is>
      </c>
      <c r="F13527" t="inlineStr">
        <is>
          <t>Bergvik skog öst AB</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59384-2024</t>
        </is>
      </c>
      <c r="B13528" s="1" t="n">
        <v>45638</v>
      </c>
      <c r="C13528" s="1" t="n">
        <v>45677</v>
      </c>
      <c r="D13528" t="inlineStr">
        <is>
          <t>GÄVLEBORGS LÄN</t>
        </is>
      </c>
      <c r="E13528" t="inlineStr">
        <is>
          <t>SANDVIKEN</t>
        </is>
      </c>
      <c r="F13528" t="inlineStr">
        <is>
          <t>Bergvik skog öst AB</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59360-2024</t>
        </is>
      </c>
      <c r="B13529" s="1" t="n">
        <v>45638</v>
      </c>
      <c r="C13529" s="1" t="n">
        <v>45677</v>
      </c>
      <c r="D13529" t="inlineStr">
        <is>
          <t>GÄVLEBORGS LÄN</t>
        </is>
      </c>
      <c r="E13529" t="inlineStr">
        <is>
          <t>BOLLNÄS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59844-2024</t>
        </is>
      </c>
      <c r="B13530" s="1" t="n">
        <v>45639</v>
      </c>
      <c r="C13530" s="1" t="n">
        <v>45677</v>
      </c>
      <c r="D13530" t="inlineStr">
        <is>
          <t>GÄVLEBORGS LÄN</t>
        </is>
      </c>
      <c r="E13530" t="inlineStr">
        <is>
          <t>BOLLNÄS</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45677</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59822-2024</t>
        </is>
      </c>
      <c r="B13532" s="1" t="n">
        <v>45639</v>
      </c>
      <c r="C13532" s="1" t="n">
        <v>45677</v>
      </c>
      <c r="D13532" t="inlineStr">
        <is>
          <t>GÄVLEBORGS LÄN</t>
        </is>
      </c>
      <c r="E13532" t="inlineStr">
        <is>
          <t>HUDIKSVALL</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45677</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45677</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45677</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59772-2024</t>
        </is>
      </c>
      <c r="B13536" s="1" t="n">
        <v>45639</v>
      </c>
      <c r="C13536" s="1" t="n">
        <v>45677</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59750-2024</t>
        </is>
      </c>
      <c r="B13537" s="1" t="n">
        <v>45639</v>
      </c>
      <c r="C13537" s="1" t="n">
        <v>45677</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59851-2024</t>
        </is>
      </c>
      <c r="B13538" s="1" t="n">
        <v>45639</v>
      </c>
      <c r="C13538" s="1" t="n">
        <v>45677</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59636-2024</t>
        </is>
      </c>
      <c r="B13539" s="1" t="n">
        <v>45639</v>
      </c>
      <c r="C13539" s="1" t="n">
        <v>45677</v>
      </c>
      <c r="D13539" t="inlineStr">
        <is>
          <t>GÄVLEBORGS LÄN</t>
        </is>
      </c>
      <c r="E13539" t="inlineStr">
        <is>
          <t>BOLLNÄS</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59638-2024</t>
        </is>
      </c>
      <c r="B13540" s="1" t="n">
        <v>45639</v>
      </c>
      <c r="C13540" s="1" t="n">
        <v>45677</v>
      </c>
      <c r="D13540" t="inlineStr">
        <is>
          <t>GÄVLEBORGS LÄN</t>
        </is>
      </c>
      <c r="E13540" t="inlineStr">
        <is>
          <t>BOLLNÄS</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59661-2024</t>
        </is>
      </c>
      <c r="B13541" s="1" t="n">
        <v>45639</v>
      </c>
      <c r="C13541" s="1" t="n">
        <v>45677</v>
      </c>
      <c r="D13541" t="inlineStr">
        <is>
          <t>GÄVLEBORGS LÄN</t>
        </is>
      </c>
      <c r="E13541" t="inlineStr">
        <is>
          <t>SANDVIKEN</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59637-2024</t>
        </is>
      </c>
      <c r="B13542" s="1" t="n">
        <v>45639</v>
      </c>
      <c r="C13542" s="1" t="n">
        <v>45677</v>
      </c>
      <c r="D13542" t="inlineStr">
        <is>
          <t>GÄVLEBORGS LÄN</t>
        </is>
      </c>
      <c r="E13542" t="inlineStr">
        <is>
          <t>BOLLNÄS</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59912-2024</t>
        </is>
      </c>
      <c r="B13543" s="1" t="n">
        <v>45641</v>
      </c>
      <c r="C13543" s="1" t="n">
        <v>45677</v>
      </c>
      <c r="D13543" t="inlineStr">
        <is>
          <t>GÄVLEBORGS LÄN</t>
        </is>
      </c>
      <c r="E13543" t="inlineStr">
        <is>
          <t>NORDANSTIG</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59924-2024</t>
        </is>
      </c>
      <c r="B13544" s="1" t="n">
        <v>45641</v>
      </c>
      <c r="C13544" s="1" t="n">
        <v>45677</v>
      </c>
      <c r="D13544" t="inlineStr">
        <is>
          <t>GÄVLEBORGS LÄN</t>
        </is>
      </c>
      <c r="E13544" t="inlineStr">
        <is>
          <t>NORDANSTIG</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60203-2024</t>
        </is>
      </c>
      <c r="B13545" s="1" t="n">
        <v>45642</v>
      </c>
      <c r="C13545" s="1" t="n">
        <v>45677</v>
      </c>
      <c r="D13545" t="inlineStr">
        <is>
          <t>GÄVLEBORGS LÄN</t>
        </is>
      </c>
      <c r="E13545" t="inlineStr">
        <is>
          <t>OVANÅKER</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60193-2024</t>
        </is>
      </c>
      <c r="B13546" s="1" t="n">
        <v>45642</v>
      </c>
      <c r="C13546" s="1" t="n">
        <v>45677</v>
      </c>
      <c r="D13546" t="inlineStr">
        <is>
          <t>GÄVLEBORGS LÄN</t>
        </is>
      </c>
      <c r="E13546" t="inlineStr">
        <is>
          <t>NORDANSTIG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60197-2024</t>
        </is>
      </c>
      <c r="B13547" s="1" t="n">
        <v>45642</v>
      </c>
      <c r="C13547" s="1" t="n">
        <v>45677</v>
      </c>
      <c r="D13547" t="inlineStr">
        <is>
          <t>GÄVLEBORGS LÄN</t>
        </is>
      </c>
      <c r="E13547" t="inlineStr">
        <is>
          <t>LJUSDAL</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60220-2024</t>
        </is>
      </c>
      <c r="B13548" s="1" t="n">
        <v>45642</v>
      </c>
      <c r="C13548" s="1" t="n">
        <v>45677</v>
      </c>
      <c r="D13548" t="inlineStr">
        <is>
          <t>GÄVLEBORGS LÄN</t>
        </is>
      </c>
      <c r="E13548" t="inlineStr">
        <is>
          <t>HUDIKSVALL</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60132-2024</t>
        </is>
      </c>
      <c r="B13549" s="1" t="n">
        <v>45642</v>
      </c>
      <c r="C13549" s="1" t="n">
        <v>45677</v>
      </c>
      <c r="D13549" t="inlineStr">
        <is>
          <t>GÄVLEBORGS LÄN</t>
        </is>
      </c>
      <c r="E13549" t="inlineStr">
        <is>
          <t>OCKELBO</t>
        </is>
      </c>
      <c r="F13549" t="inlineStr">
        <is>
          <t>Bergvik skog öst AB</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60285-2024</t>
        </is>
      </c>
      <c r="B13550" s="1" t="n">
        <v>45642</v>
      </c>
      <c r="C13550" s="1" t="n">
        <v>45677</v>
      </c>
      <c r="D13550" t="inlineStr">
        <is>
          <t>GÄVLEBORGS LÄN</t>
        </is>
      </c>
      <c r="E13550" t="inlineStr">
        <is>
          <t>NORDANSTIG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60289-2024</t>
        </is>
      </c>
      <c r="B13551" s="1" t="n">
        <v>45643</v>
      </c>
      <c r="C13551" s="1" t="n">
        <v>45677</v>
      </c>
      <c r="D13551" t="inlineStr">
        <is>
          <t>GÄVLEBORGS LÄN</t>
        </is>
      </c>
      <c r="E13551" t="inlineStr">
        <is>
          <t>LJUSDAL</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60282-2024</t>
        </is>
      </c>
      <c r="B13552" s="1" t="n">
        <v>45642</v>
      </c>
      <c r="C13552" s="1" t="n">
        <v>45677</v>
      </c>
      <c r="D13552" t="inlineStr">
        <is>
          <t>GÄVLEBORGS LÄN</t>
        </is>
      </c>
      <c r="E13552" t="inlineStr">
        <is>
          <t>LJUSDAL</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60288-2024</t>
        </is>
      </c>
      <c r="B13553" s="1" t="n">
        <v>45643</v>
      </c>
      <c r="C13553" s="1" t="n">
        <v>45677</v>
      </c>
      <c r="D13553" t="inlineStr">
        <is>
          <t>GÄVLEBORGS LÄN</t>
        </is>
      </c>
      <c r="E13553" t="inlineStr">
        <is>
          <t>LJUSDAL</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60257-2024</t>
        </is>
      </c>
      <c r="B13554" s="1" t="n">
        <v>45642</v>
      </c>
      <c r="C13554" s="1" t="n">
        <v>45677</v>
      </c>
      <c r="D13554" t="inlineStr">
        <is>
          <t>GÄVLEBORGS LÄN</t>
        </is>
      </c>
      <c r="E13554" t="inlineStr">
        <is>
          <t>LJUSDAL</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60186-2024</t>
        </is>
      </c>
      <c r="B13555" s="1" t="n">
        <v>45642</v>
      </c>
      <c r="C13555" s="1" t="n">
        <v>45677</v>
      </c>
      <c r="D13555" t="inlineStr">
        <is>
          <t>GÄVLEBORGS LÄN</t>
        </is>
      </c>
      <c r="E13555" t="inlineStr">
        <is>
          <t>HUDIKSVALL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60044-2024</t>
        </is>
      </c>
      <c r="B13556" s="1" t="n">
        <v>45642</v>
      </c>
      <c r="C13556" s="1" t="n">
        <v>45677</v>
      </c>
      <c r="D13556" t="inlineStr">
        <is>
          <t>GÄVLEBORGS LÄN</t>
        </is>
      </c>
      <c r="E13556" t="inlineStr">
        <is>
          <t>BOLLNÄS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60032-2024</t>
        </is>
      </c>
      <c r="B13557" s="1" t="n">
        <v>45642</v>
      </c>
      <c r="C13557" s="1" t="n">
        <v>45677</v>
      </c>
      <c r="D13557" t="inlineStr">
        <is>
          <t>GÄVLEBORGS LÄN</t>
        </is>
      </c>
      <c r="E13557" t="inlineStr">
        <is>
          <t>BOLLNÄS</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60016-2024</t>
        </is>
      </c>
      <c r="B13558" s="1" t="n">
        <v>45642</v>
      </c>
      <c r="C13558" s="1" t="n">
        <v>45677</v>
      </c>
      <c r="D13558" t="inlineStr">
        <is>
          <t>GÄVLEBORGS LÄN</t>
        </is>
      </c>
      <c r="E13558" t="inlineStr">
        <is>
          <t>BOLLNÄS</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60092-2024</t>
        </is>
      </c>
      <c r="B13559" s="1" t="n">
        <v>45642</v>
      </c>
      <c r="C13559" s="1" t="n">
        <v>45677</v>
      </c>
      <c r="D13559" t="inlineStr">
        <is>
          <t>GÄVLEBORGS LÄN</t>
        </is>
      </c>
      <c r="E13559" t="inlineStr">
        <is>
          <t>NORDANSTIG</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60055-2024</t>
        </is>
      </c>
      <c r="B13560" s="1" t="n">
        <v>45642</v>
      </c>
      <c r="C13560" s="1" t="n">
        <v>45677</v>
      </c>
      <c r="D13560" t="inlineStr">
        <is>
          <t>GÄVLEBORGS LÄN</t>
        </is>
      </c>
      <c r="E13560" t="inlineStr">
        <is>
          <t>BOLLNÄS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60102-2024</t>
        </is>
      </c>
      <c r="B13561" s="1" t="n">
        <v>45642</v>
      </c>
      <c r="C13561" s="1" t="n">
        <v>45677</v>
      </c>
      <c r="D13561" t="inlineStr">
        <is>
          <t>GÄVLEBORGS LÄN</t>
        </is>
      </c>
      <c r="E13561" t="inlineStr">
        <is>
          <t>NORDANSTIG</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59930-2024</t>
        </is>
      </c>
      <c r="B13562" s="1" t="n">
        <v>45642</v>
      </c>
      <c r="C13562" s="1" t="n">
        <v>45677</v>
      </c>
      <c r="D13562" t="inlineStr">
        <is>
          <t>GÄVLEBORGS LÄN</t>
        </is>
      </c>
      <c r="E13562" t="inlineStr">
        <is>
          <t>NORDANSTIG</t>
        </is>
      </c>
      <c r="G13562" t="n">
        <v>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59945-2024</t>
        </is>
      </c>
      <c r="B13563" s="1" t="n">
        <v>45642</v>
      </c>
      <c r="C13563" s="1" t="n">
        <v>45677</v>
      </c>
      <c r="D13563" t="inlineStr">
        <is>
          <t>GÄVLEBORGS LÄN</t>
        </is>
      </c>
      <c r="E13563" t="inlineStr">
        <is>
          <t>NORDANSTIG</t>
        </is>
      </c>
      <c r="F13563" t="inlineStr">
        <is>
          <t>Holmen skog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59941-2024</t>
        </is>
      </c>
      <c r="B13564" s="1" t="n">
        <v>45642</v>
      </c>
      <c r="C13564" s="1" t="n">
        <v>45677</v>
      </c>
      <c r="D13564" t="inlineStr">
        <is>
          <t>GÄVLEBORGS LÄN</t>
        </is>
      </c>
      <c r="E13564" t="inlineStr">
        <is>
          <t>OCKELBO</t>
        </is>
      </c>
      <c r="F13564" t="inlineStr">
        <is>
          <t>Bergvik skog öst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59929-2024</t>
        </is>
      </c>
      <c r="B13565" s="1" t="n">
        <v>45642</v>
      </c>
      <c r="C13565" s="1" t="n">
        <v>45677</v>
      </c>
      <c r="D13565" t="inlineStr">
        <is>
          <t>GÄVLEBORGS LÄN</t>
        </is>
      </c>
      <c r="E13565" t="inlineStr">
        <is>
          <t>OVANÅKER</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59974-2024</t>
        </is>
      </c>
      <c r="B13566" s="1" t="n">
        <v>45642</v>
      </c>
      <c r="C13566" s="1" t="n">
        <v>45677</v>
      </c>
      <c r="D13566" t="inlineStr">
        <is>
          <t>GÄVLEBORGS LÄN</t>
        </is>
      </c>
      <c r="E13566" t="inlineStr">
        <is>
          <t>OVANÅKER</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45677</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45677</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60403-2024</t>
        </is>
      </c>
      <c r="B13569" s="1" t="n">
        <v>45643</v>
      </c>
      <c r="C13569" s="1" t="n">
        <v>45677</v>
      </c>
      <c r="D13569" t="inlineStr">
        <is>
          <t>GÄVLEBORGS LÄN</t>
        </is>
      </c>
      <c r="E13569" t="inlineStr">
        <is>
          <t>OVANÅKER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60425-2024</t>
        </is>
      </c>
      <c r="B13570" s="1" t="n">
        <v>45643</v>
      </c>
      <c r="C13570" s="1" t="n">
        <v>45677</v>
      </c>
      <c r="D13570" t="inlineStr">
        <is>
          <t>GÄVLEBORGS LÄN</t>
        </is>
      </c>
      <c r="E13570" t="inlineStr">
        <is>
          <t>BOLLNÄS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60464-2024</t>
        </is>
      </c>
      <c r="B13571" s="1" t="n">
        <v>45643</v>
      </c>
      <c r="C13571" s="1" t="n">
        <v>45677</v>
      </c>
      <c r="D13571" t="inlineStr">
        <is>
          <t>GÄVLEBORGS LÄN</t>
        </is>
      </c>
      <c r="E13571" t="inlineStr">
        <is>
          <t>LJUSDAL</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60307-2024</t>
        </is>
      </c>
      <c r="B13572" s="1" t="n">
        <v>45643</v>
      </c>
      <c r="C13572" s="1" t="n">
        <v>45677</v>
      </c>
      <c r="D13572" t="inlineStr">
        <is>
          <t>GÄVLEBORGS LÄN</t>
        </is>
      </c>
      <c r="E13572" t="inlineStr">
        <is>
          <t>GÄVLE</t>
        </is>
      </c>
      <c r="F13572" t="inlineStr">
        <is>
          <t>Kyrkan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60356-2024</t>
        </is>
      </c>
      <c r="B13573" s="1" t="n">
        <v>45643</v>
      </c>
      <c r="C13573" s="1" t="n">
        <v>45677</v>
      </c>
      <c r="D13573" t="inlineStr">
        <is>
          <t>GÄVLEBORGS LÄN</t>
        </is>
      </c>
      <c r="E13573" t="inlineStr">
        <is>
          <t>HUDIKSVALL</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60428-2024</t>
        </is>
      </c>
      <c r="B13574" s="1" t="n">
        <v>45643</v>
      </c>
      <c r="C13574" s="1" t="n">
        <v>45677</v>
      </c>
      <c r="D13574" t="inlineStr">
        <is>
          <t>GÄVLEBORGS LÄN</t>
        </is>
      </c>
      <c r="E13574" t="inlineStr">
        <is>
          <t>BOLLNÄS</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60292-2024</t>
        </is>
      </c>
      <c r="B13575" s="1" t="n">
        <v>45643</v>
      </c>
      <c r="C13575" s="1" t="n">
        <v>45677</v>
      </c>
      <c r="D13575" t="inlineStr">
        <is>
          <t>GÄVLEBORGS LÄN</t>
        </is>
      </c>
      <c r="E13575" t="inlineStr">
        <is>
          <t>SÖDERHAMN</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60309-2024</t>
        </is>
      </c>
      <c r="B13576" s="1" t="n">
        <v>45643</v>
      </c>
      <c r="C13576" s="1" t="n">
        <v>45677</v>
      </c>
      <c r="D13576" t="inlineStr">
        <is>
          <t>GÄVLEBORGS LÄN</t>
        </is>
      </c>
      <c r="E13576" t="inlineStr">
        <is>
          <t>GÄVLE</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60426-2024</t>
        </is>
      </c>
      <c r="B13577" s="1" t="n">
        <v>45643</v>
      </c>
      <c r="C13577" s="1" t="n">
        <v>45677</v>
      </c>
      <c r="D13577" t="inlineStr">
        <is>
          <t>GÄVLEBORGS LÄN</t>
        </is>
      </c>
      <c r="E13577" t="inlineStr">
        <is>
          <t>BOLLNÄS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60629-2024</t>
        </is>
      </c>
      <c r="B13578" s="1" t="n">
        <v>45644</v>
      </c>
      <c r="C13578" s="1" t="n">
        <v>45677</v>
      </c>
      <c r="D13578" t="inlineStr">
        <is>
          <t>GÄVLEBORGS LÄN</t>
        </is>
      </c>
      <c r="E13578" t="inlineStr">
        <is>
          <t>GÄVLE</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45677</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60777-2024</t>
        </is>
      </c>
      <c r="B13580" s="1" t="n">
        <v>45644</v>
      </c>
      <c r="C13580" s="1" t="n">
        <v>45677</v>
      </c>
      <c r="D13580" t="inlineStr">
        <is>
          <t>GÄVLEBORGS LÄN</t>
        </is>
      </c>
      <c r="E13580" t="inlineStr">
        <is>
          <t>HUDIKSVALL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45677</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60602-2024</t>
        </is>
      </c>
      <c r="B13582" s="1" t="n">
        <v>45644</v>
      </c>
      <c r="C13582" s="1" t="n">
        <v>45677</v>
      </c>
      <c r="D13582" t="inlineStr">
        <is>
          <t>GÄVLEBORGS LÄN</t>
        </is>
      </c>
      <c r="E13582" t="inlineStr">
        <is>
          <t>GÄVLE</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60753-2024</t>
        </is>
      </c>
      <c r="B13583" s="1" t="n">
        <v>45644</v>
      </c>
      <c r="C13583" s="1" t="n">
        <v>45677</v>
      </c>
      <c r="D13583" t="inlineStr">
        <is>
          <t>GÄVLEBORGS LÄN</t>
        </is>
      </c>
      <c r="E13583" t="inlineStr">
        <is>
          <t>BOLLNÄS</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60792-2024</t>
        </is>
      </c>
      <c r="B13584" s="1" t="n">
        <v>45644</v>
      </c>
      <c r="C13584" s="1" t="n">
        <v>45677</v>
      </c>
      <c r="D13584" t="inlineStr">
        <is>
          <t>GÄVLEBORGS LÄN</t>
        </is>
      </c>
      <c r="E13584" t="inlineStr">
        <is>
          <t>GÄVLE</t>
        </is>
      </c>
      <c r="F13584" t="inlineStr">
        <is>
          <t>Kyrkan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60801-2024</t>
        </is>
      </c>
      <c r="B13585" s="1" t="n">
        <v>45644</v>
      </c>
      <c r="C13585" s="1" t="n">
        <v>45677</v>
      </c>
      <c r="D13585" t="inlineStr">
        <is>
          <t>GÄVLEBORGS LÄN</t>
        </is>
      </c>
      <c r="E13585" t="inlineStr">
        <is>
          <t>GÄVLE</t>
        </is>
      </c>
      <c r="F13585" t="inlineStr">
        <is>
          <t>Kyrkan</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60592-2024</t>
        </is>
      </c>
      <c r="B13586" s="1" t="n">
        <v>45644</v>
      </c>
      <c r="C13586" s="1" t="n">
        <v>45677</v>
      </c>
      <c r="D13586" t="inlineStr">
        <is>
          <t>GÄVLEBORGS LÄN</t>
        </is>
      </c>
      <c r="E13586" t="inlineStr">
        <is>
          <t>SANDVIKEN</t>
        </is>
      </c>
      <c r="F13586" t="inlineStr">
        <is>
          <t>Bergvik skog öst AB</t>
        </is>
      </c>
      <c r="G13586" t="n">
        <v>10.2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60617-2024</t>
        </is>
      </c>
      <c r="B13587" s="1" t="n">
        <v>45644</v>
      </c>
      <c r="C13587" s="1" t="n">
        <v>45677</v>
      </c>
      <c r="D13587" t="inlineStr">
        <is>
          <t>GÄVLEBORGS LÄN</t>
        </is>
      </c>
      <c r="E13587" t="inlineStr">
        <is>
          <t>GÄVLE</t>
        </is>
      </c>
      <c r="F13587" t="inlineStr">
        <is>
          <t>Kyrkan</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60594-2024</t>
        </is>
      </c>
      <c r="B13588" s="1" t="n">
        <v>45644</v>
      </c>
      <c r="C13588" s="1" t="n">
        <v>45677</v>
      </c>
      <c r="D13588" t="inlineStr">
        <is>
          <t>GÄVLEBORGS LÄN</t>
        </is>
      </c>
      <c r="E13588" t="inlineStr">
        <is>
          <t>HUDIKSVALL</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60563-2024</t>
        </is>
      </c>
      <c r="B13589" s="1" t="n">
        <v>45644</v>
      </c>
      <c r="C13589" s="1" t="n">
        <v>45677</v>
      </c>
      <c r="D13589" t="inlineStr">
        <is>
          <t>GÄVLEBORGS LÄN</t>
        </is>
      </c>
      <c r="E13589" t="inlineStr">
        <is>
          <t>OVANÅKER</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60835-2024</t>
        </is>
      </c>
      <c r="B13590" s="1" t="n">
        <v>45644</v>
      </c>
      <c r="C13590" s="1" t="n">
        <v>45677</v>
      </c>
      <c r="D13590" t="inlineStr">
        <is>
          <t>GÄVLEBORGS LÄN</t>
        </is>
      </c>
      <c r="E13590" t="inlineStr">
        <is>
          <t>HUDIKSVALL</t>
        </is>
      </c>
      <c r="F13590" t="inlineStr">
        <is>
          <t>Holmen skog AB</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60743-2024</t>
        </is>
      </c>
      <c r="B13591" s="1" t="n">
        <v>45644</v>
      </c>
      <c r="C13591" s="1" t="n">
        <v>45677</v>
      </c>
      <c r="D13591" t="inlineStr">
        <is>
          <t>GÄVLEBORGS LÄN</t>
        </is>
      </c>
      <c r="E13591" t="inlineStr">
        <is>
          <t>BOLLNÄS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45677</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45677</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60675-2024</t>
        </is>
      </c>
      <c r="B13594" s="1" t="n">
        <v>45644</v>
      </c>
      <c r="C13594" s="1" t="n">
        <v>45677</v>
      </c>
      <c r="D13594" t="inlineStr">
        <is>
          <t>GÄVLEBORGS LÄN</t>
        </is>
      </c>
      <c r="E13594" t="inlineStr">
        <is>
          <t>NORDANSTIG</t>
        </is>
      </c>
      <c r="F13594" t="inlineStr">
        <is>
          <t>Holmen skog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60689-2024</t>
        </is>
      </c>
      <c r="B13595" s="1" t="n">
        <v>45644</v>
      </c>
      <c r="C13595" s="1" t="n">
        <v>45677</v>
      </c>
      <c r="D13595" t="inlineStr">
        <is>
          <t>GÄVLEBORGS LÄN</t>
        </is>
      </c>
      <c r="E13595" t="inlineStr">
        <is>
          <t>BOLLNÄS</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60699-2024</t>
        </is>
      </c>
      <c r="B13596" s="1" t="n">
        <v>45644</v>
      </c>
      <c r="C13596" s="1" t="n">
        <v>45677</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60745-2024</t>
        </is>
      </c>
      <c r="B13597" s="1" t="n">
        <v>45644</v>
      </c>
      <c r="C13597" s="1" t="n">
        <v>45677</v>
      </c>
      <c r="D13597" t="inlineStr">
        <is>
          <t>GÄVLEBORGS LÄN</t>
        </is>
      </c>
      <c r="E13597" t="inlineStr">
        <is>
          <t>SANDVIKEN</t>
        </is>
      </c>
      <c r="G13597" t="n">
        <v>19.5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60759-2024</t>
        </is>
      </c>
      <c r="B13598" s="1" t="n">
        <v>45644</v>
      </c>
      <c r="C13598" s="1" t="n">
        <v>45677</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60793-2024</t>
        </is>
      </c>
      <c r="B13599" s="1" t="n">
        <v>45644</v>
      </c>
      <c r="C13599" s="1" t="n">
        <v>45677</v>
      </c>
      <c r="D13599" t="inlineStr">
        <is>
          <t>GÄVLEBORGS LÄN</t>
        </is>
      </c>
      <c r="E13599" t="inlineStr">
        <is>
          <t>LJUSDAL</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60872-2024</t>
        </is>
      </c>
      <c r="B13600" s="1" t="n">
        <v>45644</v>
      </c>
      <c r="C13600" s="1" t="n">
        <v>45677</v>
      </c>
      <c r="D13600" t="inlineStr">
        <is>
          <t>GÄVLEBORGS LÄN</t>
        </is>
      </c>
      <c r="E13600" t="inlineStr">
        <is>
          <t>HUDIKSVALL</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60901-2024</t>
        </is>
      </c>
      <c r="B13601" s="1" t="n">
        <v>45645</v>
      </c>
      <c r="C13601" s="1" t="n">
        <v>45677</v>
      </c>
      <c r="D13601" t="inlineStr">
        <is>
          <t>GÄVLEBORGS LÄN</t>
        </is>
      </c>
      <c r="E13601" t="inlineStr">
        <is>
          <t>HUDIKSVALL</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60915-2024</t>
        </is>
      </c>
      <c r="B13602" s="1" t="n">
        <v>45645</v>
      </c>
      <c r="C13602" s="1" t="n">
        <v>45677</v>
      </c>
      <c r="D13602" t="inlineStr">
        <is>
          <t>GÄVLEBORGS LÄN</t>
        </is>
      </c>
      <c r="E13602" t="inlineStr">
        <is>
          <t>OCKELBO</t>
        </is>
      </c>
      <c r="F13602" t="inlineStr">
        <is>
          <t>Kyrkan</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60902-2024</t>
        </is>
      </c>
      <c r="B13603" s="1" t="n">
        <v>45645</v>
      </c>
      <c r="C13603" s="1" t="n">
        <v>45677</v>
      </c>
      <c r="D13603" t="inlineStr">
        <is>
          <t>GÄVLEBORGS LÄN</t>
        </is>
      </c>
      <c r="E13603" t="inlineStr">
        <is>
          <t>HUDIKSVALL</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60912-2024</t>
        </is>
      </c>
      <c r="B13604" s="1" t="n">
        <v>45645</v>
      </c>
      <c r="C13604" s="1" t="n">
        <v>45677</v>
      </c>
      <c r="D13604" t="inlineStr">
        <is>
          <t>GÄVLEBORGS LÄN</t>
        </is>
      </c>
      <c r="E13604" t="inlineStr">
        <is>
          <t>SÖDERHAMN</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60929-2024</t>
        </is>
      </c>
      <c r="B13605" s="1" t="n">
        <v>45645</v>
      </c>
      <c r="C13605" s="1" t="n">
        <v>45677</v>
      </c>
      <c r="D13605" t="inlineStr">
        <is>
          <t>GÄVLEBORGS LÄN</t>
        </is>
      </c>
      <c r="E13605" t="inlineStr">
        <is>
          <t>SÖDERHAMN</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60934-2024</t>
        </is>
      </c>
      <c r="B13606" s="1" t="n">
        <v>45645</v>
      </c>
      <c r="C13606" s="1" t="n">
        <v>45677</v>
      </c>
      <c r="D13606" t="inlineStr">
        <is>
          <t>GÄVLEBORGS LÄN</t>
        </is>
      </c>
      <c r="E13606" t="inlineStr">
        <is>
          <t>NORDANSTIG</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60942-2024</t>
        </is>
      </c>
      <c r="B13607" s="1" t="n">
        <v>45645</v>
      </c>
      <c r="C13607" s="1" t="n">
        <v>45677</v>
      </c>
      <c r="D13607" t="inlineStr">
        <is>
          <t>GÄVLEBORGS LÄN</t>
        </is>
      </c>
      <c r="E13607" t="inlineStr">
        <is>
          <t>HUDIKSVALL</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60928-2024</t>
        </is>
      </c>
      <c r="B13608" s="1" t="n">
        <v>45645</v>
      </c>
      <c r="C13608" s="1" t="n">
        <v>45677</v>
      </c>
      <c r="D13608" t="inlineStr">
        <is>
          <t>GÄVLEBORGS LÄN</t>
        </is>
      </c>
      <c r="E13608" t="inlineStr">
        <is>
          <t>OCKELBO</t>
        </is>
      </c>
      <c r="F13608" t="inlineStr">
        <is>
          <t>Bergvik skog väst AB</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60981-2024</t>
        </is>
      </c>
      <c r="B13609" s="1" t="n">
        <v>45645</v>
      </c>
      <c r="C13609" s="1" t="n">
        <v>45677</v>
      </c>
      <c r="D13609" t="inlineStr">
        <is>
          <t>GÄVLEBORGS LÄN</t>
        </is>
      </c>
      <c r="E13609" t="inlineStr">
        <is>
          <t>OCKELBO</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61063-2024</t>
        </is>
      </c>
      <c r="B13610" s="1" t="n">
        <v>45645</v>
      </c>
      <c r="C13610" s="1" t="n">
        <v>45677</v>
      </c>
      <c r="D13610" t="inlineStr">
        <is>
          <t>GÄVLEBORGS LÄN</t>
        </is>
      </c>
      <c r="E13610" t="inlineStr">
        <is>
          <t>BOLLNÄS</t>
        </is>
      </c>
      <c r="G13610" t="n">
        <v>8.300000000000001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61004-2024</t>
        </is>
      </c>
      <c r="B13611" s="1" t="n">
        <v>45645</v>
      </c>
      <c r="C13611" s="1" t="n">
        <v>45677</v>
      </c>
      <c r="D13611" t="inlineStr">
        <is>
          <t>GÄVLEBORGS LÄN</t>
        </is>
      </c>
      <c r="E13611" t="inlineStr">
        <is>
          <t>GÄVLE</t>
        </is>
      </c>
      <c r="F13611" t="inlineStr">
        <is>
          <t>Bergvik skog öst AB</t>
        </is>
      </c>
      <c r="G13611" t="n">
        <v>11.6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61016-2024</t>
        </is>
      </c>
      <c r="B13612" s="1" t="n">
        <v>45645</v>
      </c>
      <c r="C13612" s="1" t="n">
        <v>45677</v>
      </c>
      <c r="D13612" t="inlineStr">
        <is>
          <t>GÄVLEBORGS LÄN</t>
        </is>
      </c>
      <c r="E13612" t="inlineStr">
        <is>
          <t>GÄVLE</t>
        </is>
      </c>
      <c r="F13612" t="inlineStr">
        <is>
          <t>Bergvik skog öst AB</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61052-2024</t>
        </is>
      </c>
      <c r="B13613" s="1" t="n">
        <v>45645</v>
      </c>
      <c r="C13613" s="1" t="n">
        <v>45677</v>
      </c>
      <c r="D13613" t="inlineStr">
        <is>
          <t>GÄVLEBORGS LÄN</t>
        </is>
      </c>
      <c r="E13613" t="inlineStr">
        <is>
          <t>SANDVIKEN</t>
        </is>
      </c>
      <c r="F13613" t="inlineStr">
        <is>
          <t>Naturvårdsverket</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61056-2024</t>
        </is>
      </c>
      <c r="B13614" s="1" t="n">
        <v>45645</v>
      </c>
      <c r="C13614" s="1" t="n">
        <v>45677</v>
      </c>
      <c r="D13614" t="inlineStr">
        <is>
          <t>GÄVLEBORGS LÄN</t>
        </is>
      </c>
      <c r="E13614" t="inlineStr">
        <is>
          <t>GÄVLE</t>
        </is>
      </c>
      <c r="F13614" t="inlineStr">
        <is>
          <t>Bergvik skog öst AB</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61133-2024</t>
        </is>
      </c>
      <c r="B13615" s="1" t="n">
        <v>45645</v>
      </c>
      <c r="C13615" s="1" t="n">
        <v>45677</v>
      </c>
      <c r="D13615" t="inlineStr">
        <is>
          <t>GÄVLEBORGS LÄN</t>
        </is>
      </c>
      <c r="E13615" t="inlineStr">
        <is>
          <t>GÄVLE</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60896-2024</t>
        </is>
      </c>
      <c r="B13616" s="1" t="n">
        <v>45645</v>
      </c>
      <c r="C13616" s="1" t="n">
        <v>45677</v>
      </c>
      <c r="D13616" t="inlineStr">
        <is>
          <t>GÄVLEBORGS LÄN</t>
        </is>
      </c>
      <c r="E13616" t="inlineStr">
        <is>
          <t>LJUSDAL</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60904-2024</t>
        </is>
      </c>
      <c r="B13617" s="1" t="n">
        <v>45645</v>
      </c>
      <c r="C13617" s="1" t="n">
        <v>45677</v>
      </c>
      <c r="D13617" t="inlineStr">
        <is>
          <t>GÄVLEBORGS LÄN</t>
        </is>
      </c>
      <c r="E13617" t="inlineStr">
        <is>
          <t>HUDIKSVALL</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60914-2024</t>
        </is>
      </c>
      <c r="B13618" s="1" t="n">
        <v>45645</v>
      </c>
      <c r="C13618" s="1" t="n">
        <v>45677</v>
      </c>
      <c r="D13618" t="inlineStr">
        <is>
          <t>GÄVLEBORGS LÄN</t>
        </is>
      </c>
      <c r="E13618" t="inlineStr">
        <is>
          <t>LJUSDAL</t>
        </is>
      </c>
      <c r="G13618" t="n">
        <v>6.9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60919-2024</t>
        </is>
      </c>
      <c r="B13619" s="1" t="n">
        <v>45645</v>
      </c>
      <c r="C13619" s="1" t="n">
        <v>45677</v>
      </c>
      <c r="D13619" t="inlineStr">
        <is>
          <t>GÄVLEBORGS LÄN</t>
        </is>
      </c>
      <c r="E13619" t="inlineStr">
        <is>
          <t>SÖDERHAMN</t>
        </is>
      </c>
      <c r="G13619" t="n">
        <v>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60927-2024</t>
        </is>
      </c>
      <c r="B13620" s="1" t="n">
        <v>45645</v>
      </c>
      <c r="C13620" s="1" t="n">
        <v>45677</v>
      </c>
      <c r="D13620" t="inlineStr">
        <is>
          <t>GÄVLEBORGS LÄN</t>
        </is>
      </c>
      <c r="E13620" t="inlineStr">
        <is>
          <t>OVANÅKER</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60944-2024</t>
        </is>
      </c>
      <c r="B13621" s="1" t="n">
        <v>45645</v>
      </c>
      <c r="C13621" s="1" t="n">
        <v>45677</v>
      </c>
      <c r="D13621" t="inlineStr">
        <is>
          <t>GÄVLEBORGS LÄN</t>
        </is>
      </c>
      <c r="E13621" t="inlineStr">
        <is>
          <t>NORDANSTIG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60962-2024</t>
        </is>
      </c>
      <c r="B13622" s="1" t="n">
        <v>45645</v>
      </c>
      <c r="C13622" s="1" t="n">
        <v>45677</v>
      </c>
      <c r="D13622" t="inlineStr">
        <is>
          <t>GÄVLEBORGS LÄN</t>
        </is>
      </c>
      <c r="E13622" t="inlineStr">
        <is>
          <t>OCKELBO</t>
        </is>
      </c>
      <c r="F13622" t="inlineStr">
        <is>
          <t>Kyrkan</t>
        </is>
      </c>
      <c r="G13622" t="n">
        <v>5.9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61301-2024</t>
        </is>
      </c>
      <c r="B13623" s="1" t="n">
        <v>45645</v>
      </c>
      <c r="C13623" s="1" t="n">
        <v>45677</v>
      </c>
      <c r="D13623" t="inlineStr">
        <is>
          <t>GÄVLEBORGS LÄN</t>
        </is>
      </c>
      <c r="E13623" t="inlineStr">
        <is>
          <t>GÄVLE</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61065-2024</t>
        </is>
      </c>
      <c r="B13624" s="1" t="n">
        <v>45645</v>
      </c>
      <c r="C13624" s="1" t="n">
        <v>45677</v>
      </c>
      <c r="D13624" t="inlineStr">
        <is>
          <t>GÄVLEBORGS LÄN</t>
        </is>
      </c>
      <c r="E13624" t="inlineStr">
        <is>
          <t>BOLLNÄS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61091-2024</t>
        </is>
      </c>
      <c r="B13625" s="1" t="n">
        <v>45645</v>
      </c>
      <c r="C13625" s="1" t="n">
        <v>45677</v>
      </c>
      <c r="D13625" t="inlineStr">
        <is>
          <t>GÄVLEBORGS LÄN</t>
        </is>
      </c>
      <c r="E13625" t="inlineStr">
        <is>
          <t>LJUSDAL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61130-2024</t>
        </is>
      </c>
      <c r="B13626" s="1" t="n">
        <v>45645</v>
      </c>
      <c r="C13626" s="1" t="n">
        <v>45677</v>
      </c>
      <c r="D13626" t="inlineStr">
        <is>
          <t>GÄVLEBORGS LÄN</t>
        </is>
      </c>
      <c r="E13626" t="inlineStr">
        <is>
          <t>GÄVLE</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61300-2024</t>
        </is>
      </c>
      <c r="B13627" s="1" t="n">
        <v>45645</v>
      </c>
      <c r="C13627" s="1" t="n">
        <v>45677</v>
      </c>
      <c r="D13627" t="inlineStr">
        <is>
          <t>GÄVLEBORGS LÄN</t>
        </is>
      </c>
      <c r="E13627" t="inlineStr">
        <is>
          <t>GÄVLE</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61131-2024</t>
        </is>
      </c>
      <c r="B13628" s="1" t="n">
        <v>45645</v>
      </c>
      <c r="C13628" s="1" t="n">
        <v>45677</v>
      </c>
      <c r="D13628" t="inlineStr">
        <is>
          <t>GÄVLEBORGS LÄN</t>
        </is>
      </c>
      <c r="E13628" t="inlineStr">
        <is>
          <t>GÄVLE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61087-2024</t>
        </is>
      </c>
      <c r="B13629" s="1" t="n">
        <v>45645</v>
      </c>
      <c r="C13629" s="1" t="n">
        <v>45677</v>
      </c>
      <c r="D13629" t="inlineStr">
        <is>
          <t>GÄVLEBORGS LÄN</t>
        </is>
      </c>
      <c r="E13629" t="inlineStr">
        <is>
          <t>HUDIKSVALL</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61189-2024</t>
        </is>
      </c>
      <c r="B13630" s="1" t="n">
        <v>45645</v>
      </c>
      <c r="C13630" s="1" t="n">
        <v>45677</v>
      </c>
      <c r="D13630" t="inlineStr">
        <is>
          <t>GÄVLEBORGS LÄN</t>
        </is>
      </c>
      <c r="E13630" t="inlineStr">
        <is>
          <t>LJUSDAL</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61306-2024</t>
        </is>
      </c>
      <c r="B13631" s="1" t="n">
        <v>45646</v>
      </c>
      <c r="C13631" s="1" t="n">
        <v>45677</v>
      </c>
      <c r="D13631" t="inlineStr">
        <is>
          <t>GÄVLEBORGS LÄN</t>
        </is>
      </c>
      <c r="E13631" t="inlineStr">
        <is>
          <t>BOLLNÄS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61319-2024</t>
        </is>
      </c>
      <c r="B13632" s="1" t="n">
        <v>45646</v>
      </c>
      <c r="C13632" s="1" t="n">
        <v>45677</v>
      </c>
      <c r="D13632" t="inlineStr">
        <is>
          <t>GÄVLEBORGS LÄN</t>
        </is>
      </c>
      <c r="E13632" t="inlineStr">
        <is>
          <t>OCKELBO</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61308-2024</t>
        </is>
      </c>
      <c r="B13633" s="1" t="n">
        <v>45646</v>
      </c>
      <c r="C13633" s="1" t="n">
        <v>45677</v>
      </c>
      <c r="D13633" t="inlineStr">
        <is>
          <t>GÄVLEBORGS LÄN</t>
        </is>
      </c>
      <c r="E13633" t="inlineStr">
        <is>
          <t>BOLLNÄS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61305-2024</t>
        </is>
      </c>
      <c r="B13634" s="1" t="n">
        <v>45646</v>
      </c>
      <c r="C13634" s="1" t="n">
        <v>45677</v>
      </c>
      <c r="D13634" t="inlineStr">
        <is>
          <t>GÄVLEBORGS LÄN</t>
        </is>
      </c>
      <c r="E13634" t="inlineStr">
        <is>
          <t>BOLLNÄS</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61418-2024</t>
        </is>
      </c>
      <c r="B13635" s="1" t="n">
        <v>45646</v>
      </c>
      <c r="C13635" s="1" t="n">
        <v>45677</v>
      </c>
      <c r="D13635" t="inlineStr">
        <is>
          <t>GÄVLEBORGS LÄN</t>
        </is>
      </c>
      <c r="E13635" t="inlineStr">
        <is>
          <t>NORDANSTIG</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61427-2024</t>
        </is>
      </c>
      <c r="B13636" s="1" t="n">
        <v>45646</v>
      </c>
      <c r="C13636" s="1" t="n">
        <v>45677</v>
      </c>
      <c r="D13636" t="inlineStr">
        <is>
          <t>GÄVLEBORGS LÄN</t>
        </is>
      </c>
      <c r="E13636" t="inlineStr">
        <is>
          <t>NORDANSTIG</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61416-2024</t>
        </is>
      </c>
      <c r="B13637" s="1" t="n">
        <v>45646</v>
      </c>
      <c r="C13637" s="1" t="n">
        <v>45677</v>
      </c>
      <c r="D13637" t="inlineStr">
        <is>
          <t>GÄVLEBORGS LÄN</t>
        </is>
      </c>
      <c r="E13637" t="inlineStr">
        <is>
          <t>LJUSDAL</t>
        </is>
      </c>
      <c r="F13637" t="inlineStr">
        <is>
          <t>Sveaskog</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61420-2024</t>
        </is>
      </c>
      <c r="B13638" s="1" t="n">
        <v>45646</v>
      </c>
      <c r="C13638" s="1" t="n">
        <v>45677</v>
      </c>
      <c r="D13638" t="inlineStr">
        <is>
          <t>GÄVLEBORGS LÄN</t>
        </is>
      </c>
      <c r="E13638" t="inlineStr">
        <is>
          <t>LJUSDAL</t>
        </is>
      </c>
      <c r="F13638" t="inlineStr">
        <is>
          <t>Sveaskog</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61430-2024</t>
        </is>
      </c>
      <c r="B13639" s="1" t="n">
        <v>45646</v>
      </c>
      <c r="C13639" s="1" t="n">
        <v>45677</v>
      </c>
      <c r="D13639" t="inlineStr">
        <is>
          <t>GÄVLEBORGS LÄN</t>
        </is>
      </c>
      <c r="E13639" t="inlineStr">
        <is>
          <t>NORDANSTIG</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61474-2024</t>
        </is>
      </c>
      <c r="B13640" s="1" t="n">
        <v>45646</v>
      </c>
      <c r="C13640" s="1" t="n">
        <v>45677</v>
      </c>
      <c r="D13640" t="inlineStr">
        <is>
          <t>GÄVLEBORGS LÄN</t>
        </is>
      </c>
      <c r="E13640" t="inlineStr">
        <is>
          <t>LJUSDAL</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61492-2024</t>
        </is>
      </c>
      <c r="B13641" s="1" t="n">
        <v>45646</v>
      </c>
      <c r="C13641" s="1" t="n">
        <v>45677</v>
      </c>
      <c r="D13641" t="inlineStr">
        <is>
          <t>GÄVLEBORGS LÄN</t>
        </is>
      </c>
      <c r="E13641" t="inlineStr">
        <is>
          <t>GÄVLE</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61501-2024</t>
        </is>
      </c>
      <c r="B13642" s="1" t="n">
        <v>45646</v>
      </c>
      <c r="C13642" s="1" t="n">
        <v>45677</v>
      </c>
      <c r="D13642" t="inlineStr">
        <is>
          <t>GÄVLEBORGS LÄN</t>
        </is>
      </c>
      <c r="E13642" t="inlineStr">
        <is>
          <t>GÄVLE</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61307-2024</t>
        </is>
      </c>
      <c r="B13643" s="1" t="n">
        <v>45646</v>
      </c>
      <c r="C13643" s="1" t="n">
        <v>45677</v>
      </c>
      <c r="D13643" t="inlineStr">
        <is>
          <t>GÄVLEBORGS LÄN</t>
        </is>
      </c>
      <c r="E13643" t="inlineStr">
        <is>
          <t>BOLLNÄS</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61593-2024</t>
        </is>
      </c>
      <c r="B13644" s="1" t="n">
        <v>45646</v>
      </c>
      <c r="C13644" s="1" t="n">
        <v>45677</v>
      </c>
      <c r="D13644" t="inlineStr">
        <is>
          <t>GÄVLEBORGS LÄN</t>
        </is>
      </c>
      <c r="E13644" t="inlineStr">
        <is>
          <t>HUDIKSVALL</t>
        </is>
      </c>
      <c r="G13644" t="n">
        <v>11.4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61407-2024</t>
        </is>
      </c>
      <c r="B13645" s="1" t="n">
        <v>45646</v>
      </c>
      <c r="C13645" s="1" t="n">
        <v>45677</v>
      </c>
      <c r="D13645" t="inlineStr">
        <is>
          <t>GÄVLEBORGS LÄN</t>
        </is>
      </c>
      <c r="E13645" t="inlineStr">
        <is>
          <t>NORDANSTIG</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61419-2024</t>
        </is>
      </c>
      <c r="B13646" s="1" t="n">
        <v>45646</v>
      </c>
      <c r="C13646" s="1" t="n">
        <v>45677</v>
      </c>
      <c r="D13646" t="inlineStr">
        <is>
          <t>GÄVLEBORGS LÄN</t>
        </is>
      </c>
      <c r="E13646" t="inlineStr">
        <is>
          <t>NORDANSTIG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61456-2024</t>
        </is>
      </c>
      <c r="B13647" s="1" t="n">
        <v>45646</v>
      </c>
      <c r="C13647" s="1" t="n">
        <v>45677</v>
      </c>
      <c r="D13647" t="inlineStr">
        <is>
          <t>GÄVLEBORGS LÄN</t>
        </is>
      </c>
      <c r="E13647" t="inlineStr">
        <is>
          <t>OCKELBO</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61487-2024</t>
        </is>
      </c>
      <c r="B13648" s="1" t="n">
        <v>45646</v>
      </c>
      <c r="C13648" s="1" t="n">
        <v>45677</v>
      </c>
      <c r="D13648" t="inlineStr">
        <is>
          <t>GÄVLEBORGS LÄN</t>
        </is>
      </c>
      <c r="E13648" t="inlineStr">
        <is>
          <t>OVANÅKER</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61508-2024</t>
        </is>
      </c>
      <c r="B13649" s="1" t="n">
        <v>45646</v>
      </c>
      <c r="C13649" s="1" t="n">
        <v>45677</v>
      </c>
      <c r="D13649" t="inlineStr">
        <is>
          <t>GÄVLEBORGS LÄN</t>
        </is>
      </c>
      <c r="E13649" t="inlineStr">
        <is>
          <t>OVANÅKER</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61581-2024</t>
        </is>
      </c>
      <c r="B13650" s="1" t="n">
        <v>45646</v>
      </c>
      <c r="C13650" s="1" t="n">
        <v>45677</v>
      </c>
      <c r="D13650" t="inlineStr">
        <is>
          <t>GÄVLEBORGS LÄN</t>
        </is>
      </c>
      <c r="E13650" t="inlineStr">
        <is>
          <t>SÖDERHAMN</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61389-2024</t>
        </is>
      </c>
      <c r="B13651" s="1" t="n">
        <v>45646</v>
      </c>
      <c r="C13651" s="1" t="n">
        <v>45677</v>
      </c>
      <c r="D13651" t="inlineStr">
        <is>
          <t>GÄVLEBORGS LÄN</t>
        </is>
      </c>
      <c r="E13651" t="inlineStr">
        <is>
          <t>OCKELBO</t>
        </is>
      </c>
      <c r="F13651" t="inlineStr">
        <is>
          <t>Bergvik skog öst AB</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61417-2024</t>
        </is>
      </c>
      <c r="B13652" s="1" t="n">
        <v>45646</v>
      </c>
      <c r="C13652" s="1" t="n">
        <v>45677</v>
      </c>
      <c r="D13652" t="inlineStr">
        <is>
          <t>GÄVLEBORGS LÄN</t>
        </is>
      </c>
      <c r="E13652" t="inlineStr">
        <is>
          <t>NORDANSTIG</t>
        </is>
      </c>
      <c r="G13652" t="n">
        <v>13.3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61422-2024</t>
        </is>
      </c>
      <c r="B13653" s="1" t="n">
        <v>45646</v>
      </c>
      <c r="C13653" s="1" t="n">
        <v>45677</v>
      </c>
      <c r="D13653" t="inlineStr">
        <is>
          <t>GÄVLEBORGS LÄN</t>
        </is>
      </c>
      <c r="E13653" t="inlineStr">
        <is>
          <t>NORDANSTIG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61502-2024</t>
        </is>
      </c>
      <c r="B13654" s="1" t="n">
        <v>45646</v>
      </c>
      <c r="C13654" s="1" t="n">
        <v>45677</v>
      </c>
      <c r="D13654" t="inlineStr">
        <is>
          <t>GÄVLEBORGS LÄN</t>
        </is>
      </c>
      <c r="E13654" t="inlineStr">
        <is>
          <t>OCKELBO</t>
        </is>
      </c>
      <c r="F13654" t="inlineStr">
        <is>
          <t>Bergvik skog väst AB</t>
        </is>
      </c>
      <c r="G13654" t="n">
        <v>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61514-2024</t>
        </is>
      </c>
      <c r="B13655" s="1" t="n">
        <v>45646</v>
      </c>
      <c r="C13655" s="1" t="n">
        <v>45677</v>
      </c>
      <c r="D13655" t="inlineStr">
        <is>
          <t>GÄVLEBORGS LÄN</t>
        </is>
      </c>
      <c r="E13655" t="inlineStr">
        <is>
          <t>BOLLNÄS</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61579-2024</t>
        </is>
      </c>
      <c r="B13656" s="1" t="n">
        <v>45646</v>
      </c>
      <c r="C13656" s="1" t="n">
        <v>45677</v>
      </c>
      <c r="D13656" t="inlineStr">
        <is>
          <t>GÄVLEBORGS LÄN</t>
        </is>
      </c>
      <c r="E13656" t="inlineStr">
        <is>
          <t>HUDIKSVALL</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62123-2024</t>
        </is>
      </c>
      <c r="B13657" s="1" t="n">
        <v>45646</v>
      </c>
      <c r="C13657" s="1" t="n">
        <v>45677</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61795-2024</t>
        </is>
      </c>
      <c r="B13658" s="1" t="n">
        <v>45646</v>
      </c>
      <c r="C13658" s="1" t="n">
        <v>45677</v>
      </c>
      <c r="D13658" t="inlineStr">
        <is>
          <t>GÄVLEBORGS LÄN</t>
        </is>
      </c>
      <c r="E13658" t="inlineStr">
        <is>
          <t>BOLLNÄS</t>
        </is>
      </c>
      <c r="G13658" t="n">
        <v>10.6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61688-2024</t>
        </is>
      </c>
      <c r="B13659" s="1" t="n">
        <v>45647</v>
      </c>
      <c r="C13659" s="1" t="n">
        <v>45677</v>
      </c>
      <c r="D13659" t="inlineStr">
        <is>
          <t>GÄVLEBORGS LÄN</t>
        </is>
      </c>
      <c r="E13659" t="inlineStr">
        <is>
          <t>GÄVLE</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61720-2024</t>
        </is>
      </c>
      <c r="B13660" s="1" t="n">
        <v>45649</v>
      </c>
      <c r="C13660" s="1" t="n">
        <v>45677</v>
      </c>
      <c r="D13660" t="inlineStr">
        <is>
          <t>GÄVLEBORGS LÄN</t>
        </is>
      </c>
      <c r="E13660" t="inlineStr">
        <is>
          <t>BOLLNÄS</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61732-2024</t>
        </is>
      </c>
      <c r="B13661" s="1" t="n">
        <v>45649</v>
      </c>
      <c r="C13661" s="1" t="n">
        <v>45677</v>
      </c>
      <c r="D13661" t="inlineStr">
        <is>
          <t>GÄVLEBORGS LÄN</t>
        </is>
      </c>
      <c r="E13661" t="inlineStr">
        <is>
          <t>OCKELBO</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61769-2024</t>
        </is>
      </c>
      <c r="B13662" s="1" t="n">
        <v>45649</v>
      </c>
      <c r="C13662" s="1" t="n">
        <v>45677</v>
      </c>
      <c r="D13662" t="inlineStr">
        <is>
          <t>GÄVLEBORGS LÄN</t>
        </is>
      </c>
      <c r="E13662" t="inlineStr">
        <is>
          <t>BOLLNÄS</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61786-2024</t>
        </is>
      </c>
      <c r="B13663" s="1" t="n">
        <v>45649</v>
      </c>
      <c r="C13663" s="1" t="n">
        <v>45677</v>
      </c>
      <c r="D13663" t="inlineStr">
        <is>
          <t>GÄVLEBORGS LÄN</t>
        </is>
      </c>
      <c r="E13663" t="inlineStr">
        <is>
          <t>GÄVLE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61820-2024</t>
        </is>
      </c>
      <c r="B13664" s="1" t="n">
        <v>45649</v>
      </c>
      <c r="C13664" s="1" t="n">
        <v>45677</v>
      </c>
      <c r="D13664" t="inlineStr">
        <is>
          <t>GÄVLEBORGS LÄN</t>
        </is>
      </c>
      <c r="E13664" t="inlineStr">
        <is>
          <t>SANDVIKEN</t>
        </is>
      </c>
      <c r="G13664" t="n">
        <v>11.1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61719-2024</t>
        </is>
      </c>
      <c r="B13665" s="1" t="n">
        <v>45649</v>
      </c>
      <c r="C13665" s="1" t="n">
        <v>45677</v>
      </c>
      <c r="D13665" t="inlineStr">
        <is>
          <t>GÄVLEBORGS LÄN</t>
        </is>
      </c>
      <c r="E13665" t="inlineStr">
        <is>
          <t>BOLLNÄS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61763-2024</t>
        </is>
      </c>
      <c r="B13666" s="1" t="n">
        <v>45649</v>
      </c>
      <c r="C13666" s="1" t="n">
        <v>45677</v>
      </c>
      <c r="D13666" t="inlineStr">
        <is>
          <t>GÄVLEBORGS LÄN</t>
        </is>
      </c>
      <c r="E13666" t="inlineStr">
        <is>
          <t>HUDIKSVALL</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61792-2024</t>
        </is>
      </c>
      <c r="B13667" s="1" t="n">
        <v>45649</v>
      </c>
      <c r="C13667" s="1" t="n">
        <v>45677</v>
      </c>
      <c r="D13667" t="inlineStr">
        <is>
          <t>GÄVLEBORGS LÄN</t>
        </is>
      </c>
      <c r="E13667" t="inlineStr">
        <is>
          <t>HUDIKSVALL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61822-2024</t>
        </is>
      </c>
      <c r="B13668" s="1" t="n">
        <v>45649</v>
      </c>
      <c r="C13668" s="1" t="n">
        <v>45677</v>
      </c>
      <c r="D13668" t="inlineStr">
        <is>
          <t>GÄVLEBORGS LÄN</t>
        </is>
      </c>
      <c r="E13668" t="inlineStr">
        <is>
          <t>SANDVIKEN</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61858-2024</t>
        </is>
      </c>
      <c r="B13669" s="1" t="n">
        <v>45649</v>
      </c>
      <c r="C13669" s="1" t="n">
        <v>45677</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61774-2024</t>
        </is>
      </c>
      <c r="B13670" s="1" t="n">
        <v>45649</v>
      </c>
      <c r="C13670" s="1" t="n">
        <v>45677</v>
      </c>
      <c r="D13670" t="inlineStr">
        <is>
          <t>GÄVLEBORGS LÄN</t>
        </is>
      </c>
      <c r="E13670" t="inlineStr">
        <is>
          <t>SANDVIKEN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45677</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61785-2024</t>
        </is>
      </c>
      <c r="B13672" s="1" t="n">
        <v>45649</v>
      </c>
      <c r="C13672" s="1" t="n">
        <v>45677</v>
      </c>
      <c r="D13672" t="inlineStr">
        <is>
          <t>GÄVLEBORGS LÄN</t>
        </is>
      </c>
      <c r="E13672" t="inlineStr">
        <is>
          <t>HUDIKSVALL</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45677</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61881-2024</t>
        </is>
      </c>
      <c r="B13674" s="1" t="n">
        <v>45652</v>
      </c>
      <c r="C13674" s="1" t="n">
        <v>45677</v>
      </c>
      <c r="D13674" t="inlineStr">
        <is>
          <t>GÄVLEBORGS LÄN</t>
        </is>
      </c>
      <c r="E13674" t="inlineStr">
        <is>
          <t>SÖDERHAMN</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61880-2024</t>
        </is>
      </c>
      <c r="B13675" s="1" t="n">
        <v>45652</v>
      </c>
      <c r="C13675" s="1" t="n">
        <v>45677</v>
      </c>
      <c r="D13675" t="inlineStr">
        <is>
          <t>GÄVLEBORGS LÄN</t>
        </is>
      </c>
      <c r="E13675" t="inlineStr">
        <is>
          <t>GÄVLE</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61933-2024</t>
        </is>
      </c>
      <c r="B13676" s="1" t="n">
        <v>45653</v>
      </c>
      <c r="C13676" s="1" t="n">
        <v>45677</v>
      </c>
      <c r="D13676" t="inlineStr">
        <is>
          <t>GÄVLEBORGS LÄN</t>
        </is>
      </c>
      <c r="E13676" t="inlineStr">
        <is>
          <t>OCKELBO</t>
        </is>
      </c>
      <c r="F13676" t="inlineStr">
        <is>
          <t>Bergvik skog väst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61998-2024</t>
        </is>
      </c>
      <c r="B13677" s="1" t="n">
        <v>45654</v>
      </c>
      <c r="C13677" s="1" t="n">
        <v>45677</v>
      </c>
      <c r="D13677" t="inlineStr">
        <is>
          <t>GÄVLEBORGS LÄN</t>
        </is>
      </c>
      <c r="E13677" t="inlineStr">
        <is>
          <t>SÖDERHAMN</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62071-2024</t>
        </is>
      </c>
      <c r="B13678" s="1" t="n">
        <v>45656</v>
      </c>
      <c r="C13678" s="1" t="n">
        <v>45677</v>
      </c>
      <c r="D13678" t="inlineStr">
        <is>
          <t>GÄVLEBORGS LÄN</t>
        </is>
      </c>
      <c r="E13678" t="inlineStr">
        <is>
          <t>SANDVIKEN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62162-2024</t>
        </is>
      </c>
      <c r="B13679" s="1" t="n">
        <v>45656</v>
      </c>
      <c r="C13679" s="1" t="n">
        <v>45677</v>
      </c>
      <c r="D13679" t="inlineStr">
        <is>
          <t>GÄVLEBORGS LÄN</t>
        </is>
      </c>
      <c r="E13679" t="inlineStr">
        <is>
          <t>LJUSDAL</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62096-2024</t>
        </is>
      </c>
      <c r="B13680" s="1" t="n">
        <v>45656</v>
      </c>
      <c r="C13680" s="1" t="n">
        <v>45677</v>
      </c>
      <c r="D13680" t="inlineStr">
        <is>
          <t>GÄVLEBORGS LÄN</t>
        </is>
      </c>
      <c r="E13680" t="inlineStr">
        <is>
          <t>OCKELBO</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62152-2024</t>
        </is>
      </c>
      <c r="B13681" s="1" t="n">
        <v>45656</v>
      </c>
      <c r="C13681" s="1" t="n">
        <v>45677</v>
      </c>
      <c r="D13681" t="inlineStr">
        <is>
          <t>GÄVLEBORGS LÄN</t>
        </is>
      </c>
      <c r="E13681" t="inlineStr">
        <is>
          <t>OVANÅKER</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24-2025</t>
        </is>
      </c>
      <c r="B13682" s="1" t="n">
        <v>45658</v>
      </c>
      <c r="C13682" s="1" t="n">
        <v>45677</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167-2025</t>
        </is>
      </c>
      <c r="B13683" s="1" t="n">
        <v>45659</v>
      </c>
      <c r="C13683" s="1" t="n">
        <v>45677</v>
      </c>
      <c r="D13683" t="inlineStr">
        <is>
          <t>GÄVLEBORGS LÄN</t>
        </is>
      </c>
      <c r="E13683" t="inlineStr">
        <is>
          <t>LJUSDAL</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173-2025</t>
        </is>
      </c>
      <c r="B13684" s="1" t="n">
        <v>45659</v>
      </c>
      <c r="C13684" s="1" t="n">
        <v>45677</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77-2025</t>
        </is>
      </c>
      <c r="B13685" s="1" t="n">
        <v>45659</v>
      </c>
      <c r="C13685" s="1" t="n">
        <v>45677</v>
      </c>
      <c r="D13685" t="inlineStr">
        <is>
          <t>GÄVLEBORGS LÄN</t>
        </is>
      </c>
      <c r="E13685" t="inlineStr">
        <is>
          <t>LJUSDAL</t>
        </is>
      </c>
      <c r="F13685" t="inlineStr">
        <is>
          <t>Allmännings- och besparingsskogar</t>
        </is>
      </c>
      <c r="G13685" t="n">
        <v>15.6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204-2025</t>
        </is>
      </c>
      <c r="B13686" s="1" t="n">
        <v>45660</v>
      </c>
      <c r="C13686" s="1" t="n">
        <v>45677</v>
      </c>
      <c r="D13686" t="inlineStr">
        <is>
          <t>GÄVLEBORGS LÄN</t>
        </is>
      </c>
      <c r="E13686" t="inlineStr">
        <is>
          <t>LJUSDAL</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208-2025</t>
        </is>
      </c>
      <c r="B13687" s="1" t="n">
        <v>45660</v>
      </c>
      <c r="C13687" s="1" t="n">
        <v>45677</v>
      </c>
      <c r="D13687" t="inlineStr">
        <is>
          <t>GÄVLEBORGS LÄN</t>
        </is>
      </c>
      <c r="E13687" t="inlineStr">
        <is>
          <t>LJUSDAL</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212-2025</t>
        </is>
      </c>
      <c r="B13688" s="1" t="n">
        <v>45660</v>
      </c>
      <c r="C13688" s="1" t="n">
        <v>45677</v>
      </c>
      <c r="D13688" t="inlineStr">
        <is>
          <t>GÄVLEBORGS LÄN</t>
        </is>
      </c>
      <c r="E13688" t="inlineStr">
        <is>
          <t>GÄVLE</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203-2025</t>
        </is>
      </c>
      <c r="B13689" s="1" t="n">
        <v>45660</v>
      </c>
      <c r="C13689" s="1" t="n">
        <v>45677</v>
      </c>
      <c r="D13689" t="inlineStr">
        <is>
          <t>GÄVLEBORGS LÄN</t>
        </is>
      </c>
      <c r="E13689" t="inlineStr">
        <is>
          <t>LJUSDAL</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239-2025</t>
        </is>
      </c>
      <c r="B13690" s="1" t="n">
        <v>45660</v>
      </c>
      <c r="C13690" s="1" t="n">
        <v>45677</v>
      </c>
      <c r="D13690" t="inlineStr">
        <is>
          <t>GÄVLEBORGS LÄN</t>
        </is>
      </c>
      <c r="E13690" t="inlineStr">
        <is>
          <t>SANDVIKEN</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247-2025</t>
        </is>
      </c>
      <c r="B13691" s="1" t="n">
        <v>45660</v>
      </c>
      <c r="C13691" s="1" t="n">
        <v>45677</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256-2025</t>
        </is>
      </c>
      <c r="B13692" s="1" t="n">
        <v>45660</v>
      </c>
      <c r="C13692" s="1" t="n">
        <v>45677</v>
      </c>
      <c r="D13692" t="inlineStr">
        <is>
          <t>GÄVLEBORGS LÄN</t>
        </is>
      </c>
      <c r="E13692" t="inlineStr">
        <is>
          <t>LJUSDAL</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232-2025</t>
        </is>
      </c>
      <c r="B13693" s="1" t="n">
        <v>45660</v>
      </c>
      <c r="C13693" s="1" t="n">
        <v>45677</v>
      </c>
      <c r="D13693" t="inlineStr">
        <is>
          <t>GÄVLEBORGS LÄN</t>
        </is>
      </c>
      <c r="E13693" t="inlineStr">
        <is>
          <t>GÄVLE</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238-2025</t>
        </is>
      </c>
      <c r="B13694" s="1" t="n">
        <v>45660</v>
      </c>
      <c r="C13694" s="1" t="n">
        <v>45677</v>
      </c>
      <c r="D13694" t="inlineStr">
        <is>
          <t>GÄVLEBORGS LÄN</t>
        </is>
      </c>
      <c r="E13694" t="inlineStr">
        <is>
          <t>SANDVIKEN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250-2025</t>
        </is>
      </c>
      <c r="B13695" s="1" t="n">
        <v>45660</v>
      </c>
      <c r="C13695" s="1" t="n">
        <v>45677</v>
      </c>
      <c r="D13695" t="inlineStr">
        <is>
          <t>GÄVLEBORGS LÄN</t>
        </is>
      </c>
      <c r="E13695" t="inlineStr">
        <is>
          <t>GÄVLE</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255-2025</t>
        </is>
      </c>
      <c r="B13696" s="1" t="n">
        <v>45660</v>
      </c>
      <c r="C13696" s="1" t="n">
        <v>45677</v>
      </c>
      <c r="D13696" t="inlineStr">
        <is>
          <t>GÄVLEBORGS LÄN</t>
        </is>
      </c>
      <c r="E13696" t="inlineStr">
        <is>
          <t>GÄVLE</t>
        </is>
      </c>
      <c r="F13696" t="inlineStr">
        <is>
          <t>Bergvik skog väst AB</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259-2025</t>
        </is>
      </c>
      <c r="B13697" s="1" t="n">
        <v>45660</v>
      </c>
      <c r="C13697" s="1" t="n">
        <v>45677</v>
      </c>
      <c r="D13697" t="inlineStr">
        <is>
          <t>GÄVLEBORGS LÄN</t>
        </is>
      </c>
      <c r="E13697" t="inlineStr">
        <is>
          <t>GÄVLE</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206-2025</t>
        </is>
      </c>
      <c r="B13698" s="1" t="n">
        <v>45660</v>
      </c>
      <c r="C13698" s="1" t="n">
        <v>45677</v>
      </c>
      <c r="D13698" t="inlineStr">
        <is>
          <t>GÄVLEBORGS LÄN</t>
        </is>
      </c>
      <c r="E13698" t="inlineStr">
        <is>
          <t>LJUSDAL</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210-2025</t>
        </is>
      </c>
      <c r="B13699" s="1" t="n">
        <v>45660</v>
      </c>
      <c r="C13699" s="1" t="n">
        <v>45677</v>
      </c>
      <c r="D13699" t="inlineStr">
        <is>
          <t>GÄVLEBORGS LÄN</t>
        </is>
      </c>
      <c r="E13699" t="inlineStr">
        <is>
          <t>HUDIKSVALL</t>
        </is>
      </c>
      <c r="F13699" t="inlineStr">
        <is>
          <t>Holmen skog AB</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214-2025</t>
        </is>
      </c>
      <c r="B13700" s="1" t="n">
        <v>45660</v>
      </c>
      <c r="C13700" s="1" t="n">
        <v>45677</v>
      </c>
      <c r="D13700" t="inlineStr">
        <is>
          <t>GÄVLEBORGS LÄN</t>
        </is>
      </c>
      <c r="E13700" t="inlineStr">
        <is>
          <t>GÄVLE</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226-2025</t>
        </is>
      </c>
      <c r="B13701" s="1" t="n">
        <v>45660</v>
      </c>
      <c r="C13701" s="1" t="n">
        <v>45677</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241-2025</t>
        </is>
      </c>
      <c r="B13702" s="1" t="n">
        <v>45660</v>
      </c>
      <c r="C13702" s="1" t="n">
        <v>45677</v>
      </c>
      <c r="D13702" t="inlineStr">
        <is>
          <t>GÄVLEBORGS LÄN</t>
        </is>
      </c>
      <c r="E13702" t="inlineStr">
        <is>
          <t>SANDVIKEN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45677</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268-2025</t>
        </is>
      </c>
      <c r="B13704" s="1" t="n">
        <v>45660</v>
      </c>
      <c r="C13704" s="1" t="n">
        <v>45677</v>
      </c>
      <c r="D13704" t="inlineStr">
        <is>
          <t>GÄVLEBORGS LÄN</t>
        </is>
      </c>
      <c r="E13704" t="inlineStr">
        <is>
          <t>LJUSDAL</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282-2025</t>
        </is>
      </c>
      <c r="B13705" s="1" t="n">
        <v>45660</v>
      </c>
      <c r="C13705" s="1" t="n">
        <v>45677</v>
      </c>
      <c r="D13705" t="inlineStr">
        <is>
          <t>GÄVLEBORGS LÄN</t>
        </is>
      </c>
      <c r="E13705" t="inlineStr">
        <is>
          <t>NORDANSTIG</t>
        </is>
      </c>
      <c r="F13705" t="inlineStr">
        <is>
          <t>Holmen skog AB</t>
        </is>
      </c>
      <c r="G13705" t="n">
        <v>14.1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205-2025</t>
        </is>
      </c>
      <c r="B13706" s="1" t="n">
        <v>45660</v>
      </c>
      <c r="C13706" s="1" t="n">
        <v>45677</v>
      </c>
      <c r="D13706" t="inlineStr">
        <is>
          <t>GÄVLEBORGS LÄN</t>
        </is>
      </c>
      <c r="E13706" t="inlineStr">
        <is>
          <t>LJUSDAL</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209-2025</t>
        </is>
      </c>
      <c r="B13707" s="1" t="n">
        <v>45660</v>
      </c>
      <c r="C13707" s="1" t="n">
        <v>45677</v>
      </c>
      <c r="D13707" t="inlineStr">
        <is>
          <t>GÄVLEBORGS LÄN</t>
        </is>
      </c>
      <c r="E13707" t="inlineStr">
        <is>
          <t>LJUSDAL</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225-2025</t>
        </is>
      </c>
      <c r="B13708" s="1" t="n">
        <v>45660</v>
      </c>
      <c r="C13708" s="1" t="n">
        <v>45677</v>
      </c>
      <c r="D13708" t="inlineStr">
        <is>
          <t>GÄVLEBORGS LÄN</t>
        </is>
      </c>
      <c r="E13708" t="inlineStr">
        <is>
          <t>GÄVLE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230-2025</t>
        </is>
      </c>
      <c r="B13709" s="1" t="n">
        <v>45660</v>
      </c>
      <c r="C13709" s="1" t="n">
        <v>45677</v>
      </c>
      <c r="D13709" t="inlineStr">
        <is>
          <t>GÄVLEBORGS LÄN</t>
        </is>
      </c>
      <c r="E13709" t="inlineStr">
        <is>
          <t>GÄVLE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257-2025</t>
        </is>
      </c>
      <c r="B13710" s="1" t="n">
        <v>45660</v>
      </c>
      <c r="C13710" s="1" t="n">
        <v>45677</v>
      </c>
      <c r="D13710" t="inlineStr">
        <is>
          <t>GÄVLEBORGS LÄN</t>
        </is>
      </c>
      <c r="E13710" t="inlineStr">
        <is>
          <t>GÄVLE</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286-2025</t>
        </is>
      </c>
      <c r="B13711" s="1" t="n">
        <v>45660</v>
      </c>
      <c r="C13711" s="1" t="n">
        <v>45677</v>
      </c>
      <c r="D13711" t="inlineStr">
        <is>
          <t>GÄVLEBORGS LÄN</t>
        </is>
      </c>
      <c r="E13711" t="inlineStr">
        <is>
          <t>HUDIKSVALL</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389-2025</t>
        </is>
      </c>
      <c r="B13712" s="1" t="n">
        <v>45662</v>
      </c>
      <c r="C13712" s="1" t="n">
        <v>45677</v>
      </c>
      <c r="D13712" t="inlineStr">
        <is>
          <t>GÄVLEBORGS LÄN</t>
        </is>
      </c>
      <c r="E13712" t="inlineStr">
        <is>
          <t>SANDVIKEN</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405-2025</t>
        </is>
      </c>
      <c r="B13713" s="1" t="n">
        <v>45663</v>
      </c>
      <c r="C13713" s="1" t="n">
        <v>45677</v>
      </c>
      <c r="D13713" t="inlineStr">
        <is>
          <t>GÄVLEBORGS LÄN</t>
        </is>
      </c>
      <c r="E13713" t="inlineStr">
        <is>
          <t>HUDIKSVALL</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411-2025</t>
        </is>
      </c>
      <c r="B13714" s="1" t="n">
        <v>45663</v>
      </c>
      <c r="C13714" s="1" t="n">
        <v>45677</v>
      </c>
      <c r="D13714" t="inlineStr">
        <is>
          <t>GÄVLEBORGS LÄN</t>
        </is>
      </c>
      <c r="E13714" t="inlineStr">
        <is>
          <t>NORDANSTIG</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406-2025</t>
        </is>
      </c>
      <c r="B13715" s="1" t="n">
        <v>45663</v>
      </c>
      <c r="C13715" s="1" t="n">
        <v>45677</v>
      </c>
      <c r="D13715" t="inlineStr">
        <is>
          <t>GÄVLEBORGS LÄN</t>
        </is>
      </c>
      <c r="E13715" t="inlineStr">
        <is>
          <t>HUDIKSVALL</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438-2025</t>
        </is>
      </c>
      <c r="B13716" s="1" t="n">
        <v>45664</v>
      </c>
      <c r="C13716" s="1" t="n">
        <v>45677</v>
      </c>
      <c r="D13716" t="inlineStr">
        <is>
          <t>GÄVLEBORGS LÄN</t>
        </is>
      </c>
      <c r="E13716" t="inlineStr">
        <is>
          <t>OVANÅKER</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444-2025</t>
        </is>
      </c>
      <c r="B13717" s="1" t="n">
        <v>45664</v>
      </c>
      <c r="C13717" s="1" t="n">
        <v>45677</v>
      </c>
      <c r="D13717" t="inlineStr">
        <is>
          <t>GÄVLEBORGS LÄN</t>
        </is>
      </c>
      <c r="E13717" t="inlineStr">
        <is>
          <t>NORDANSTIG</t>
        </is>
      </c>
      <c r="F13717" t="inlineStr">
        <is>
          <t>Holmen skog AB</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452-2025</t>
        </is>
      </c>
      <c r="B13718" s="1" t="n">
        <v>45664</v>
      </c>
      <c r="C13718" s="1" t="n">
        <v>45677</v>
      </c>
      <c r="D13718" t="inlineStr">
        <is>
          <t>GÄVLEBORGS LÄN</t>
        </is>
      </c>
      <c r="E13718" t="inlineStr">
        <is>
          <t>GÄVLE</t>
        </is>
      </c>
      <c r="G13718" t="n">
        <v>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450-2025</t>
        </is>
      </c>
      <c r="B13719" s="1" t="n">
        <v>45664</v>
      </c>
      <c r="C13719" s="1" t="n">
        <v>45677</v>
      </c>
      <c r="D13719" t="inlineStr">
        <is>
          <t>GÄVLEBORGS LÄN</t>
        </is>
      </c>
      <c r="E13719" t="inlineStr">
        <is>
          <t>HUDIKSVALL</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462-2025</t>
        </is>
      </c>
      <c r="B13720" s="1" t="n">
        <v>45664</v>
      </c>
      <c r="C13720" s="1" t="n">
        <v>45677</v>
      </c>
      <c r="D13720" t="inlineStr">
        <is>
          <t>GÄVLEBORGS LÄN</t>
        </is>
      </c>
      <c r="E13720" t="inlineStr">
        <is>
          <t>LJUSDAL</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447-2025</t>
        </is>
      </c>
      <c r="B13721" s="1" t="n">
        <v>45664</v>
      </c>
      <c r="C13721" s="1" t="n">
        <v>45677</v>
      </c>
      <c r="D13721" t="inlineStr">
        <is>
          <t>GÄVLEBORGS LÄN</t>
        </is>
      </c>
      <c r="E13721" t="inlineStr">
        <is>
          <t>GÄVLE</t>
        </is>
      </c>
      <c r="G13721" t="n">
        <v>6.6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514-2025</t>
        </is>
      </c>
      <c r="B13722" s="1" t="n">
        <v>45664</v>
      </c>
      <c r="C13722" s="1" t="n">
        <v>45677</v>
      </c>
      <c r="D13722" t="inlineStr">
        <is>
          <t>GÄVLEBORGS LÄN</t>
        </is>
      </c>
      <c r="E13722" t="inlineStr">
        <is>
          <t>NORDANSTIG</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553-2025</t>
        </is>
      </c>
      <c r="B13723" s="1" t="n">
        <v>45664</v>
      </c>
      <c r="C13723" s="1" t="n">
        <v>45677</v>
      </c>
      <c r="D13723" t="inlineStr">
        <is>
          <t>GÄVLEBORGS LÄN</t>
        </is>
      </c>
      <c r="E13723" t="inlineStr">
        <is>
          <t>HUDIKSVALL</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574-2025</t>
        </is>
      </c>
      <c r="B13724" s="1" t="n">
        <v>45664</v>
      </c>
      <c r="C13724" s="1" t="n">
        <v>45677</v>
      </c>
      <c r="D13724" t="inlineStr">
        <is>
          <t>GÄVLEBORGS LÄN</t>
        </is>
      </c>
      <c r="E13724" t="inlineStr">
        <is>
          <t>LJUSDAL</t>
        </is>
      </c>
      <c r="F13724" t="inlineStr">
        <is>
          <t>Bergvik skog väst AB</t>
        </is>
      </c>
      <c r="G13724" t="n">
        <v>18.1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586-2025</t>
        </is>
      </c>
      <c r="B13725" s="1" t="n">
        <v>45664</v>
      </c>
      <c r="C13725" s="1" t="n">
        <v>45677</v>
      </c>
      <c r="D13725" t="inlineStr">
        <is>
          <t>GÄVLEBORGS LÄN</t>
        </is>
      </c>
      <c r="E13725" t="inlineStr">
        <is>
          <t>BOLLNÄS</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603-2025</t>
        </is>
      </c>
      <c r="B13726" s="1" t="n">
        <v>45664</v>
      </c>
      <c r="C13726" s="1" t="n">
        <v>45677</v>
      </c>
      <c r="D13726" t="inlineStr">
        <is>
          <t>GÄVLEBORGS LÄN</t>
        </is>
      </c>
      <c r="E13726" t="inlineStr">
        <is>
          <t>HUDIKSVALL</t>
        </is>
      </c>
      <c r="F13726" t="inlineStr">
        <is>
          <t>Holmen skog AB</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617-2025</t>
        </is>
      </c>
      <c r="B13727" s="1" t="n">
        <v>45664</v>
      </c>
      <c r="C13727" s="1" t="n">
        <v>45677</v>
      </c>
      <c r="D13727" t="inlineStr">
        <is>
          <t>GÄVLEBORGS LÄN</t>
        </is>
      </c>
      <c r="E13727" t="inlineStr">
        <is>
          <t>BOLLNÄS</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628-2025</t>
        </is>
      </c>
      <c r="B13728" s="1" t="n">
        <v>45664</v>
      </c>
      <c r="C13728" s="1" t="n">
        <v>45677</v>
      </c>
      <c r="D13728" t="inlineStr">
        <is>
          <t>GÄVLEBORGS LÄN</t>
        </is>
      </c>
      <c r="E13728" t="inlineStr">
        <is>
          <t>OVANÅKER</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579-2025</t>
        </is>
      </c>
      <c r="B13729" s="1" t="n">
        <v>45664</v>
      </c>
      <c r="C13729" s="1" t="n">
        <v>45677</v>
      </c>
      <c r="D13729" t="inlineStr">
        <is>
          <t>GÄVLEBORGS LÄN</t>
        </is>
      </c>
      <c r="E13729" t="inlineStr">
        <is>
          <t>BOLLNÄS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595-2025</t>
        </is>
      </c>
      <c r="B13730" s="1" t="n">
        <v>45664</v>
      </c>
      <c r="C13730" s="1" t="n">
        <v>45677</v>
      </c>
      <c r="D13730" t="inlineStr">
        <is>
          <t>GÄVLEBORGS LÄN</t>
        </is>
      </c>
      <c r="E13730" t="inlineStr">
        <is>
          <t>BOLLNÄS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449-2025</t>
        </is>
      </c>
      <c r="B13731" s="1" t="n">
        <v>45664</v>
      </c>
      <c r="C13731" s="1" t="n">
        <v>45677</v>
      </c>
      <c r="D13731" t="inlineStr">
        <is>
          <t>GÄVLEBORGS LÄN</t>
        </is>
      </c>
      <c r="E13731" t="inlineStr">
        <is>
          <t>OVANÅKER</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554-2025</t>
        </is>
      </c>
      <c r="B13732" s="1" t="n">
        <v>45664</v>
      </c>
      <c r="C13732" s="1" t="n">
        <v>45677</v>
      </c>
      <c r="D13732" t="inlineStr">
        <is>
          <t>GÄVLEBORGS LÄN</t>
        </is>
      </c>
      <c r="E13732" t="inlineStr">
        <is>
          <t>HOFORS</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593-2025</t>
        </is>
      </c>
      <c r="B13733" s="1" t="n">
        <v>45664</v>
      </c>
      <c r="C13733" s="1" t="n">
        <v>45677</v>
      </c>
      <c r="D13733" t="inlineStr">
        <is>
          <t>GÄVLEBORGS LÄN</t>
        </is>
      </c>
      <c r="E13733" t="inlineStr">
        <is>
          <t>LJUSDAL</t>
        </is>
      </c>
      <c r="G13733" t="n">
        <v>17.9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624-2025</t>
        </is>
      </c>
      <c r="B13734" s="1" t="n">
        <v>45664</v>
      </c>
      <c r="C13734" s="1" t="n">
        <v>45677</v>
      </c>
      <c r="D13734" t="inlineStr">
        <is>
          <t>GÄVLEBORGS LÄN</t>
        </is>
      </c>
      <c r="E13734" t="inlineStr">
        <is>
          <t>HUDIKSVALL</t>
        </is>
      </c>
      <c r="F13734" t="inlineStr">
        <is>
          <t>Holmen skog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685-2025</t>
        </is>
      </c>
      <c r="B13735" s="1" t="n">
        <v>45665</v>
      </c>
      <c r="C13735" s="1" t="n">
        <v>45677</v>
      </c>
      <c r="D13735" t="inlineStr">
        <is>
          <t>GÄVLEBORGS LÄN</t>
        </is>
      </c>
      <c r="E13735" t="inlineStr">
        <is>
          <t>OVANÅKER</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721-2025</t>
        </is>
      </c>
      <c r="B13736" s="1" t="n">
        <v>45665</v>
      </c>
      <c r="C13736" s="1" t="n">
        <v>45677</v>
      </c>
      <c r="D13736" t="inlineStr">
        <is>
          <t>GÄVLEBORGS LÄN</t>
        </is>
      </c>
      <c r="E13736" t="inlineStr">
        <is>
          <t>SÖDERHAMN</t>
        </is>
      </c>
      <c r="F13736" t="inlineStr">
        <is>
          <t>Bergvik skog väst AB</t>
        </is>
      </c>
      <c r="G13736" t="n">
        <v>15.2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766-2025</t>
        </is>
      </c>
      <c r="B13737" s="1" t="n">
        <v>45665</v>
      </c>
      <c r="C13737" s="1" t="n">
        <v>45677</v>
      </c>
      <c r="D13737" t="inlineStr">
        <is>
          <t>GÄVLEBORGS LÄN</t>
        </is>
      </c>
      <c r="E13737" t="inlineStr">
        <is>
          <t>SANDVIKEN</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711-2025</t>
        </is>
      </c>
      <c r="B13738" s="1" t="n">
        <v>45665</v>
      </c>
      <c r="C13738" s="1" t="n">
        <v>45677</v>
      </c>
      <c r="D13738" t="inlineStr">
        <is>
          <t>GÄVLEBORGS LÄN</t>
        </is>
      </c>
      <c r="E13738" t="inlineStr">
        <is>
          <t>OVANÅKER</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781-2025</t>
        </is>
      </c>
      <c r="B13739" s="1" t="n">
        <v>45665</v>
      </c>
      <c r="C13739" s="1" t="n">
        <v>45677</v>
      </c>
      <c r="D13739" t="inlineStr">
        <is>
          <t>GÄVLEBORGS LÄN</t>
        </is>
      </c>
      <c r="E13739" t="inlineStr">
        <is>
          <t>SANDVIKEN</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701-2025</t>
        </is>
      </c>
      <c r="B13740" s="1" t="n">
        <v>45665</v>
      </c>
      <c r="C13740" s="1" t="n">
        <v>45677</v>
      </c>
      <c r="D13740" t="inlineStr">
        <is>
          <t>GÄVLEBORGS LÄN</t>
        </is>
      </c>
      <c r="E13740" t="inlineStr">
        <is>
          <t>GÄVLE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937-2025</t>
        </is>
      </c>
      <c r="B13741" s="1" t="n">
        <v>45666</v>
      </c>
      <c r="C13741" s="1" t="n">
        <v>45677</v>
      </c>
      <c r="D13741" t="inlineStr">
        <is>
          <t>GÄVLEBORGS LÄN</t>
        </is>
      </c>
      <c r="E13741" t="inlineStr">
        <is>
          <t>SANDVIKEN</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970-2025</t>
        </is>
      </c>
      <c r="B13742" s="1" t="n">
        <v>45666</v>
      </c>
      <c r="C13742" s="1" t="n">
        <v>45677</v>
      </c>
      <c r="D13742" t="inlineStr">
        <is>
          <t>GÄVLEBORGS LÄN</t>
        </is>
      </c>
      <c r="E13742" t="inlineStr">
        <is>
          <t>SANDVIKEN</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991-2025</t>
        </is>
      </c>
      <c r="B13743" s="1" t="n">
        <v>45666</v>
      </c>
      <c r="C13743" s="1" t="n">
        <v>45677</v>
      </c>
      <c r="D13743" t="inlineStr">
        <is>
          <t>GÄVLEBORGS LÄN</t>
        </is>
      </c>
      <c r="E13743" t="inlineStr">
        <is>
          <t>OVANÅKER</t>
        </is>
      </c>
      <c r="F13743" t="inlineStr">
        <is>
          <t>Bergvik skog väst AB</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1037-2025</t>
        </is>
      </c>
      <c r="B13744" s="1" t="n">
        <v>45666</v>
      </c>
      <c r="C13744" s="1" t="n">
        <v>45677</v>
      </c>
      <c r="D13744" t="inlineStr">
        <is>
          <t>GÄVLEBORGS LÄN</t>
        </is>
      </c>
      <c r="E13744" t="inlineStr">
        <is>
          <t>SANDVIKEN</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1066-2025</t>
        </is>
      </c>
      <c r="B13745" s="1" t="n">
        <v>45666</v>
      </c>
      <c r="C13745" s="1" t="n">
        <v>45677</v>
      </c>
      <c r="D13745" t="inlineStr">
        <is>
          <t>GÄVLEBORGS LÄN</t>
        </is>
      </c>
      <c r="E13745" t="inlineStr">
        <is>
          <t>GÄVLE</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1072-2025</t>
        </is>
      </c>
      <c r="B13746" s="1" t="n">
        <v>45666</v>
      </c>
      <c r="C13746" s="1" t="n">
        <v>45677</v>
      </c>
      <c r="D13746" t="inlineStr">
        <is>
          <t>GÄVLEBORGS LÄN</t>
        </is>
      </c>
      <c r="E13746" t="inlineStr">
        <is>
          <t>OVANÅKER</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1062-2025</t>
        </is>
      </c>
      <c r="B13747" s="1" t="n">
        <v>45666</v>
      </c>
      <c r="C13747" s="1" t="n">
        <v>45677</v>
      </c>
      <c r="D13747" t="inlineStr">
        <is>
          <t>GÄVLEBORGS LÄN</t>
        </is>
      </c>
      <c r="E13747" t="inlineStr">
        <is>
          <t>GÄVLE</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1087-2025</t>
        </is>
      </c>
      <c r="B13748" s="1" t="n">
        <v>45666</v>
      </c>
      <c r="C13748" s="1" t="n">
        <v>45677</v>
      </c>
      <c r="D13748" t="inlineStr">
        <is>
          <t>GÄVLEBORGS LÄN</t>
        </is>
      </c>
      <c r="E13748" t="inlineStr">
        <is>
          <t>GÄVLE</t>
        </is>
      </c>
      <c r="F13748" t="inlineStr">
        <is>
          <t>Bergvik skog öst AB</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1118-2025</t>
        </is>
      </c>
      <c r="B13749" s="1" t="n">
        <v>45666</v>
      </c>
      <c r="C13749" s="1" t="n">
        <v>45677</v>
      </c>
      <c r="D13749" t="inlineStr">
        <is>
          <t>GÄVLEBORGS LÄN</t>
        </is>
      </c>
      <c r="E13749" t="inlineStr">
        <is>
          <t>NORDANSTIG</t>
        </is>
      </c>
      <c r="F13749" t="inlineStr">
        <is>
          <t>Holmen skog AB</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1105-2025</t>
        </is>
      </c>
      <c r="B13750" s="1" t="n">
        <v>45666</v>
      </c>
      <c r="C13750" s="1" t="n">
        <v>45677</v>
      </c>
      <c r="D13750" t="inlineStr">
        <is>
          <t>GÄVLEBORGS LÄN</t>
        </is>
      </c>
      <c r="E13750" t="inlineStr">
        <is>
          <t>HUDIKSVALL</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1111-2025</t>
        </is>
      </c>
      <c r="B13751" s="1" t="n">
        <v>45666</v>
      </c>
      <c r="C13751" s="1" t="n">
        <v>45677</v>
      </c>
      <c r="D13751" t="inlineStr">
        <is>
          <t>GÄVLEBORGS LÄN</t>
        </is>
      </c>
      <c r="E13751" t="inlineStr">
        <is>
          <t>HUDIKSVALL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1060-2025</t>
        </is>
      </c>
      <c r="B13752" s="1" t="n">
        <v>45666</v>
      </c>
      <c r="C13752" s="1" t="n">
        <v>45677</v>
      </c>
      <c r="D13752" t="inlineStr">
        <is>
          <t>GÄVLEBORGS LÄN</t>
        </is>
      </c>
      <c r="E13752" t="inlineStr">
        <is>
          <t>SANDVIKEN</t>
        </is>
      </c>
      <c r="F13752" t="inlineStr">
        <is>
          <t>Bergvik skog öst AB</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1075-2025</t>
        </is>
      </c>
      <c r="B13753" s="1" t="n">
        <v>45666</v>
      </c>
      <c r="C13753" s="1" t="n">
        <v>45677</v>
      </c>
      <c r="D13753" t="inlineStr">
        <is>
          <t>GÄVLEBORGS LÄN</t>
        </is>
      </c>
      <c r="E13753" t="inlineStr">
        <is>
          <t>SÖDERHAMN</t>
        </is>
      </c>
      <c r="F13753" t="inlineStr">
        <is>
          <t>Kommuner</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1143-2025</t>
        </is>
      </c>
      <c r="B13754" s="1" t="n">
        <v>45666</v>
      </c>
      <c r="C13754" s="1" t="n">
        <v>45677</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1039-2025</t>
        </is>
      </c>
      <c r="B13755" s="1" t="n">
        <v>45666</v>
      </c>
      <c r="C13755" s="1" t="n">
        <v>45677</v>
      </c>
      <c r="D13755" t="inlineStr">
        <is>
          <t>GÄVLEBORGS LÄN</t>
        </is>
      </c>
      <c r="E13755" t="inlineStr">
        <is>
          <t>SANDVIKEN</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1187-2025</t>
        </is>
      </c>
      <c r="B13756" s="1" t="n">
        <v>45667</v>
      </c>
      <c r="C13756" s="1" t="n">
        <v>45677</v>
      </c>
      <c r="D13756" t="inlineStr">
        <is>
          <t>GÄVLEBORGS LÄN</t>
        </is>
      </c>
      <c r="E13756" t="inlineStr">
        <is>
          <t>SANDVIKEN</t>
        </is>
      </c>
      <c r="F13756" t="inlineStr">
        <is>
          <t>Bergvik skog öst AB</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1193-2025</t>
        </is>
      </c>
      <c r="B13757" s="1" t="n">
        <v>45667</v>
      </c>
      <c r="C13757" s="1" t="n">
        <v>45677</v>
      </c>
      <c r="D13757" t="inlineStr">
        <is>
          <t>GÄVLEBORGS LÄN</t>
        </is>
      </c>
      <c r="E13757" t="inlineStr">
        <is>
          <t>OVANÅKER</t>
        </is>
      </c>
      <c r="F13757" t="inlineStr">
        <is>
          <t>Bergvik skog väst AB</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1213-2025</t>
        </is>
      </c>
      <c r="B13758" s="1" t="n">
        <v>45667</v>
      </c>
      <c r="C13758" s="1" t="n">
        <v>45677</v>
      </c>
      <c r="D13758" t="inlineStr">
        <is>
          <t>GÄVLEBORGS LÄN</t>
        </is>
      </c>
      <c r="E13758" t="inlineStr">
        <is>
          <t>SANDVIKEN</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1222-2025</t>
        </is>
      </c>
      <c r="B13759" s="1" t="n">
        <v>45667</v>
      </c>
      <c r="C13759" s="1" t="n">
        <v>45677</v>
      </c>
      <c r="D13759" t="inlineStr">
        <is>
          <t>GÄVLEBORGS LÄN</t>
        </is>
      </c>
      <c r="E13759" t="inlineStr">
        <is>
          <t>LJUSDAL</t>
        </is>
      </c>
      <c r="F13759" t="inlineStr">
        <is>
          <t>Bergvik skog väst AB</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1226-2025</t>
        </is>
      </c>
      <c r="B13760" s="1" t="n">
        <v>45667</v>
      </c>
      <c r="C13760" s="1" t="n">
        <v>45677</v>
      </c>
      <c r="D13760" t="inlineStr">
        <is>
          <t>GÄVLEBORGS LÄN</t>
        </is>
      </c>
      <c r="E13760" t="inlineStr">
        <is>
          <t>LJUSDAL</t>
        </is>
      </c>
      <c r="F13760" t="inlineStr">
        <is>
          <t>Bergvik skog väst AB</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1221-2025</t>
        </is>
      </c>
      <c r="B13761" s="1" t="n">
        <v>45667</v>
      </c>
      <c r="C13761" s="1" t="n">
        <v>45677</v>
      </c>
      <c r="D13761" t="inlineStr">
        <is>
          <t>GÄVLEBORGS LÄN</t>
        </is>
      </c>
      <c r="E13761" t="inlineStr">
        <is>
          <t>BOLLNÄS</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1173-2025</t>
        </is>
      </c>
      <c r="B13762" s="1" t="n">
        <v>45667</v>
      </c>
      <c r="C13762" s="1" t="n">
        <v>45677</v>
      </c>
      <c r="D13762" t="inlineStr">
        <is>
          <t>GÄVLEBORGS LÄN</t>
        </is>
      </c>
      <c r="E13762" t="inlineStr">
        <is>
          <t>OVANÅKER</t>
        </is>
      </c>
      <c r="F13762" t="inlineStr">
        <is>
          <t>Bergvik skog väst AB</t>
        </is>
      </c>
      <c r="G13762" t="n">
        <v>10.5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1344-2025</t>
        </is>
      </c>
      <c r="B13763" s="1" t="n">
        <v>45667</v>
      </c>
      <c r="C13763" s="1" t="n">
        <v>45677</v>
      </c>
      <c r="D13763" t="inlineStr">
        <is>
          <t>GÄVLEBORGS LÄN</t>
        </is>
      </c>
      <c r="E13763" t="inlineStr">
        <is>
          <t>GÄVLE</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1372-2025</t>
        </is>
      </c>
      <c r="B13764" s="1" t="n">
        <v>45667</v>
      </c>
      <c r="C13764" s="1" t="n">
        <v>45677</v>
      </c>
      <c r="D13764" t="inlineStr">
        <is>
          <t>GÄVLEBORGS LÄN</t>
        </is>
      </c>
      <c r="E13764" t="inlineStr">
        <is>
          <t>SANDVIKEN</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1185-2025</t>
        </is>
      </c>
      <c r="B13765" s="1" t="n">
        <v>45667</v>
      </c>
      <c r="C13765" s="1" t="n">
        <v>45677</v>
      </c>
      <c r="D13765" t="inlineStr">
        <is>
          <t>GÄVLEBORGS LÄN</t>
        </is>
      </c>
      <c r="E13765" t="inlineStr">
        <is>
          <t>NORDANSTIG</t>
        </is>
      </c>
      <c r="F13765" t="inlineStr">
        <is>
          <t>Holmen skog AB</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1256-2025</t>
        </is>
      </c>
      <c r="B13766" s="1" t="n">
        <v>45667</v>
      </c>
      <c r="C13766" s="1" t="n">
        <v>45677</v>
      </c>
      <c r="D13766" t="inlineStr">
        <is>
          <t>GÄVLEBORGS LÄN</t>
        </is>
      </c>
      <c r="E13766" t="inlineStr">
        <is>
          <t>OVANÅKER</t>
        </is>
      </c>
      <c r="F13766" t="inlineStr">
        <is>
          <t>Bergvik skog väst AB</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1332-2025</t>
        </is>
      </c>
      <c r="B13767" s="1" t="n">
        <v>45667</v>
      </c>
      <c r="C13767" s="1" t="n">
        <v>45677</v>
      </c>
      <c r="D13767" t="inlineStr">
        <is>
          <t>GÄVLEBORGS LÄN</t>
        </is>
      </c>
      <c r="E13767" t="inlineStr">
        <is>
          <t>LJUSDAL</t>
        </is>
      </c>
      <c r="F13767" t="inlineStr">
        <is>
          <t>Holmen skog AB</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1370-2025</t>
        </is>
      </c>
      <c r="B13768" s="1" t="n">
        <v>45667</v>
      </c>
      <c r="C13768" s="1" t="n">
        <v>45677</v>
      </c>
      <c r="D13768" t="inlineStr">
        <is>
          <t>GÄVLEBORGS LÄN</t>
        </is>
      </c>
      <c r="E13768" t="inlineStr">
        <is>
          <t>NORDANSTIG</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1564-2025</t>
        </is>
      </c>
      <c r="B13769" s="1" t="n">
        <v>45667</v>
      </c>
      <c r="C13769" s="1" t="n">
        <v>45677</v>
      </c>
      <c r="D13769" t="inlineStr">
        <is>
          <t>GÄVLEBORGS LÄN</t>
        </is>
      </c>
      <c r="E13769" t="inlineStr">
        <is>
          <t>NORDANSTIG</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1335-2025</t>
        </is>
      </c>
      <c r="B13770" s="1" t="n">
        <v>45667</v>
      </c>
      <c r="C13770" s="1" t="n">
        <v>45677</v>
      </c>
      <c r="D13770" t="inlineStr">
        <is>
          <t>GÄVLEBORGS LÄN</t>
        </is>
      </c>
      <c r="E13770" t="inlineStr">
        <is>
          <t>NORDANSTIG</t>
        </is>
      </c>
      <c r="F13770" t="inlineStr">
        <is>
          <t>Holmen skog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1341-2025</t>
        </is>
      </c>
      <c r="B13771" s="1" t="n">
        <v>45667</v>
      </c>
      <c r="C13771" s="1" t="n">
        <v>45677</v>
      </c>
      <c r="D13771" t="inlineStr">
        <is>
          <t>GÄVLEBORGS LÄN</t>
        </is>
      </c>
      <c r="E13771" t="inlineStr">
        <is>
          <t>OVANÅKER</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1190-2025</t>
        </is>
      </c>
      <c r="B13772" s="1" t="n">
        <v>45667</v>
      </c>
      <c r="C13772" s="1" t="n">
        <v>45677</v>
      </c>
      <c r="D13772" t="inlineStr">
        <is>
          <t>GÄVLEBORGS LÄN</t>
        </is>
      </c>
      <c r="E13772" t="inlineStr">
        <is>
          <t>OVANÅKER</t>
        </is>
      </c>
      <c r="F13772" t="inlineStr">
        <is>
          <t>Bergvik skog väst AB</t>
        </is>
      </c>
      <c r="G13772" t="n">
        <v>28.8</v>
      </c>
      <c r="H13772" t="n">
        <v>0</v>
      </c>
      <c r="I13772" t="n">
        <v>0</v>
      </c>
      <c r="J13772" t="n">
        <v>0</v>
      </c>
      <c r="K13772" t="n">
        <v>0</v>
      </c>
      <c r="L13772" t="n">
        <v>0</v>
      </c>
      <c r="M13772" t="n">
        <v>0</v>
      </c>
      <c r="N13772" t="n">
        <v>0</v>
      </c>
      <c r="O13772" t="n">
        <v>0</v>
      </c>
      <c r="P13772" t="n">
        <v>0</v>
      </c>
      <c r="Q13772" t="n">
        <v>0</v>
      </c>
      <c r="R13772" s="2" t="inlineStr"/>
      <c r="U13772">
        <f>HYPERLINK("https://klasma.github.io/Logging_2121/knärot/A 1190-2025 karta knärot.png", "A 1190-2025")</f>
        <v/>
      </c>
      <c r="V13772">
        <f>HYPERLINK("https://klasma.github.io/Logging_2121/klagomål/A 1190-2025 FSC-klagomål.docx", "A 1190-2025")</f>
        <v/>
      </c>
      <c r="W13772">
        <f>HYPERLINK("https://klasma.github.io/Logging_2121/klagomålsmail/A 1190-2025 FSC-klagomål mail.docx", "A 1190-2025")</f>
        <v/>
      </c>
      <c r="X13772">
        <f>HYPERLINK("https://klasma.github.io/Logging_2121/tillsyn/A 1190-2025 tillsynsbegäran.docx", "A 1190-2025")</f>
        <v/>
      </c>
      <c r="Y13772">
        <f>HYPERLINK("https://klasma.github.io/Logging_2121/tillsynsmail/A 1190-2025 tillsynsbegäran mail.docx", "A 1190-2025")</f>
        <v/>
      </c>
    </row>
    <row r="13773" ht="15" customHeight="1">
      <c r="A13773" t="inlineStr">
        <is>
          <t>A 1212-2025</t>
        </is>
      </c>
      <c r="B13773" s="1" t="n">
        <v>45667</v>
      </c>
      <c r="C13773" s="1" t="n">
        <v>45677</v>
      </c>
      <c r="D13773" t="inlineStr">
        <is>
          <t>GÄVLEBORGS LÄN</t>
        </is>
      </c>
      <c r="E13773" t="inlineStr">
        <is>
          <t>GÄVLE</t>
        </is>
      </c>
      <c r="F13773" t="inlineStr">
        <is>
          <t>Bergvik skog öst AB</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1261-2025</t>
        </is>
      </c>
      <c r="B13774" s="1" t="n">
        <v>45667</v>
      </c>
      <c r="C13774" s="1" t="n">
        <v>45677</v>
      </c>
      <c r="D13774" t="inlineStr">
        <is>
          <t>GÄVLEBORGS LÄN</t>
        </is>
      </c>
      <c r="E13774" t="inlineStr">
        <is>
          <t>GÄVLE</t>
        </is>
      </c>
      <c r="F13774" t="inlineStr">
        <is>
          <t>Bergvik skog öst AB</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1287-2025</t>
        </is>
      </c>
      <c r="B13775" s="1" t="n">
        <v>45667</v>
      </c>
      <c r="C13775" s="1" t="n">
        <v>45677</v>
      </c>
      <c r="D13775" t="inlineStr">
        <is>
          <t>GÄVLEBORGS LÄN</t>
        </is>
      </c>
      <c r="E13775" t="inlineStr">
        <is>
          <t>GÄVLE</t>
        </is>
      </c>
      <c r="G13775" t="n">
        <v>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1392-2025</t>
        </is>
      </c>
      <c r="B13776" s="1" t="n">
        <v>45667</v>
      </c>
      <c r="C13776" s="1" t="n">
        <v>45677</v>
      </c>
      <c r="D13776" t="inlineStr">
        <is>
          <t>GÄVLEBORGS LÄN</t>
        </is>
      </c>
      <c r="E13776" t="inlineStr">
        <is>
          <t>NORDANSTIG</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1418-2025</t>
        </is>
      </c>
      <c r="B13777" s="1" t="n">
        <v>45668</v>
      </c>
      <c r="C13777" s="1" t="n">
        <v>45677</v>
      </c>
      <c r="D13777" t="inlineStr">
        <is>
          <t>GÄVLEBORGS LÄN</t>
        </is>
      </c>
      <c r="E13777" t="inlineStr">
        <is>
          <t>SANDVIKEN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1468-2025</t>
        </is>
      </c>
      <c r="B13778" s="1" t="n">
        <v>45670</v>
      </c>
      <c r="C13778" s="1" t="n">
        <v>45677</v>
      </c>
      <c r="D13778" t="inlineStr">
        <is>
          <t>GÄVLEBORGS LÄN</t>
        </is>
      </c>
      <c r="E13778" t="inlineStr">
        <is>
          <t>HUDIKSVALL</t>
        </is>
      </c>
      <c r="G13778" t="n">
        <v>11.8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1509-2025</t>
        </is>
      </c>
      <c r="B13779" s="1" t="n">
        <v>45670</v>
      </c>
      <c r="C13779" s="1" t="n">
        <v>45677</v>
      </c>
      <c r="D13779" t="inlineStr">
        <is>
          <t>GÄVLEBORGS LÄN</t>
        </is>
      </c>
      <c r="E13779" t="inlineStr">
        <is>
          <t>OVANÅKER</t>
        </is>
      </c>
      <c r="F13779" t="inlineStr">
        <is>
          <t>Bergvik skog väst AB</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1552-2025</t>
        </is>
      </c>
      <c r="B13780" s="1" t="n">
        <v>45670</v>
      </c>
      <c r="C13780" s="1" t="n">
        <v>45677</v>
      </c>
      <c r="D13780" t="inlineStr">
        <is>
          <t>GÄVLEBORGS LÄN</t>
        </is>
      </c>
      <c r="E13780" t="inlineStr">
        <is>
          <t>OCKELBO</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1576-2025</t>
        </is>
      </c>
      <c r="B13781" s="1" t="n">
        <v>45670</v>
      </c>
      <c r="C13781" s="1" t="n">
        <v>45677</v>
      </c>
      <c r="D13781" t="inlineStr">
        <is>
          <t>GÄVLEBORGS LÄN</t>
        </is>
      </c>
      <c r="E13781" t="inlineStr">
        <is>
          <t>NORDANSTIG</t>
        </is>
      </c>
      <c r="F13781" t="inlineStr">
        <is>
          <t>Holmen skog AB</t>
        </is>
      </c>
      <c r="G13781" t="n">
        <v>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1570-2025</t>
        </is>
      </c>
      <c r="B13782" s="1" t="n">
        <v>45670</v>
      </c>
      <c r="C13782" s="1" t="n">
        <v>45677</v>
      </c>
      <c r="D13782" t="inlineStr">
        <is>
          <t>GÄVLEBORGS LÄN</t>
        </is>
      </c>
      <c r="E13782" t="inlineStr">
        <is>
          <t>LJUSDAL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1478-2025</t>
        </is>
      </c>
      <c r="B13783" s="1" t="n">
        <v>45670</v>
      </c>
      <c r="C13783" s="1" t="n">
        <v>45677</v>
      </c>
      <c r="D13783" t="inlineStr">
        <is>
          <t>GÄVLEBORGS LÄN</t>
        </is>
      </c>
      <c r="E13783" t="inlineStr">
        <is>
          <t>HUDIKSVALL</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1482-2025</t>
        </is>
      </c>
      <c r="B13784" s="1" t="n">
        <v>45670</v>
      </c>
      <c r="C13784" s="1" t="n">
        <v>45677</v>
      </c>
      <c r="D13784" t="inlineStr">
        <is>
          <t>GÄVLEBORGS LÄN</t>
        </is>
      </c>
      <c r="E13784" t="inlineStr">
        <is>
          <t>HUDIKSVALL</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1675-2025</t>
        </is>
      </c>
      <c r="B13785" s="1" t="n">
        <v>45670</v>
      </c>
      <c r="C13785" s="1" t="n">
        <v>45677</v>
      </c>
      <c r="D13785" t="inlineStr">
        <is>
          <t>GÄVLEBORGS LÄN</t>
        </is>
      </c>
      <c r="E13785" t="inlineStr">
        <is>
          <t>SANDVIKEN</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1579-2025</t>
        </is>
      </c>
      <c r="B13786" s="1" t="n">
        <v>45670</v>
      </c>
      <c r="C13786" s="1" t="n">
        <v>45677</v>
      </c>
      <c r="D13786" t="inlineStr">
        <is>
          <t>GÄVLEBORGS LÄN</t>
        </is>
      </c>
      <c r="E13786" t="inlineStr">
        <is>
          <t>NORDANSTIG</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1649-2025</t>
        </is>
      </c>
      <c r="B13787" s="1" t="n">
        <v>45670</v>
      </c>
      <c r="C13787" s="1" t="n">
        <v>45677</v>
      </c>
      <c r="D13787" t="inlineStr">
        <is>
          <t>GÄVLEBORGS LÄN</t>
        </is>
      </c>
      <c r="E13787" t="inlineStr">
        <is>
          <t>SÖDERHAMN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1828-2025</t>
        </is>
      </c>
      <c r="B13788" s="1" t="n">
        <v>45671</v>
      </c>
      <c r="C13788" s="1" t="n">
        <v>45677</v>
      </c>
      <c r="D13788" t="inlineStr">
        <is>
          <t>GÄVLEBORGS LÄN</t>
        </is>
      </c>
      <c r="E13788" t="inlineStr">
        <is>
          <t>HOFORS</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1832-2025</t>
        </is>
      </c>
      <c r="B13789" s="1" t="n">
        <v>45671</v>
      </c>
      <c r="C13789" s="1" t="n">
        <v>45677</v>
      </c>
      <c r="D13789" t="inlineStr">
        <is>
          <t>GÄVLEBORGS LÄN</t>
        </is>
      </c>
      <c r="E13789" t="inlineStr">
        <is>
          <t>HUDIKSVALL</t>
        </is>
      </c>
      <c r="F13789" t="inlineStr">
        <is>
          <t>Holmen skog AB</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1845-2025</t>
        </is>
      </c>
      <c r="B13790" s="1" t="n">
        <v>45671</v>
      </c>
      <c r="C13790" s="1" t="n">
        <v>45677</v>
      </c>
      <c r="D13790" t="inlineStr">
        <is>
          <t>GÄVLEBORGS LÄN</t>
        </is>
      </c>
      <c r="E13790" t="inlineStr">
        <is>
          <t>HUDIKSVALL</t>
        </is>
      </c>
      <c r="F13790" t="inlineStr">
        <is>
          <t>Holmen skog AB</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1873-2025</t>
        </is>
      </c>
      <c r="B13791" s="1" t="n">
        <v>45671</v>
      </c>
      <c r="C13791" s="1" t="n">
        <v>45677</v>
      </c>
      <c r="D13791" t="inlineStr">
        <is>
          <t>GÄVLEBORGS LÄN</t>
        </is>
      </c>
      <c r="E13791" t="inlineStr">
        <is>
          <t>NORDANSTIG</t>
        </is>
      </c>
      <c r="F13791" t="inlineStr">
        <is>
          <t>Holmen skog AB</t>
        </is>
      </c>
      <c r="G13791" t="n">
        <v>9.199999999999999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1766-2025</t>
        </is>
      </c>
      <c r="B13792" s="1" t="n">
        <v>45671</v>
      </c>
      <c r="C13792" s="1" t="n">
        <v>45677</v>
      </c>
      <c r="D13792" t="inlineStr">
        <is>
          <t>GÄVLEBORGS LÄN</t>
        </is>
      </c>
      <c r="E13792" t="inlineStr">
        <is>
          <t>OCKELBO</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1835-2025</t>
        </is>
      </c>
      <c r="B13793" s="1" t="n">
        <v>45671</v>
      </c>
      <c r="C13793" s="1" t="n">
        <v>45677</v>
      </c>
      <c r="D13793" t="inlineStr">
        <is>
          <t>GÄVLEBORGS LÄN</t>
        </is>
      </c>
      <c r="E13793" t="inlineStr">
        <is>
          <t>OVANÅKER</t>
        </is>
      </c>
      <c r="F13793" t="inlineStr">
        <is>
          <t>Bergvik skog väst AB</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1856-2025</t>
        </is>
      </c>
      <c r="B13794" s="1" t="n">
        <v>45671</v>
      </c>
      <c r="C13794" s="1" t="n">
        <v>45677</v>
      </c>
      <c r="D13794" t="inlineStr">
        <is>
          <t>GÄVLEBORGS LÄN</t>
        </is>
      </c>
      <c r="E13794" t="inlineStr">
        <is>
          <t>OVANÅKER</t>
        </is>
      </c>
      <c r="F13794" t="inlineStr">
        <is>
          <t>Bergvik skog väst AB</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1860-2025</t>
        </is>
      </c>
      <c r="B13795" s="1" t="n">
        <v>45671</v>
      </c>
      <c r="C13795" s="1" t="n">
        <v>45677</v>
      </c>
      <c r="D13795" t="inlineStr">
        <is>
          <t>GÄVLEBORGS LÄN</t>
        </is>
      </c>
      <c r="E13795" t="inlineStr">
        <is>
          <t>NORDANSTIG</t>
        </is>
      </c>
      <c r="F13795" t="inlineStr">
        <is>
          <t>Holmen skog AB</t>
        </is>
      </c>
      <c r="G13795" t="n">
        <v>5.2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1887-2025</t>
        </is>
      </c>
      <c r="B13796" s="1" t="n">
        <v>45671</v>
      </c>
      <c r="C13796" s="1" t="n">
        <v>45677</v>
      </c>
      <c r="D13796" t="inlineStr">
        <is>
          <t>GÄVLEBORGS LÄN</t>
        </is>
      </c>
      <c r="E13796" t="inlineStr">
        <is>
          <t>HUDIKSVALL</t>
        </is>
      </c>
      <c r="F13796" t="inlineStr">
        <is>
          <t>Holmen skog AB</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1712-2025</t>
        </is>
      </c>
      <c r="B13797" s="1" t="n">
        <v>45671</v>
      </c>
      <c r="C13797" s="1" t="n">
        <v>45677</v>
      </c>
      <c r="D13797" t="inlineStr">
        <is>
          <t>GÄVLEBORGS LÄN</t>
        </is>
      </c>
      <c r="E13797" t="inlineStr">
        <is>
          <t>SANDVIKEN</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1716-2025</t>
        </is>
      </c>
      <c r="B13798" s="1" t="n">
        <v>45671</v>
      </c>
      <c r="C13798" s="1" t="n">
        <v>45677</v>
      </c>
      <c r="D13798" t="inlineStr">
        <is>
          <t>GÄVLEBORGS LÄN</t>
        </is>
      </c>
      <c r="E13798" t="inlineStr">
        <is>
          <t>OCKELBO</t>
        </is>
      </c>
      <c r="F13798" t="inlineStr">
        <is>
          <t>Bergvik skog väst AB</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1850-2025</t>
        </is>
      </c>
      <c r="B13799" s="1" t="n">
        <v>45671</v>
      </c>
      <c r="C13799" s="1" t="n">
        <v>45677</v>
      </c>
      <c r="D13799" t="inlineStr">
        <is>
          <t>GÄVLEBORGS LÄN</t>
        </is>
      </c>
      <c r="E13799" t="inlineStr">
        <is>
          <t>OVANÅKER</t>
        </is>
      </c>
      <c r="F13799" t="inlineStr">
        <is>
          <t>Bergvik skog väst AB</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1969-2025</t>
        </is>
      </c>
      <c r="B13800" s="1" t="n">
        <v>45672</v>
      </c>
      <c r="C13800" s="1" t="n">
        <v>45677</v>
      </c>
      <c r="D13800" t="inlineStr">
        <is>
          <t>GÄVLEBORGS LÄN</t>
        </is>
      </c>
      <c r="E13800" t="inlineStr">
        <is>
          <t>GÄVLE</t>
        </is>
      </c>
      <c r="F13800" t="inlineStr">
        <is>
          <t>Kyrkan</t>
        </is>
      </c>
      <c r="G13800" t="n">
        <v>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1974-2025</t>
        </is>
      </c>
      <c r="B13801" s="1" t="n">
        <v>45672</v>
      </c>
      <c r="C13801" s="1" t="n">
        <v>45677</v>
      </c>
      <c r="D13801" t="inlineStr">
        <is>
          <t>GÄVLEBORGS LÄN</t>
        </is>
      </c>
      <c r="E13801" t="inlineStr">
        <is>
          <t>GÄVLE</t>
        </is>
      </c>
      <c r="F13801" t="inlineStr">
        <is>
          <t>Kyrkan</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1996-2025</t>
        </is>
      </c>
      <c r="B13802" s="1" t="n">
        <v>45672</v>
      </c>
      <c r="C13802" s="1" t="n">
        <v>45677</v>
      </c>
      <c r="D13802" t="inlineStr">
        <is>
          <t>GÄVLEBORGS LÄN</t>
        </is>
      </c>
      <c r="E13802" t="inlineStr">
        <is>
          <t>BOLLNÄS</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2006-2025</t>
        </is>
      </c>
      <c r="B13803" s="1" t="n">
        <v>45672</v>
      </c>
      <c r="C13803" s="1" t="n">
        <v>45677</v>
      </c>
      <c r="D13803" t="inlineStr">
        <is>
          <t>GÄVLEBORGS LÄN</t>
        </is>
      </c>
      <c r="E13803" t="inlineStr">
        <is>
          <t>BOLLNÄS</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2057-2025</t>
        </is>
      </c>
      <c r="B13804" s="1" t="n">
        <v>45672</v>
      </c>
      <c r="C13804" s="1" t="n">
        <v>45677</v>
      </c>
      <c r="D13804" t="inlineStr">
        <is>
          <t>GÄVLEBORGS LÄN</t>
        </is>
      </c>
      <c r="E13804" t="inlineStr">
        <is>
          <t>LJUSDAL</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1988-2025</t>
        </is>
      </c>
      <c r="B13805" s="1" t="n">
        <v>45672</v>
      </c>
      <c r="C13805" s="1" t="n">
        <v>45677</v>
      </c>
      <c r="D13805" t="inlineStr">
        <is>
          <t>GÄVLEBORGS LÄN</t>
        </is>
      </c>
      <c r="E13805" t="inlineStr">
        <is>
          <t>BOLLNÄS</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2022-2025</t>
        </is>
      </c>
      <c r="B13806" s="1" t="n">
        <v>45672</v>
      </c>
      <c r="C13806" s="1" t="n">
        <v>45677</v>
      </c>
      <c r="D13806" t="inlineStr">
        <is>
          <t>GÄVLEBORGS LÄN</t>
        </is>
      </c>
      <c r="E13806" t="inlineStr">
        <is>
          <t>BOLLNÄS</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2131-2025</t>
        </is>
      </c>
      <c r="B13807" s="1" t="n">
        <v>45672</v>
      </c>
      <c r="C13807" s="1" t="n">
        <v>45677</v>
      </c>
      <c r="D13807" t="inlineStr">
        <is>
          <t>GÄVLEBORGS LÄN</t>
        </is>
      </c>
      <c r="E13807" t="inlineStr">
        <is>
          <t>SANDVIKEN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2139-2025</t>
        </is>
      </c>
      <c r="B13808" s="1" t="n">
        <v>45672</v>
      </c>
      <c r="C13808" s="1" t="n">
        <v>45677</v>
      </c>
      <c r="D13808" t="inlineStr">
        <is>
          <t>GÄVLEBORGS LÄN</t>
        </is>
      </c>
      <c r="E13808" t="inlineStr">
        <is>
          <t>OVANÅKER</t>
        </is>
      </c>
      <c r="G13808" t="n">
        <v>23.3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2165-2025</t>
        </is>
      </c>
      <c r="B13809" s="1" t="n">
        <v>45673</v>
      </c>
      <c r="C13809" s="1" t="n">
        <v>45677</v>
      </c>
      <c r="D13809" t="inlineStr">
        <is>
          <t>GÄVLEBORGS LÄN</t>
        </is>
      </c>
      <c r="E13809" t="inlineStr">
        <is>
          <t>NORDANSTIG</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2056-2025</t>
        </is>
      </c>
      <c r="B13810" s="1" t="n">
        <v>45672</v>
      </c>
      <c r="C13810" s="1" t="n">
        <v>45677</v>
      </c>
      <c r="D13810" t="inlineStr">
        <is>
          <t>GÄVLEBORGS LÄN</t>
        </is>
      </c>
      <c r="E13810" t="inlineStr">
        <is>
          <t>LJUSDAL</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2066-2025</t>
        </is>
      </c>
      <c r="B13811" s="1" t="n">
        <v>45672</v>
      </c>
      <c r="C13811" s="1" t="n">
        <v>45677</v>
      </c>
      <c r="D13811" t="inlineStr">
        <is>
          <t>GÄVLEBORGS LÄN</t>
        </is>
      </c>
      <c r="E13811" t="inlineStr">
        <is>
          <t>LJUSDAL</t>
        </is>
      </c>
      <c r="G13811" t="n">
        <v>12.8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2226-2025</t>
        </is>
      </c>
      <c r="B13812" s="1" t="n">
        <v>45673</v>
      </c>
      <c r="C13812" s="1" t="n">
        <v>45677</v>
      </c>
      <c r="D13812" t="inlineStr">
        <is>
          <t>GÄVLEBORGS LÄN</t>
        </is>
      </c>
      <c r="E13812" t="inlineStr">
        <is>
          <t>OCKELBO</t>
        </is>
      </c>
      <c r="F13812" t="inlineStr">
        <is>
          <t>Bergvik skog väst AB</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2274-2025</t>
        </is>
      </c>
      <c r="B13813" s="1" t="n">
        <v>45673</v>
      </c>
      <c r="C13813" s="1" t="n">
        <v>45677</v>
      </c>
      <c r="D13813" t="inlineStr">
        <is>
          <t>GÄVLEBORGS LÄN</t>
        </is>
      </c>
      <c r="E13813" t="inlineStr">
        <is>
          <t>GÄVLE</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2290-2025</t>
        </is>
      </c>
      <c r="B13814" s="1" t="n">
        <v>45673</v>
      </c>
      <c r="C13814" s="1" t="n">
        <v>45677</v>
      </c>
      <c r="D13814" t="inlineStr">
        <is>
          <t>GÄVLEBORGS LÄN</t>
        </is>
      </c>
      <c r="E13814" t="inlineStr">
        <is>
          <t>SANDVIKEN</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2206-2025</t>
        </is>
      </c>
      <c r="B13815" s="1" t="n">
        <v>45673</v>
      </c>
      <c r="C13815" s="1" t="n">
        <v>45677</v>
      </c>
      <c r="D13815" t="inlineStr">
        <is>
          <t>GÄVLEBORGS LÄN</t>
        </is>
      </c>
      <c r="E13815" t="inlineStr">
        <is>
          <t>BOLLNÄS</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2211-2025</t>
        </is>
      </c>
      <c r="B13816" s="1" t="n">
        <v>45673</v>
      </c>
      <c r="C13816" s="1" t="n">
        <v>45677</v>
      </c>
      <c r="D13816" t="inlineStr">
        <is>
          <t>GÄVLEBORGS LÄN</t>
        </is>
      </c>
      <c r="E13816" t="inlineStr">
        <is>
          <t>BOLLNÄS</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2229-2025</t>
        </is>
      </c>
      <c r="B13817" s="1" t="n">
        <v>45673</v>
      </c>
      <c r="C13817" s="1" t="n">
        <v>45677</v>
      </c>
      <c r="D13817" t="inlineStr">
        <is>
          <t>GÄVLEBORGS LÄN</t>
        </is>
      </c>
      <c r="E13817" t="inlineStr">
        <is>
          <t>BOLLNÄS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2373-2025</t>
        </is>
      </c>
      <c r="B13818" s="1" t="n">
        <v>45673</v>
      </c>
      <c r="C13818" s="1" t="n">
        <v>45677</v>
      </c>
      <c r="D13818" t="inlineStr">
        <is>
          <t>GÄVLEBORGS LÄN</t>
        </is>
      </c>
      <c r="E13818" t="inlineStr">
        <is>
          <t>GÄVLE</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2377-2025</t>
        </is>
      </c>
      <c r="B13819" s="1" t="n">
        <v>45673</v>
      </c>
      <c r="C13819" s="1" t="n">
        <v>45677</v>
      </c>
      <c r="D13819" t="inlineStr">
        <is>
          <t>GÄVLEBORGS LÄN</t>
        </is>
      </c>
      <c r="E13819" t="inlineStr">
        <is>
          <t>OVANÅKER</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2176-2025</t>
        </is>
      </c>
      <c r="B13820" s="1" t="n">
        <v>45673</v>
      </c>
      <c r="C13820" s="1" t="n">
        <v>45677</v>
      </c>
      <c r="D13820" t="inlineStr">
        <is>
          <t>GÄVLEBORGS LÄN</t>
        </is>
      </c>
      <c r="E13820" t="inlineStr">
        <is>
          <t>OVANÅKER</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2268-2025</t>
        </is>
      </c>
      <c r="B13821" s="1" t="n">
        <v>45673</v>
      </c>
      <c r="C13821" s="1" t="n">
        <v>45677</v>
      </c>
      <c r="D13821" t="inlineStr">
        <is>
          <t>GÄVLEBORGS LÄN</t>
        </is>
      </c>
      <c r="E13821" t="inlineStr">
        <is>
          <t>SÖDERHAMN</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2358-2025</t>
        </is>
      </c>
      <c r="B13822" s="1" t="n">
        <v>45673</v>
      </c>
      <c r="C13822" s="1" t="n">
        <v>45677</v>
      </c>
      <c r="D13822" t="inlineStr">
        <is>
          <t>GÄVLEBORGS LÄN</t>
        </is>
      </c>
      <c r="E13822" t="inlineStr">
        <is>
          <t>SANDVIKEN</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2374-2025</t>
        </is>
      </c>
      <c r="B13823" s="1" t="n">
        <v>45673</v>
      </c>
      <c r="C13823" s="1" t="n">
        <v>45677</v>
      </c>
      <c r="D13823" t="inlineStr">
        <is>
          <t>GÄVLEBORGS LÄN</t>
        </is>
      </c>
      <c r="E13823" t="inlineStr">
        <is>
          <t>GÄVLE</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2397-2025</t>
        </is>
      </c>
      <c r="B13824" s="1" t="n">
        <v>45674</v>
      </c>
      <c r="C13824" s="1" t="n">
        <v>45677</v>
      </c>
      <c r="D13824" t="inlineStr">
        <is>
          <t>GÄVLEBORGS LÄN</t>
        </is>
      </c>
      <c r="E13824" t="inlineStr">
        <is>
          <t>GÄVLE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2402-2025</t>
        </is>
      </c>
      <c r="B13825" s="1" t="n">
        <v>45674</v>
      </c>
      <c r="C13825" s="1" t="n">
        <v>45677</v>
      </c>
      <c r="D13825" t="inlineStr">
        <is>
          <t>GÄVLEBORGS LÄN</t>
        </is>
      </c>
      <c r="E13825" t="inlineStr">
        <is>
          <t>BOLLNÄS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2412-2025</t>
        </is>
      </c>
      <c r="B13826" s="1" t="n">
        <v>45674</v>
      </c>
      <c r="C13826" s="1" t="n">
        <v>45677</v>
      </c>
      <c r="D13826" t="inlineStr">
        <is>
          <t>GÄVLEBORGS LÄN</t>
        </is>
      </c>
      <c r="E13826" t="inlineStr">
        <is>
          <t>LJUSDAL</t>
        </is>
      </c>
      <c r="F13826" t="inlineStr">
        <is>
          <t>Sveaskog</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2442-2025</t>
        </is>
      </c>
      <c r="B13827" s="1" t="n">
        <v>45674</v>
      </c>
      <c r="C13827" s="1" t="n">
        <v>45677</v>
      </c>
      <c r="D13827" t="inlineStr">
        <is>
          <t>GÄVLEBORGS LÄN</t>
        </is>
      </c>
      <c r="E13827" t="inlineStr">
        <is>
          <t>GÄVLE</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2382-2025</t>
        </is>
      </c>
      <c r="B13828" s="1" t="n">
        <v>45674</v>
      </c>
      <c r="C13828" s="1" t="n">
        <v>45677</v>
      </c>
      <c r="D13828" t="inlineStr">
        <is>
          <t>GÄVLEBORGS LÄN</t>
        </is>
      </c>
      <c r="E13828" t="inlineStr">
        <is>
          <t>HUDIKSVALL</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2381-2025</t>
        </is>
      </c>
      <c r="B13829" s="1" t="n">
        <v>45674</v>
      </c>
      <c r="C13829" s="1" t="n">
        <v>45677</v>
      </c>
      <c r="D13829" t="inlineStr">
        <is>
          <t>GÄVLEBORGS LÄN</t>
        </is>
      </c>
      <c r="E13829" t="inlineStr">
        <is>
          <t>HUDIKSVALL</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2400-2025</t>
        </is>
      </c>
      <c r="B13830" s="1" t="n">
        <v>45674</v>
      </c>
      <c r="C13830" s="1" t="n">
        <v>45677</v>
      </c>
      <c r="D13830" t="inlineStr">
        <is>
          <t>GÄVLEBORGS LÄN</t>
        </is>
      </c>
      <c r="E13830" t="inlineStr">
        <is>
          <t>BOLLNÄS</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2556-2025</t>
        </is>
      </c>
      <c r="B13831" s="1" t="n">
        <v>45674</v>
      </c>
      <c r="C13831" s="1" t="n">
        <v>45677</v>
      </c>
      <c r="D13831" t="inlineStr">
        <is>
          <t>GÄVLEBORGS LÄN</t>
        </is>
      </c>
      <c r="E13831" t="inlineStr">
        <is>
          <t>OCKELBO</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2584-2025</t>
        </is>
      </c>
      <c r="B13832" s="1" t="n">
        <v>45674</v>
      </c>
      <c r="C13832" s="1" t="n">
        <v>45677</v>
      </c>
      <c r="D13832" t="inlineStr">
        <is>
          <t>GÄVLEBORGS LÄN</t>
        </is>
      </c>
      <c r="E13832" t="inlineStr">
        <is>
          <t>LJUSDAL</t>
        </is>
      </c>
      <c r="F13832" t="inlineStr">
        <is>
          <t>Sveaskog</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2612-2025</t>
        </is>
      </c>
      <c r="B13833" s="1" t="n">
        <v>45675</v>
      </c>
      <c r="C13833" s="1" t="n">
        <v>45677</v>
      </c>
      <c r="D13833" t="inlineStr">
        <is>
          <t>GÄVLEBORGS LÄN</t>
        </is>
      </c>
      <c r="E13833" t="inlineStr">
        <is>
          <t>HOFORS</t>
        </is>
      </c>
      <c r="G13833" t="n">
        <v>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2479-2025</t>
        </is>
      </c>
      <c r="B13834" s="1" t="n">
        <v>45674</v>
      </c>
      <c r="C13834" s="1" t="n">
        <v>45677</v>
      </c>
      <c r="D13834" t="inlineStr">
        <is>
          <t>GÄVLEBORGS LÄN</t>
        </is>
      </c>
      <c r="E13834" t="inlineStr">
        <is>
          <t>OCKELBO</t>
        </is>
      </c>
      <c r="F13834" t="inlineStr">
        <is>
          <t>Bergvik skog väst AB</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2528-2025</t>
        </is>
      </c>
      <c r="B13835" s="1" t="n">
        <v>45674</v>
      </c>
      <c r="C13835" s="1" t="n">
        <v>45677</v>
      </c>
      <c r="D13835" t="inlineStr">
        <is>
          <t>GÄVLEBORGS LÄN</t>
        </is>
      </c>
      <c r="E13835" t="inlineStr">
        <is>
          <t>HUDIKSVALL</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2555-2025</t>
        </is>
      </c>
      <c r="B13836" s="1" t="n">
        <v>45674</v>
      </c>
      <c r="C13836" s="1" t="n">
        <v>45677</v>
      </c>
      <c r="D13836" t="inlineStr">
        <is>
          <t>GÄVLEBORGS LÄN</t>
        </is>
      </c>
      <c r="E13836" t="inlineStr">
        <is>
          <t>OCKELBO</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2565-2025</t>
        </is>
      </c>
      <c r="B13837" s="1" t="n">
        <v>45674</v>
      </c>
      <c r="C13837" s="1" t="n">
        <v>45677</v>
      </c>
      <c r="D13837" t="inlineStr">
        <is>
          <t>GÄVLEBORGS LÄN</t>
        </is>
      </c>
      <c r="E13837" t="inlineStr">
        <is>
          <t>OCKELBO</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45677</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2620-2025</t>
        </is>
      </c>
      <c r="B13839" s="1" t="n">
        <v>45675</v>
      </c>
      <c r="C13839" s="1" t="n">
        <v>45677</v>
      </c>
      <c r="D13839" t="inlineStr">
        <is>
          <t>GÄVLEBORGS LÄN</t>
        </is>
      </c>
      <c r="E13839" t="inlineStr">
        <is>
          <t>BOLLNÄS</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2662-2025</t>
        </is>
      </c>
      <c r="B13840" s="1" t="n">
        <v>45676</v>
      </c>
      <c r="C13840" s="1" t="n">
        <v>45677</v>
      </c>
      <c r="D13840" t="inlineStr">
        <is>
          <t>GÄVLEBORGS LÄN</t>
        </is>
      </c>
      <c r="E13840" t="inlineStr">
        <is>
          <t>HUDIKSVALL</t>
        </is>
      </c>
      <c r="G13840" t="n">
        <v>2.1</v>
      </c>
      <c r="H13840" t="n">
        <v>0</v>
      </c>
      <c r="I13840" t="n">
        <v>0</v>
      </c>
      <c r="J13840" t="n">
        <v>0</v>
      </c>
      <c r="K13840" t="n">
        <v>0</v>
      </c>
      <c r="L13840" t="n">
        <v>0</v>
      </c>
      <c r="M13840" t="n">
        <v>0</v>
      </c>
      <c r="N13840" t="n">
        <v>0</v>
      </c>
      <c r="O13840" t="n">
        <v>0</v>
      </c>
      <c r="P13840" t="n">
        <v>0</v>
      </c>
      <c r="Q13840" t="n">
        <v>0</v>
      </c>
      <c r="R13840" s="2" t="inlineStr"/>
    </row>
    <row r="13841">
      <c r="A13841" t="inlineStr">
        <is>
          <t>A 2663-2025</t>
        </is>
      </c>
      <c r="B13841" s="1" t="n">
        <v>45676</v>
      </c>
      <c r="C13841" s="1" t="n">
        <v>45677</v>
      </c>
      <c r="D13841" t="inlineStr">
        <is>
          <t>GÄVLEBORGS LÄN</t>
        </is>
      </c>
      <c r="E13841" t="inlineStr">
        <is>
          <t>HUDIKSVALL</t>
        </is>
      </c>
      <c r="G13841" t="n">
        <v>0.9</v>
      </c>
      <c r="H13841" t="n">
        <v>0</v>
      </c>
      <c r="I13841" t="n">
        <v>0</v>
      </c>
      <c r="J13841" t="n">
        <v>0</v>
      </c>
      <c r="K13841" t="n">
        <v>0</v>
      </c>
      <c r="L13841" t="n">
        <v>0</v>
      </c>
      <c r="M13841" t="n">
        <v>0</v>
      </c>
      <c r="N13841" t="n">
        <v>0</v>
      </c>
      <c r="O13841" t="n">
        <v>0</v>
      </c>
      <c r="P13841" t="n">
        <v>0</v>
      </c>
      <c r="Q13841" t="n">
        <v>0</v>
      </c>
      <c r="R13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2025-01-20T16:19:32Z</dcterms:created>
  <dcterms:modified xmlns:dcterms="http://purl.org/dc/terms/" xmlns:xsi="http://www.w3.org/2001/XMLSchema-instance" xsi:type="dcterms:W3CDTF">2025-01-20T16:19:44Z</dcterms:modified>
</cp:coreProperties>
</file>