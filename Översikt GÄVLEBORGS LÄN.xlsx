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45668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45668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45668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45668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45668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45668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45668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45668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45668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45668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45668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45668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45668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45668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45668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45668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45668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45668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45668</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45668</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45668</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45668</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45668</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45668</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45668</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45668</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45668</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45668</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45668</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45668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45668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45668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45668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45668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45668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45668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45668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45668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45668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45668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45668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45668</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45668</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45668</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45668</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45668</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45668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45668</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45668</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45668</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45668</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45668</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45668</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45668</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45668</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45668</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45668</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45668</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45668</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45668</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45668</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45668</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45668</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45668</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45668</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45668</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45668</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45668</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45668</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45668</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45668</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45668</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45668</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45668</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45668</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45668</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45668</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45668</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45668</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45668</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45668</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45668</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45668</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45668</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45668</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45668</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45668</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45668</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45668</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45668</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45668</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45668</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45668</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45668</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45668</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45668</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45668</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45668</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45668</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45668</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45668</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45668</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45668</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45668</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45668</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45668</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45668</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45668</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45668</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45668</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45668</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45668</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45668</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45668</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45668</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45668</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53513-2019</t>
        </is>
      </c>
      <c r="B127" s="1" t="n">
        <v>43749</v>
      </c>
      <c r="C127" s="1" t="n">
        <v>45668</v>
      </c>
      <c r="D127" t="inlineStr">
        <is>
          <t>GÄVLEBORGS LÄN</t>
        </is>
      </c>
      <c r="E127" t="inlineStr">
        <is>
          <t>LJUSDAL</t>
        </is>
      </c>
      <c r="F127" t="inlineStr">
        <is>
          <t>Sveaskog</t>
        </is>
      </c>
      <c r="G127" t="n">
        <v>15.8</v>
      </c>
      <c r="H127" t="n">
        <v>0</v>
      </c>
      <c r="I127" t="n">
        <v>0</v>
      </c>
      <c r="J127" t="n">
        <v>4</v>
      </c>
      <c r="K127" t="n">
        <v>0</v>
      </c>
      <c r="L127" t="n">
        <v>0</v>
      </c>
      <c r="M127" t="n">
        <v>0</v>
      </c>
      <c r="N127" t="n">
        <v>0</v>
      </c>
      <c r="O127" t="n">
        <v>4</v>
      </c>
      <c r="P127" t="n">
        <v>0</v>
      </c>
      <c r="Q127" t="n">
        <v>4</v>
      </c>
      <c r="R127" s="2" t="inlineStr">
        <is>
          <t>Blanksvart spiklav
Kolflarnlav
Lunglav
Mörk kolflarnlav</t>
        </is>
      </c>
      <c r="S127">
        <f>HYPERLINK("https://klasma.github.io/Logging_2161/artfynd/A 53513-2019 artfynd.xlsx", "A 53513-2019")</f>
        <v/>
      </c>
      <c r="T127">
        <f>HYPERLINK("https://klasma.github.io/Logging_2161/kartor/A 53513-2019 karta.png", "A 53513-2019")</f>
        <v/>
      </c>
      <c r="V127">
        <f>HYPERLINK("https://klasma.github.io/Logging_2161/klagomål/A 53513-2019 FSC-klagomål.docx", "A 53513-2019")</f>
        <v/>
      </c>
      <c r="W127">
        <f>HYPERLINK("https://klasma.github.io/Logging_2161/klagomålsmail/A 53513-2019 FSC-klagomål mail.docx", "A 53513-2019")</f>
        <v/>
      </c>
      <c r="X127">
        <f>HYPERLINK("https://klasma.github.io/Logging_2161/tillsyn/A 53513-2019 tillsynsbegäran.docx", "A 53513-2019")</f>
        <v/>
      </c>
      <c r="Y127">
        <f>HYPERLINK("https://klasma.github.io/Logging_2161/tillsynsmail/A 53513-2019 tillsynsbegäran mail.docx", "A 53513-2019")</f>
        <v/>
      </c>
    </row>
    <row r="128" ht="15" customHeight="1">
      <c r="A128" t="inlineStr">
        <is>
          <t>A 55426-2019</t>
        </is>
      </c>
      <c r="B128" s="1" t="n">
        <v>43756</v>
      </c>
      <c r="C128" s="1" t="n">
        <v>45668</v>
      </c>
      <c r="D128" t="inlineStr">
        <is>
          <t>GÄVLEBORGS LÄN</t>
        </is>
      </c>
      <c r="E128" t="inlineStr">
        <is>
          <t>SÖDERHAMN</t>
        </is>
      </c>
      <c r="G128" t="n">
        <v>2</v>
      </c>
      <c r="H128" t="n">
        <v>4</v>
      </c>
      <c r="I128" t="n">
        <v>0</v>
      </c>
      <c r="J128" t="n">
        <v>3</v>
      </c>
      <c r="K128" t="n">
        <v>0</v>
      </c>
      <c r="L128" t="n">
        <v>1</v>
      </c>
      <c r="M128" t="n">
        <v>0</v>
      </c>
      <c r="N128" t="n">
        <v>0</v>
      </c>
      <c r="O128" t="n">
        <v>4</v>
      </c>
      <c r="P128" t="n">
        <v>1</v>
      </c>
      <c r="Q128" t="n">
        <v>4</v>
      </c>
      <c r="R128" s="2" t="inlineStr">
        <is>
          <t>Tornseglare
Busksångare
Rödvingetrast
Skrattmås</t>
        </is>
      </c>
      <c r="S128">
        <f>HYPERLINK("https://klasma.github.io/Logging_2182/artfynd/A 55426-2019 artfynd.xlsx", "A 55426-2019")</f>
        <v/>
      </c>
      <c r="T128">
        <f>HYPERLINK("https://klasma.github.io/Logging_2182/kartor/A 55426-2019 karta.png", "A 55426-2019")</f>
        <v/>
      </c>
      <c r="V128">
        <f>HYPERLINK("https://klasma.github.io/Logging_2182/klagomål/A 55426-2019 FSC-klagomål.docx", "A 55426-2019")</f>
        <v/>
      </c>
      <c r="W128">
        <f>HYPERLINK("https://klasma.github.io/Logging_2182/klagomålsmail/A 55426-2019 FSC-klagomål mail.docx", "A 55426-2019")</f>
        <v/>
      </c>
      <c r="X128">
        <f>HYPERLINK("https://klasma.github.io/Logging_2182/tillsyn/A 55426-2019 tillsynsbegäran.docx", "A 55426-2019")</f>
        <v/>
      </c>
      <c r="Y128">
        <f>HYPERLINK("https://klasma.github.io/Logging_2182/tillsynsmail/A 55426-2019 tillsynsbegäran mail.docx", "A 55426-2019")</f>
        <v/>
      </c>
      <c r="Z128">
        <f>HYPERLINK("https://klasma.github.io/Logging_2182/fåglar/A 55426-2019 prioriterade fågelarter.docx", "A 55426-2019")</f>
        <v/>
      </c>
    </row>
    <row r="129" ht="15" customHeight="1">
      <c r="A129" t="inlineStr">
        <is>
          <t>A 7569-2020</t>
        </is>
      </c>
      <c r="B129" s="1" t="n">
        <v>43872</v>
      </c>
      <c r="C129" s="1" t="n">
        <v>45668</v>
      </c>
      <c r="D129" t="inlineStr">
        <is>
          <t>GÄVLEBORGS LÄN</t>
        </is>
      </c>
      <c r="E129" t="inlineStr">
        <is>
          <t>LJUSDAL</t>
        </is>
      </c>
      <c r="G129" t="n">
        <v>5.5</v>
      </c>
      <c r="H129" t="n">
        <v>0</v>
      </c>
      <c r="I129" t="n">
        <v>0</v>
      </c>
      <c r="J129" t="n">
        <v>4</v>
      </c>
      <c r="K129" t="n">
        <v>0</v>
      </c>
      <c r="L129" t="n">
        <v>0</v>
      </c>
      <c r="M129" t="n">
        <v>0</v>
      </c>
      <c r="N129" t="n">
        <v>0</v>
      </c>
      <c r="O129" t="n">
        <v>4</v>
      </c>
      <c r="P129" t="n">
        <v>0</v>
      </c>
      <c r="Q129" t="n">
        <v>4</v>
      </c>
      <c r="R129" s="2" t="inlineStr">
        <is>
          <t>Blanksvart spiklav
Garnlav
Mörk kolflarnlav
Skrovellav</t>
        </is>
      </c>
      <c r="S129">
        <f>HYPERLINK("https://klasma.github.io/Logging_2161/artfynd/A 7569-2020 artfynd.xlsx", "A 7569-2020")</f>
        <v/>
      </c>
      <c r="T129">
        <f>HYPERLINK("https://klasma.github.io/Logging_2161/kartor/A 7569-2020 karta.png", "A 7569-2020")</f>
        <v/>
      </c>
      <c r="V129">
        <f>HYPERLINK("https://klasma.github.io/Logging_2161/klagomål/A 7569-2020 FSC-klagomål.docx", "A 7569-2020")</f>
        <v/>
      </c>
      <c r="W129">
        <f>HYPERLINK("https://klasma.github.io/Logging_2161/klagomålsmail/A 7569-2020 FSC-klagomål mail.docx", "A 7569-2020")</f>
        <v/>
      </c>
      <c r="X129">
        <f>HYPERLINK("https://klasma.github.io/Logging_2161/tillsyn/A 7569-2020 tillsynsbegäran.docx", "A 7569-2020")</f>
        <v/>
      </c>
      <c r="Y129">
        <f>HYPERLINK("https://klasma.github.io/Logging_2161/tillsynsmail/A 7569-2020 tillsynsbegäran mail.docx", "A 7569-2020")</f>
        <v/>
      </c>
    </row>
    <row r="130" ht="15" customHeight="1">
      <c r="A130" t="inlineStr">
        <is>
          <t>A 33767-2020</t>
        </is>
      </c>
      <c r="B130" s="1" t="n">
        <v>44026</v>
      </c>
      <c r="C130" s="1" t="n">
        <v>45668</v>
      </c>
      <c r="D130" t="inlineStr">
        <is>
          <t>GÄVLEBORGS LÄN</t>
        </is>
      </c>
      <c r="E130" t="inlineStr">
        <is>
          <t>SÖDERHAMN</t>
        </is>
      </c>
      <c r="G130" t="n">
        <v>5.3</v>
      </c>
      <c r="H130" t="n">
        <v>3</v>
      </c>
      <c r="I130" t="n">
        <v>1</v>
      </c>
      <c r="J130" t="n">
        <v>1</v>
      </c>
      <c r="K130" t="n">
        <v>1</v>
      </c>
      <c r="L130" t="n">
        <v>0</v>
      </c>
      <c r="M130" t="n">
        <v>0</v>
      </c>
      <c r="N130" t="n">
        <v>0</v>
      </c>
      <c r="O130" t="n">
        <v>2</v>
      </c>
      <c r="P130" t="n">
        <v>1</v>
      </c>
      <c r="Q130" t="n">
        <v>4</v>
      </c>
      <c r="R130" s="2" t="inlineStr">
        <is>
          <t>Knärot
Spillkråka
Bollvitmossa
Revlummer</t>
        </is>
      </c>
      <c r="S130">
        <f>HYPERLINK("https://klasma.github.io/Logging_2182/artfynd/A 33767-2020 artfynd.xlsx", "A 33767-2020")</f>
        <v/>
      </c>
      <c r="T130">
        <f>HYPERLINK("https://klasma.github.io/Logging_2182/kartor/A 33767-2020 karta.png", "A 33767-2020")</f>
        <v/>
      </c>
      <c r="U130">
        <f>HYPERLINK("https://klasma.github.io/Logging_2182/knärot/A 33767-2020 karta knärot.png", "A 33767-2020")</f>
        <v/>
      </c>
      <c r="V130">
        <f>HYPERLINK("https://klasma.github.io/Logging_2182/klagomål/A 33767-2020 FSC-klagomål.docx", "A 33767-2020")</f>
        <v/>
      </c>
      <c r="W130">
        <f>HYPERLINK("https://klasma.github.io/Logging_2182/klagomålsmail/A 33767-2020 FSC-klagomål mail.docx", "A 33767-2020")</f>
        <v/>
      </c>
      <c r="X130">
        <f>HYPERLINK("https://klasma.github.io/Logging_2182/tillsyn/A 33767-2020 tillsynsbegäran.docx", "A 33767-2020")</f>
        <v/>
      </c>
      <c r="Y130">
        <f>HYPERLINK("https://klasma.github.io/Logging_2182/tillsynsmail/A 33767-2020 tillsynsbegäran mail.docx", "A 33767-2020")</f>
        <v/>
      </c>
      <c r="Z130">
        <f>HYPERLINK("https://klasma.github.io/Logging_2182/fåglar/A 33767-2020 prioriterade fågelarter.docx", "A 33767-2020")</f>
        <v/>
      </c>
    </row>
    <row r="131" ht="15" customHeight="1">
      <c r="A131" t="inlineStr">
        <is>
          <t>A 45074-2020</t>
        </is>
      </c>
      <c r="B131" s="1" t="n">
        <v>44088</v>
      </c>
      <c r="C131" s="1" t="n">
        <v>45668</v>
      </c>
      <c r="D131" t="inlineStr">
        <is>
          <t>GÄVLEBORGS LÄN</t>
        </is>
      </c>
      <c r="E131" t="inlineStr">
        <is>
          <t>OCKELBO</t>
        </is>
      </c>
      <c r="G131" t="n">
        <v>3.8</v>
      </c>
      <c r="H131" t="n">
        <v>0</v>
      </c>
      <c r="I131" t="n">
        <v>0</v>
      </c>
      <c r="J131" t="n">
        <v>3</v>
      </c>
      <c r="K131" t="n">
        <v>1</v>
      </c>
      <c r="L131" t="n">
        <v>0</v>
      </c>
      <c r="M131" t="n">
        <v>0</v>
      </c>
      <c r="N131" t="n">
        <v>0</v>
      </c>
      <c r="O131" t="n">
        <v>4</v>
      </c>
      <c r="P131" t="n">
        <v>1</v>
      </c>
      <c r="Q131" t="n">
        <v>4</v>
      </c>
      <c r="R131" s="2" t="inlineStr">
        <is>
          <t>Ostticka
Tallticka
Ullticka
Vedskivlav</t>
        </is>
      </c>
      <c r="S131">
        <f>HYPERLINK("https://klasma.github.io/Logging_2101/artfynd/A 45074-2020 artfynd.xlsx", "A 45074-2020")</f>
        <v/>
      </c>
      <c r="T131">
        <f>HYPERLINK("https://klasma.github.io/Logging_2101/kartor/A 45074-2020 karta.png", "A 45074-2020")</f>
        <v/>
      </c>
      <c r="V131">
        <f>HYPERLINK("https://klasma.github.io/Logging_2101/klagomål/A 45074-2020 FSC-klagomål.docx", "A 45074-2020")</f>
        <v/>
      </c>
      <c r="W131">
        <f>HYPERLINK("https://klasma.github.io/Logging_2101/klagomålsmail/A 45074-2020 FSC-klagomål mail.docx", "A 45074-2020")</f>
        <v/>
      </c>
      <c r="X131">
        <f>HYPERLINK("https://klasma.github.io/Logging_2101/tillsyn/A 45074-2020 tillsynsbegäran.docx", "A 45074-2020")</f>
        <v/>
      </c>
      <c r="Y131">
        <f>HYPERLINK("https://klasma.github.io/Logging_2101/tillsynsmail/A 45074-2020 tillsynsbegäran mail.docx", "A 45074-2020")</f>
        <v/>
      </c>
    </row>
    <row r="132" ht="15" customHeight="1">
      <c r="A132" t="inlineStr">
        <is>
          <t>A 50160-2020</t>
        </is>
      </c>
      <c r="B132" s="1" t="n">
        <v>44109</v>
      </c>
      <c r="C132" s="1" t="n">
        <v>45668</v>
      </c>
      <c r="D132" t="inlineStr">
        <is>
          <t>GÄVLEBORGS LÄN</t>
        </is>
      </c>
      <c r="E132" t="inlineStr">
        <is>
          <t>HUDIKSVALL</t>
        </is>
      </c>
      <c r="G132" t="n">
        <v>1.8</v>
      </c>
      <c r="H132" t="n">
        <v>1</v>
      </c>
      <c r="I132" t="n">
        <v>1</v>
      </c>
      <c r="J132" t="n">
        <v>2</v>
      </c>
      <c r="K132" t="n">
        <v>0</v>
      </c>
      <c r="L132" t="n">
        <v>0</v>
      </c>
      <c r="M132" t="n">
        <v>0</v>
      </c>
      <c r="N132" t="n">
        <v>0</v>
      </c>
      <c r="O132" t="n">
        <v>2</v>
      </c>
      <c r="P132" t="n">
        <v>0</v>
      </c>
      <c r="Q132" t="n">
        <v>4</v>
      </c>
      <c r="R132" s="2" t="inlineStr">
        <is>
          <t>Gammelgransskål
Garnlav
Bollvitmossa
Revlummer</t>
        </is>
      </c>
      <c r="S132">
        <f>HYPERLINK("https://klasma.github.io/Logging_2184/artfynd/A 50160-2020 artfynd.xlsx", "A 50160-2020")</f>
        <v/>
      </c>
      <c r="T132">
        <f>HYPERLINK("https://klasma.github.io/Logging_2184/kartor/A 50160-2020 karta.png", "A 50160-2020")</f>
        <v/>
      </c>
      <c r="V132">
        <f>HYPERLINK("https://klasma.github.io/Logging_2184/klagomål/A 50160-2020 FSC-klagomål.docx", "A 50160-2020")</f>
        <v/>
      </c>
      <c r="W132">
        <f>HYPERLINK("https://klasma.github.io/Logging_2184/klagomålsmail/A 50160-2020 FSC-klagomål mail.docx", "A 50160-2020")</f>
        <v/>
      </c>
      <c r="X132">
        <f>HYPERLINK("https://klasma.github.io/Logging_2184/tillsyn/A 50160-2020 tillsynsbegäran.docx", "A 50160-2020")</f>
        <v/>
      </c>
      <c r="Y132">
        <f>HYPERLINK("https://klasma.github.io/Logging_2184/tillsynsmail/A 50160-2020 tillsynsbegäran mail.docx", "A 50160-2020")</f>
        <v/>
      </c>
    </row>
    <row r="133" ht="15" customHeight="1">
      <c r="A133" t="inlineStr">
        <is>
          <t>A 69255-2020</t>
        </is>
      </c>
      <c r="B133" s="1" t="n">
        <v>44192</v>
      </c>
      <c r="C133" s="1" t="n">
        <v>45668</v>
      </c>
      <c r="D133" t="inlineStr">
        <is>
          <t>GÄVLEBORGS LÄN</t>
        </is>
      </c>
      <c r="E133" t="inlineStr">
        <is>
          <t>GÄVLE</t>
        </is>
      </c>
      <c r="F133" t="inlineStr">
        <is>
          <t>Kommuner</t>
        </is>
      </c>
      <c r="G133" t="n">
        <v>3.5</v>
      </c>
      <c r="H133" t="n">
        <v>2</v>
      </c>
      <c r="I133" t="n">
        <v>1</v>
      </c>
      <c r="J133" t="n">
        <v>1</v>
      </c>
      <c r="K133" t="n">
        <v>1</v>
      </c>
      <c r="L133" t="n">
        <v>0</v>
      </c>
      <c r="M133" t="n">
        <v>0</v>
      </c>
      <c r="N133" t="n">
        <v>0</v>
      </c>
      <c r="O133" t="n">
        <v>2</v>
      </c>
      <c r="P133" t="n">
        <v>1</v>
      </c>
      <c r="Q133" t="n">
        <v>4</v>
      </c>
      <c r="R133" s="2" t="inlineStr">
        <is>
          <t>Blackticka
Spillkråka
Tjockfotad fingersvamp
Revlummer</t>
        </is>
      </c>
      <c r="S133">
        <f>HYPERLINK("https://klasma.github.io/Logging_2180/artfynd/A 69255-2020 artfynd.xlsx", "A 69255-2020")</f>
        <v/>
      </c>
      <c r="T133">
        <f>HYPERLINK("https://klasma.github.io/Logging_2180/kartor/A 69255-2020 karta.png", "A 69255-2020")</f>
        <v/>
      </c>
      <c r="U133">
        <f>HYPERLINK("https://klasma.github.io/Logging_2180/knärot/A 69255-2020 karta knärot.png", "A 69255-2020")</f>
        <v/>
      </c>
      <c r="V133">
        <f>HYPERLINK("https://klasma.github.io/Logging_2180/klagomål/A 69255-2020 FSC-klagomål.docx", "A 69255-2020")</f>
        <v/>
      </c>
      <c r="W133">
        <f>HYPERLINK("https://klasma.github.io/Logging_2180/klagomålsmail/A 69255-2020 FSC-klagomål mail.docx", "A 69255-2020")</f>
        <v/>
      </c>
      <c r="X133">
        <f>HYPERLINK("https://klasma.github.io/Logging_2180/tillsyn/A 69255-2020 tillsynsbegäran.docx", "A 69255-2020")</f>
        <v/>
      </c>
      <c r="Y133">
        <f>HYPERLINK("https://klasma.github.io/Logging_2180/tillsynsmail/A 69255-2020 tillsynsbegäran mail.docx", "A 69255-2020")</f>
        <v/>
      </c>
      <c r="Z133">
        <f>HYPERLINK("https://klasma.github.io/Logging_2180/fåglar/A 69255-2020 prioriterade fågelarter.docx", "A 69255-2020")</f>
        <v/>
      </c>
    </row>
    <row r="134" ht="15" customHeight="1">
      <c r="A134" t="inlineStr">
        <is>
          <t>A 48181-2021</t>
        </is>
      </c>
      <c r="B134" s="1" t="n">
        <v>44449</v>
      </c>
      <c r="C134" s="1" t="n">
        <v>45668</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10969-2022</t>
        </is>
      </c>
      <c r="B135" s="1" t="n">
        <v>44628</v>
      </c>
      <c r="C135" s="1" t="n">
        <v>45668</v>
      </c>
      <c r="D135" t="inlineStr">
        <is>
          <t>GÄVLEBORGS LÄN</t>
        </is>
      </c>
      <c r="E135" t="inlineStr">
        <is>
          <t>HUDIKSVALL</t>
        </is>
      </c>
      <c r="F135" t="inlineStr">
        <is>
          <t>Holmen skog AB</t>
        </is>
      </c>
      <c r="G135" t="n">
        <v>5.7</v>
      </c>
      <c r="H135" t="n">
        <v>1</v>
      </c>
      <c r="I135" t="n">
        <v>1</v>
      </c>
      <c r="J135" t="n">
        <v>2</v>
      </c>
      <c r="K135" t="n">
        <v>0</v>
      </c>
      <c r="L135" t="n">
        <v>0</v>
      </c>
      <c r="M135" t="n">
        <v>0</v>
      </c>
      <c r="N135" t="n">
        <v>0</v>
      </c>
      <c r="O135" t="n">
        <v>2</v>
      </c>
      <c r="P135" t="n">
        <v>0</v>
      </c>
      <c r="Q135" t="n">
        <v>4</v>
      </c>
      <c r="R135" s="2" t="inlineStr">
        <is>
          <t>Garnlav
Lunglav
Bollvitmossa
Revlummer</t>
        </is>
      </c>
      <c r="S135">
        <f>HYPERLINK("https://klasma.github.io/Logging_2184/artfynd/A 10969-2022 artfynd.xlsx", "A 10969-2022")</f>
        <v/>
      </c>
      <c r="T135">
        <f>HYPERLINK("https://klasma.github.io/Logging_2184/kartor/A 10969-2022 karta.png", "A 10969-2022")</f>
        <v/>
      </c>
      <c r="V135">
        <f>HYPERLINK("https://klasma.github.io/Logging_2184/klagomål/A 10969-2022 FSC-klagomål.docx", "A 10969-2022")</f>
        <v/>
      </c>
      <c r="W135">
        <f>HYPERLINK("https://klasma.github.io/Logging_2184/klagomålsmail/A 10969-2022 FSC-klagomål mail.docx", "A 10969-2022")</f>
        <v/>
      </c>
      <c r="X135">
        <f>HYPERLINK("https://klasma.github.io/Logging_2184/tillsyn/A 10969-2022 tillsynsbegäran.docx", "A 10969-2022")</f>
        <v/>
      </c>
      <c r="Y135">
        <f>HYPERLINK("https://klasma.github.io/Logging_2184/tillsynsmail/A 10969-2022 tillsynsbegäran mail.docx", "A 10969-2022")</f>
        <v/>
      </c>
    </row>
    <row r="136" ht="15" customHeight="1">
      <c r="A136" t="inlineStr">
        <is>
          <t>A 18543-2022</t>
        </is>
      </c>
      <c r="B136" s="1" t="n">
        <v>44686</v>
      </c>
      <c r="C136" s="1" t="n">
        <v>45668</v>
      </c>
      <c r="D136" t="inlineStr">
        <is>
          <t>GÄVLEBORGS LÄN</t>
        </is>
      </c>
      <c r="E136" t="inlineStr">
        <is>
          <t>LJUSDAL</t>
        </is>
      </c>
      <c r="G136" t="n">
        <v>3.6</v>
      </c>
      <c r="H136" t="n">
        <v>1</v>
      </c>
      <c r="I136" t="n">
        <v>2</v>
      </c>
      <c r="J136" t="n">
        <v>1</v>
      </c>
      <c r="K136" t="n">
        <v>1</v>
      </c>
      <c r="L136" t="n">
        <v>0</v>
      </c>
      <c r="M136" t="n">
        <v>0</v>
      </c>
      <c r="N136" t="n">
        <v>0</v>
      </c>
      <c r="O136" t="n">
        <v>2</v>
      </c>
      <c r="P136" t="n">
        <v>1</v>
      </c>
      <c r="Q136" t="n">
        <v>4</v>
      </c>
      <c r="R136" s="2" t="inlineStr">
        <is>
          <t>Knärot
Vedtrappmossa
Bårdlav
Stuplav</t>
        </is>
      </c>
      <c r="S136">
        <f>HYPERLINK("https://klasma.github.io/Logging_2161/artfynd/A 18543-2022 artfynd.xlsx", "A 18543-2022")</f>
        <v/>
      </c>
      <c r="T136">
        <f>HYPERLINK("https://klasma.github.io/Logging_2161/kartor/A 18543-2022 karta.png", "A 18543-2022")</f>
        <v/>
      </c>
      <c r="U136">
        <f>HYPERLINK("https://klasma.github.io/Logging_2161/knärot/A 18543-2022 karta knärot.png", "A 18543-2022")</f>
        <v/>
      </c>
      <c r="V136">
        <f>HYPERLINK("https://klasma.github.io/Logging_2161/klagomål/A 18543-2022 FSC-klagomål.docx", "A 18543-2022")</f>
        <v/>
      </c>
      <c r="W136">
        <f>HYPERLINK("https://klasma.github.io/Logging_2161/klagomålsmail/A 18543-2022 FSC-klagomål mail.docx", "A 18543-2022")</f>
        <v/>
      </c>
      <c r="X136">
        <f>HYPERLINK("https://klasma.github.io/Logging_2161/tillsyn/A 18543-2022 tillsynsbegäran.docx", "A 18543-2022")</f>
        <v/>
      </c>
      <c r="Y136">
        <f>HYPERLINK("https://klasma.github.io/Logging_2161/tillsynsmail/A 18543-2022 tillsynsbegäran mail.docx", "A 18543-2022")</f>
        <v/>
      </c>
    </row>
    <row r="137" ht="15" customHeight="1">
      <c r="A137" t="inlineStr">
        <is>
          <t>A 18883-2022</t>
        </is>
      </c>
      <c r="B137" s="1" t="n">
        <v>44690</v>
      </c>
      <c r="C137" s="1" t="n">
        <v>45668</v>
      </c>
      <c r="D137" t="inlineStr">
        <is>
          <t>GÄVLEBORGS LÄN</t>
        </is>
      </c>
      <c r="E137" t="inlineStr">
        <is>
          <t>HUDIKSVALL</t>
        </is>
      </c>
      <c r="F137" t="inlineStr">
        <is>
          <t>Holmen skog AB</t>
        </is>
      </c>
      <c r="G137" t="n">
        <v>10.4</v>
      </c>
      <c r="H137" t="n">
        <v>2</v>
      </c>
      <c r="I137" t="n">
        <v>1</v>
      </c>
      <c r="J137" t="n">
        <v>1</v>
      </c>
      <c r="K137" t="n">
        <v>0</v>
      </c>
      <c r="L137" t="n">
        <v>0</v>
      </c>
      <c r="M137" t="n">
        <v>0</v>
      </c>
      <c r="N137" t="n">
        <v>0</v>
      </c>
      <c r="O137" t="n">
        <v>1</v>
      </c>
      <c r="P137" t="n">
        <v>0</v>
      </c>
      <c r="Q137" t="n">
        <v>4</v>
      </c>
      <c r="R137" s="2" t="inlineStr">
        <is>
          <t>Backruta
Ögonpyrola
Fläcknycklar
Gullviva</t>
        </is>
      </c>
      <c r="S137">
        <f>HYPERLINK("https://klasma.github.io/Logging_2184/artfynd/A 18883-2022 artfynd.xlsx", "A 18883-2022")</f>
        <v/>
      </c>
      <c r="T137">
        <f>HYPERLINK("https://klasma.github.io/Logging_2184/kartor/A 18883-2022 karta.png", "A 18883-2022")</f>
        <v/>
      </c>
      <c r="V137">
        <f>HYPERLINK("https://klasma.github.io/Logging_2184/klagomål/A 18883-2022 FSC-klagomål.docx", "A 18883-2022")</f>
        <v/>
      </c>
      <c r="W137">
        <f>HYPERLINK("https://klasma.github.io/Logging_2184/klagomålsmail/A 18883-2022 FSC-klagomål mail.docx", "A 18883-2022")</f>
        <v/>
      </c>
      <c r="X137">
        <f>HYPERLINK("https://klasma.github.io/Logging_2184/tillsyn/A 18883-2022 tillsynsbegäran.docx", "A 18883-2022")</f>
        <v/>
      </c>
      <c r="Y137">
        <f>HYPERLINK("https://klasma.github.io/Logging_2184/tillsynsmail/A 18883-2022 tillsynsbegäran mail.docx", "A 18883-2022")</f>
        <v/>
      </c>
    </row>
    <row r="138" ht="15" customHeight="1">
      <c r="A138" t="inlineStr">
        <is>
          <t>A 30311-2022</t>
        </is>
      </c>
      <c r="B138" s="1" t="n">
        <v>44760</v>
      </c>
      <c r="C138" s="1" t="n">
        <v>45668</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45668</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45668</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45668</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45668</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45668</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45668</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45668</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45668</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45668</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45668</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45668</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45668</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45668</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45668</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45668</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45668</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45668</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45668</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45668</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45668</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45668</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45668</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45668</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45668</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45668</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45668</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45668</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45668</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45668</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45668</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45668</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45668</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45668</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45668</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45668</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45668</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45668</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45668</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45668</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45668</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45668</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45668</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45668</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45668</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45668</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45668</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45668</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45668</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45668</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45668</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45668</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45668</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45668</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45668</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45668</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45668</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45668</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45668</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45668</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45668</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45668</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45668</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45668</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45668</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45668</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45668</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45668</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45668</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45668</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45668</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45668</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45668</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45668</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45668</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45668</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45668</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45668</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45668</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45668</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45668</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45668</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45668</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45668</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45668</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45668</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45668</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45668</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45668</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45668</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45668</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45668</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45668</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45668</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45668</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45668</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45668</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45668</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45668</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45668</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45668</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45668</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45668</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45668</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45668</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45668</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45668</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45668</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45668</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45668</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45668</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45668</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45668</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45668</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45668</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45668</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45668</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45668</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45668</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45668</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45668</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45668</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45668</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45668</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45668</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45668</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45668</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45668</v>
      </c>
      <c r="D265" t="inlineStr">
        <is>
          <t>GÄVLEBORGS LÄN</t>
        </is>
      </c>
      <c r="E265" t="inlineStr">
        <is>
          <t>HUDIKSVALL</t>
        </is>
      </c>
      <c r="G265" t="n">
        <v>7.1</v>
      </c>
      <c r="H265" t="n">
        <v>2</v>
      </c>
      <c r="I265" t="n">
        <v>0</v>
      </c>
      <c r="J265" t="n">
        <v>1</v>
      </c>
      <c r="K265" t="n">
        <v>0</v>
      </c>
      <c r="L265" t="n">
        <v>1</v>
      </c>
      <c r="M265" t="n">
        <v>0</v>
      </c>
      <c r="N265" t="n">
        <v>0</v>
      </c>
      <c r="O265" t="n">
        <v>2</v>
      </c>
      <c r="P265" t="n">
        <v>1</v>
      </c>
      <c r="Q265" t="n">
        <v>2</v>
      </c>
      <c r="R265" s="2" t="inlineStr">
        <is>
          <t>Tornseglare
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45668</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45668</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45668</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45668</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45668</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45668</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45668</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45668</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45668</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45668</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45668</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45668</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45668</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45668</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45668</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45668</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45668</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45668</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45668</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45668</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45668</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45668</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45668</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45668</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45668</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45668</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45668</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45668</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45668</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45668</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45668</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45668</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45668</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52104-2022</t>
        </is>
      </c>
      <c r="B299" s="1" t="n">
        <v>44873</v>
      </c>
      <c r="C299" s="1" t="n">
        <v>45668</v>
      </c>
      <c r="D299" t="inlineStr">
        <is>
          <t>GÄVLEBORGS LÄN</t>
        </is>
      </c>
      <c r="E299" t="inlineStr">
        <is>
          <t>HUDIKSVALL</t>
        </is>
      </c>
      <c r="F299" t="inlineStr">
        <is>
          <t>Holmen skog AB</t>
        </is>
      </c>
      <c r="G299" t="n">
        <v>3.4</v>
      </c>
      <c r="H299" t="n">
        <v>1</v>
      </c>
      <c r="I299" t="n">
        <v>1</v>
      </c>
      <c r="J299" t="n">
        <v>0</v>
      </c>
      <c r="K299" t="n">
        <v>0</v>
      </c>
      <c r="L299" t="n">
        <v>0</v>
      </c>
      <c r="M299" t="n">
        <v>0</v>
      </c>
      <c r="N299" t="n">
        <v>0</v>
      </c>
      <c r="O299" t="n">
        <v>0</v>
      </c>
      <c r="P299" t="n">
        <v>0</v>
      </c>
      <c r="Q299" t="n">
        <v>2</v>
      </c>
      <c r="R299" s="2" t="inlineStr">
        <is>
          <t>Svart trolldruva
Lopplummer</t>
        </is>
      </c>
      <c r="S299">
        <f>HYPERLINK("https://klasma.github.io/Logging_2184/artfynd/A 52104-2022 artfynd.xlsx", "A 52104-2022")</f>
        <v/>
      </c>
      <c r="T299">
        <f>HYPERLINK("https://klasma.github.io/Logging_2184/kartor/A 52104-2022 karta.png", "A 52104-2022")</f>
        <v/>
      </c>
      <c r="V299">
        <f>HYPERLINK("https://klasma.github.io/Logging_2184/klagomål/A 52104-2022 FSC-klagomål.docx", "A 52104-2022")</f>
        <v/>
      </c>
      <c r="W299">
        <f>HYPERLINK("https://klasma.github.io/Logging_2184/klagomålsmail/A 52104-2022 FSC-klagomål mail.docx", "A 52104-2022")</f>
        <v/>
      </c>
      <c r="X299">
        <f>HYPERLINK("https://klasma.github.io/Logging_2184/tillsyn/A 52104-2022 tillsynsbegäran.docx", "A 52104-2022")</f>
        <v/>
      </c>
      <c r="Y299">
        <f>HYPERLINK("https://klasma.github.io/Logging_2184/tillsynsmail/A 52104-2022 tillsynsbegäran mail.docx", "A 52104-2022")</f>
        <v/>
      </c>
    </row>
    <row r="300" ht="15" customHeight="1">
      <c r="A300" t="inlineStr">
        <is>
          <t>A 54108-2022</t>
        </is>
      </c>
      <c r="B300" s="1" t="n">
        <v>44881</v>
      </c>
      <c r="C300" s="1" t="n">
        <v>45668</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56538-2022</t>
        </is>
      </c>
      <c r="B301" s="1" t="n">
        <v>44887</v>
      </c>
      <c r="C301" s="1" t="n">
        <v>45668</v>
      </c>
      <c r="D301" t="inlineStr">
        <is>
          <t>GÄVLEBORGS LÄN</t>
        </is>
      </c>
      <c r="E301" t="inlineStr">
        <is>
          <t>GÄVLE</t>
        </is>
      </c>
      <c r="F301" t="inlineStr">
        <is>
          <t>Bergvik skog väst AB</t>
        </is>
      </c>
      <c r="G301" t="n">
        <v>2.1</v>
      </c>
      <c r="H301" t="n">
        <v>1</v>
      </c>
      <c r="I301" t="n">
        <v>1</v>
      </c>
      <c r="J301" t="n">
        <v>0</v>
      </c>
      <c r="K301" t="n">
        <v>0</v>
      </c>
      <c r="L301" t="n">
        <v>0</v>
      </c>
      <c r="M301" t="n">
        <v>0</v>
      </c>
      <c r="N301" t="n">
        <v>0</v>
      </c>
      <c r="O301" t="n">
        <v>0</v>
      </c>
      <c r="P301" t="n">
        <v>0</v>
      </c>
      <c r="Q301" t="n">
        <v>2</v>
      </c>
      <c r="R301" s="2" t="inlineStr">
        <is>
          <t>Dropptaggsvamp
Blåsippa</t>
        </is>
      </c>
      <c r="S301">
        <f>HYPERLINK("https://klasma.github.io/Logging_2180/artfynd/A 56538-2022 artfynd.xlsx", "A 56538-2022")</f>
        <v/>
      </c>
      <c r="T301">
        <f>HYPERLINK("https://klasma.github.io/Logging_2180/kartor/A 56538-2022 karta.png", "A 56538-2022")</f>
        <v/>
      </c>
      <c r="V301">
        <f>HYPERLINK("https://klasma.github.io/Logging_2180/klagomål/A 56538-2022 FSC-klagomål.docx", "A 56538-2022")</f>
        <v/>
      </c>
      <c r="W301">
        <f>HYPERLINK("https://klasma.github.io/Logging_2180/klagomålsmail/A 56538-2022 FSC-klagomål mail.docx", "A 56538-2022")</f>
        <v/>
      </c>
      <c r="X301">
        <f>HYPERLINK("https://klasma.github.io/Logging_2180/tillsyn/A 56538-2022 tillsynsbegäran.docx", "A 56538-2022")</f>
        <v/>
      </c>
      <c r="Y301">
        <f>HYPERLINK("https://klasma.github.io/Logging_2180/tillsynsmail/A 56538-2022 tillsynsbegäran mail.docx", "A 56538-2022")</f>
        <v/>
      </c>
    </row>
    <row r="302" ht="15" customHeight="1">
      <c r="A302" t="inlineStr">
        <is>
          <t>A 7608-2023</t>
        </is>
      </c>
      <c r="B302" s="1" t="n">
        <v>44972</v>
      </c>
      <c r="C302" s="1" t="n">
        <v>45668</v>
      </c>
      <c r="D302" t="inlineStr">
        <is>
          <t>GÄVLEBORGS LÄN</t>
        </is>
      </c>
      <c r="E302" t="inlineStr">
        <is>
          <t>NORDANSTIG</t>
        </is>
      </c>
      <c r="F302" t="inlineStr">
        <is>
          <t>Holmen skog AB</t>
        </is>
      </c>
      <c r="G302" t="n">
        <v>13</v>
      </c>
      <c r="H302" t="n">
        <v>0</v>
      </c>
      <c r="I302" t="n">
        <v>1</v>
      </c>
      <c r="J302" t="n">
        <v>1</v>
      </c>
      <c r="K302" t="n">
        <v>0</v>
      </c>
      <c r="L302" t="n">
        <v>0</v>
      </c>
      <c r="M302" t="n">
        <v>0</v>
      </c>
      <c r="N302" t="n">
        <v>0</v>
      </c>
      <c r="O302" t="n">
        <v>1</v>
      </c>
      <c r="P302" t="n">
        <v>0</v>
      </c>
      <c r="Q302" t="n">
        <v>2</v>
      </c>
      <c r="R302" s="2" t="inlineStr">
        <is>
          <t>Tallticka
Mindre märgborre</t>
        </is>
      </c>
      <c r="S302">
        <f>HYPERLINK("https://klasma.github.io/Logging_2132/artfynd/A 7608-2023 artfynd.xlsx", "A 7608-2023")</f>
        <v/>
      </c>
      <c r="T302">
        <f>HYPERLINK("https://klasma.github.io/Logging_2132/kartor/A 7608-2023 karta.png", "A 7608-2023")</f>
        <v/>
      </c>
      <c r="V302">
        <f>HYPERLINK("https://klasma.github.io/Logging_2132/klagomål/A 7608-2023 FSC-klagomål.docx", "A 7608-2023")</f>
        <v/>
      </c>
      <c r="W302">
        <f>HYPERLINK("https://klasma.github.io/Logging_2132/klagomålsmail/A 7608-2023 FSC-klagomål mail.docx", "A 7608-2023")</f>
        <v/>
      </c>
      <c r="X302">
        <f>HYPERLINK("https://klasma.github.io/Logging_2132/tillsyn/A 7608-2023 tillsynsbegäran.docx", "A 7608-2023")</f>
        <v/>
      </c>
      <c r="Y302">
        <f>HYPERLINK("https://klasma.github.io/Logging_2132/tillsynsmail/A 7608-2023 tillsynsbegäran mail.docx", "A 7608-2023")</f>
        <v/>
      </c>
    </row>
    <row r="303" ht="15" customHeight="1">
      <c r="A303" t="inlineStr">
        <is>
          <t>A 10637-2023</t>
        </is>
      </c>
      <c r="B303" s="1" t="n">
        <v>44988</v>
      </c>
      <c r="C303" s="1" t="n">
        <v>45668</v>
      </c>
      <c r="D303" t="inlineStr">
        <is>
          <t>GÄVLEBORGS LÄN</t>
        </is>
      </c>
      <c r="E303" t="inlineStr">
        <is>
          <t>LJUSDAL</t>
        </is>
      </c>
      <c r="G303" t="n">
        <v>8.9</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10637-2023 artfynd.xlsx", "A 10637-2023")</f>
        <v/>
      </c>
      <c r="T303">
        <f>HYPERLINK("https://klasma.github.io/Logging_2161/kartor/A 10637-2023 karta.png", "A 10637-2023")</f>
        <v/>
      </c>
      <c r="V303">
        <f>HYPERLINK("https://klasma.github.io/Logging_2161/klagomål/A 10637-2023 FSC-klagomål.docx", "A 10637-2023")</f>
        <v/>
      </c>
      <c r="W303">
        <f>HYPERLINK("https://klasma.github.io/Logging_2161/klagomålsmail/A 10637-2023 FSC-klagomål mail.docx", "A 10637-2023")</f>
        <v/>
      </c>
      <c r="X303">
        <f>HYPERLINK("https://klasma.github.io/Logging_2161/tillsyn/A 10637-2023 tillsynsbegäran.docx", "A 10637-2023")</f>
        <v/>
      </c>
      <c r="Y303">
        <f>HYPERLINK("https://klasma.github.io/Logging_2161/tillsynsmail/A 10637-2023 tillsynsbegäran mail.docx", "A 10637-2023")</f>
        <v/>
      </c>
    </row>
    <row r="304" ht="15" customHeight="1">
      <c r="A304" t="inlineStr">
        <is>
          <t>A 15365-2023</t>
        </is>
      </c>
      <c r="B304" s="1" t="n">
        <v>45019</v>
      </c>
      <c r="C304" s="1" t="n">
        <v>45668</v>
      </c>
      <c r="D304" t="inlineStr">
        <is>
          <t>GÄVLEBORGS LÄN</t>
        </is>
      </c>
      <c r="E304" t="inlineStr">
        <is>
          <t>GÄVLE</t>
        </is>
      </c>
      <c r="G304" t="n">
        <v>55.2</v>
      </c>
      <c r="H304" t="n">
        <v>2</v>
      </c>
      <c r="I304" t="n">
        <v>0</v>
      </c>
      <c r="J304" t="n">
        <v>0</v>
      </c>
      <c r="K304" t="n">
        <v>1</v>
      </c>
      <c r="L304" t="n">
        <v>0</v>
      </c>
      <c r="M304" t="n">
        <v>0</v>
      </c>
      <c r="N304" t="n">
        <v>0</v>
      </c>
      <c r="O304" t="n">
        <v>1</v>
      </c>
      <c r="P304" t="n">
        <v>1</v>
      </c>
      <c r="Q304" t="n">
        <v>2</v>
      </c>
      <c r="R304" s="2" t="inlineStr">
        <is>
          <t>Knärot
Kopparödla</t>
        </is>
      </c>
      <c r="S304">
        <f>HYPERLINK("https://klasma.github.io/Logging_2180/artfynd/A 15365-2023 artfynd.xlsx", "A 15365-2023")</f>
        <v/>
      </c>
      <c r="T304">
        <f>HYPERLINK("https://klasma.github.io/Logging_2180/kartor/A 15365-2023 karta.png", "A 15365-2023")</f>
        <v/>
      </c>
      <c r="U304">
        <f>HYPERLINK("https://klasma.github.io/Logging_2180/knärot/A 15365-2023 karta knärot.png", "A 15365-2023")</f>
        <v/>
      </c>
      <c r="V304">
        <f>HYPERLINK("https://klasma.github.io/Logging_2180/klagomål/A 15365-2023 FSC-klagomål.docx", "A 15365-2023")</f>
        <v/>
      </c>
      <c r="W304">
        <f>HYPERLINK("https://klasma.github.io/Logging_2180/klagomålsmail/A 15365-2023 FSC-klagomål mail.docx", "A 15365-2023")</f>
        <v/>
      </c>
      <c r="X304">
        <f>HYPERLINK("https://klasma.github.io/Logging_2180/tillsyn/A 15365-2023 tillsynsbegäran.docx", "A 15365-2023")</f>
        <v/>
      </c>
      <c r="Y304">
        <f>HYPERLINK("https://klasma.github.io/Logging_2180/tillsynsmail/A 15365-2023 tillsynsbegäran mail.docx", "A 15365-2023")</f>
        <v/>
      </c>
    </row>
    <row r="305" ht="15" customHeight="1">
      <c r="A305" t="inlineStr">
        <is>
          <t>A 15573-2023</t>
        </is>
      </c>
      <c r="B305" s="1" t="n">
        <v>45020</v>
      </c>
      <c r="C305" s="1" t="n">
        <v>45668</v>
      </c>
      <c r="D305" t="inlineStr">
        <is>
          <t>GÄVLEBORGS LÄN</t>
        </is>
      </c>
      <c r="E305" t="inlineStr">
        <is>
          <t>SANDVIKEN</t>
        </is>
      </c>
      <c r="G305" t="n">
        <v>1.5</v>
      </c>
      <c r="H305" t="n">
        <v>1</v>
      </c>
      <c r="I305" t="n">
        <v>1</v>
      </c>
      <c r="J305" t="n">
        <v>0</v>
      </c>
      <c r="K305" t="n">
        <v>1</v>
      </c>
      <c r="L305" t="n">
        <v>0</v>
      </c>
      <c r="M305" t="n">
        <v>0</v>
      </c>
      <c r="N305" t="n">
        <v>0</v>
      </c>
      <c r="O305" t="n">
        <v>1</v>
      </c>
      <c r="P305" t="n">
        <v>1</v>
      </c>
      <c r="Q305" t="n">
        <v>2</v>
      </c>
      <c r="R305" s="2" t="inlineStr">
        <is>
          <t>Knärot
Grönpyrola</t>
        </is>
      </c>
      <c r="S305">
        <f>HYPERLINK("https://klasma.github.io/Logging_2181/artfynd/A 15573-2023 artfynd.xlsx", "A 15573-2023")</f>
        <v/>
      </c>
      <c r="T305">
        <f>HYPERLINK("https://klasma.github.io/Logging_2181/kartor/A 15573-2023 karta.png", "A 15573-2023")</f>
        <v/>
      </c>
      <c r="U305">
        <f>HYPERLINK("https://klasma.github.io/Logging_2181/knärot/A 15573-2023 karta knärot.png", "A 15573-2023")</f>
        <v/>
      </c>
      <c r="V305">
        <f>HYPERLINK("https://klasma.github.io/Logging_2181/klagomål/A 15573-2023 FSC-klagomål.docx", "A 15573-2023")</f>
        <v/>
      </c>
      <c r="W305">
        <f>HYPERLINK("https://klasma.github.io/Logging_2181/klagomålsmail/A 15573-2023 FSC-klagomål mail.docx", "A 15573-2023")</f>
        <v/>
      </c>
      <c r="X305">
        <f>HYPERLINK("https://klasma.github.io/Logging_2181/tillsyn/A 15573-2023 tillsynsbegäran.docx", "A 15573-2023")</f>
        <v/>
      </c>
      <c r="Y305">
        <f>HYPERLINK("https://klasma.github.io/Logging_2181/tillsynsmail/A 15573-2023 tillsynsbegäran mail.docx", "A 15573-2023")</f>
        <v/>
      </c>
    </row>
    <row r="306" ht="15" customHeight="1">
      <c r="A306" t="inlineStr">
        <is>
          <t>A 16499-2023</t>
        </is>
      </c>
      <c r="B306" s="1" t="n">
        <v>45029</v>
      </c>
      <c r="C306" s="1" t="n">
        <v>45668</v>
      </c>
      <c r="D306" t="inlineStr">
        <is>
          <t>GÄVLEBORGS LÄN</t>
        </is>
      </c>
      <c r="E306" t="inlineStr">
        <is>
          <t>GÄVLE</t>
        </is>
      </c>
      <c r="F306" t="inlineStr">
        <is>
          <t>Bergvik skog öst AB</t>
        </is>
      </c>
      <c r="G306" t="n">
        <v>41.8</v>
      </c>
      <c r="H306" t="n">
        <v>1</v>
      </c>
      <c r="I306" t="n">
        <v>1</v>
      </c>
      <c r="J306" t="n">
        <v>0</v>
      </c>
      <c r="K306" t="n">
        <v>0</v>
      </c>
      <c r="L306" t="n">
        <v>1</v>
      </c>
      <c r="M306" t="n">
        <v>0</v>
      </c>
      <c r="N306" t="n">
        <v>0</v>
      </c>
      <c r="O306" t="n">
        <v>1</v>
      </c>
      <c r="P306" t="n">
        <v>1</v>
      </c>
      <c r="Q306" t="n">
        <v>2</v>
      </c>
      <c r="R306" s="2" t="inlineStr">
        <is>
          <t>Bredgentiana
Granbräken</t>
        </is>
      </c>
      <c r="S306">
        <f>HYPERLINK("https://klasma.github.io/Logging_2180/artfynd/A 16499-2023 artfynd.xlsx", "A 16499-2023")</f>
        <v/>
      </c>
      <c r="T306">
        <f>HYPERLINK("https://klasma.github.io/Logging_2180/kartor/A 16499-2023 karta.png", "A 16499-2023")</f>
        <v/>
      </c>
      <c r="V306">
        <f>HYPERLINK("https://klasma.github.io/Logging_2180/klagomål/A 16499-2023 FSC-klagomål.docx", "A 16499-2023")</f>
        <v/>
      </c>
      <c r="W306">
        <f>HYPERLINK("https://klasma.github.io/Logging_2180/klagomålsmail/A 16499-2023 FSC-klagomål mail.docx", "A 16499-2023")</f>
        <v/>
      </c>
      <c r="X306">
        <f>HYPERLINK("https://klasma.github.io/Logging_2180/tillsyn/A 16499-2023 tillsynsbegäran.docx", "A 16499-2023")</f>
        <v/>
      </c>
      <c r="Y306">
        <f>HYPERLINK("https://klasma.github.io/Logging_2180/tillsynsmail/A 16499-2023 tillsynsbegäran mail.docx", "A 16499-2023")</f>
        <v/>
      </c>
    </row>
    <row r="307" ht="15" customHeight="1">
      <c r="A307" t="inlineStr">
        <is>
          <t>A 18332-2023</t>
        </is>
      </c>
      <c r="B307" s="1" t="n">
        <v>45041</v>
      </c>
      <c r="C307" s="1" t="n">
        <v>45668</v>
      </c>
      <c r="D307" t="inlineStr">
        <is>
          <t>GÄVLEBORGS LÄN</t>
        </is>
      </c>
      <c r="E307" t="inlineStr">
        <is>
          <t>GÄVLE</t>
        </is>
      </c>
      <c r="F307" t="inlineStr">
        <is>
          <t>Bergvik skog öst AB</t>
        </is>
      </c>
      <c r="G307" t="n">
        <v>16.1</v>
      </c>
      <c r="H307" t="n">
        <v>0</v>
      </c>
      <c r="I307" t="n">
        <v>0</v>
      </c>
      <c r="J307" t="n">
        <v>1</v>
      </c>
      <c r="K307" t="n">
        <v>0</v>
      </c>
      <c r="L307" t="n">
        <v>1</v>
      </c>
      <c r="M307" t="n">
        <v>0</v>
      </c>
      <c r="N307" t="n">
        <v>0</v>
      </c>
      <c r="O307" t="n">
        <v>2</v>
      </c>
      <c r="P307" t="n">
        <v>1</v>
      </c>
      <c r="Q307" t="n">
        <v>2</v>
      </c>
      <c r="R307" s="2" t="inlineStr">
        <is>
          <t>Ryl
Skogsklocka</t>
        </is>
      </c>
      <c r="S307">
        <f>HYPERLINK("https://klasma.github.io/Logging_2180/artfynd/A 18332-2023 artfynd.xlsx", "A 18332-2023")</f>
        <v/>
      </c>
      <c r="T307">
        <f>HYPERLINK("https://klasma.github.io/Logging_2180/kartor/A 18332-2023 karta.png", "A 18332-2023")</f>
        <v/>
      </c>
      <c r="V307">
        <f>HYPERLINK("https://klasma.github.io/Logging_2180/klagomål/A 18332-2023 FSC-klagomål.docx", "A 18332-2023")</f>
        <v/>
      </c>
      <c r="W307">
        <f>HYPERLINK("https://klasma.github.io/Logging_2180/klagomålsmail/A 18332-2023 FSC-klagomål mail.docx", "A 18332-2023")</f>
        <v/>
      </c>
      <c r="X307">
        <f>HYPERLINK("https://klasma.github.io/Logging_2180/tillsyn/A 18332-2023 tillsynsbegäran.docx", "A 18332-2023")</f>
        <v/>
      </c>
      <c r="Y307">
        <f>HYPERLINK("https://klasma.github.io/Logging_2180/tillsynsmail/A 18332-2023 tillsynsbegäran mail.docx", "A 18332-2023")</f>
        <v/>
      </c>
    </row>
    <row r="308" ht="15" customHeight="1">
      <c r="A308" t="inlineStr">
        <is>
          <t>A 19549-2023</t>
        </is>
      </c>
      <c r="B308" s="1" t="n">
        <v>45050</v>
      </c>
      <c r="C308" s="1" t="n">
        <v>45668</v>
      </c>
      <c r="D308" t="inlineStr">
        <is>
          <t>GÄVLEBORGS LÄN</t>
        </is>
      </c>
      <c r="E308" t="inlineStr">
        <is>
          <t>HOFORS</t>
        </is>
      </c>
      <c r="G308" t="n">
        <v>3.2</v>
      </c>
      <c r="H308" t="n">
        <v>1</v>
      </c>
      <c r="I308" t="n">
        <v>1</v>
      </c>
      <c r="J308" t="n">
        <v>0</v>
      </c>
      <c r="K308" t="n">
        <v>0</v>
      </c>
      <c r="L308" t="n">
        <v>0</v>
      </c>
      <c r="M308" t="n">
        <v>0</v>
      </c>
      <c r="N308" t="n">
        <v>0</v>
      </c>
      <c r="O308" t="n">
        <v>0</v>
      </c>
      <c r="P308" t="n">
        <v>0</v>
      </c>
      <c r="Q308" t="n">
        <v>2</v>
      </c>
      <c r="R308" s="2" t="inlineStr">
        <is>
          <t>Svavelriska
Blåsippa</t>
        </is>
      </c>
      <c r="S308">
        <f>HYPERLINK("https://klasma.github.io/Logging_2104/artfynd/A 19549-2023 artfynd.xlsx", "A 19549-2023")</f>
        <v/>
      </c>
      <c r="T308">
        <f>HYPERLINK("https://klasma.github.io/Logging_2104/kartor/A 19549-2023 karta.png", "A 19549-2023")</f>
        <v/>
      </c>
      <c r="V308">
        <f>HYPERLINK("https://klasma.github.io/Logging_2104/klagomål/A 19549-2023 FSC-klagomål.docx", "A 19549-2023")</f>
        <v/>
      </c>
      <c r="W308">
        <f>HYPERLINK("https://klasma.github.io/Logging_2104/klagomålsmail/A 19549-2023 FSC-klagomål mail.docx", "A 19549-2023")</f>
        <v/>
      </c>
      <c r="X308">
        <f>HYPERLINK("https://klasma.github.io/Logging_2104/tillsyn/A 19549-2023 tillsynsbegäran.docx", "A 19549-2023")</f>
        <v/>
      </c>
      <c r="Y308">
        <f>HYPERLINK("https://klasma.github.io/Logging_2104/tillsynsmail/A 19549-2023 tillsynsbegäran mail.docx", "A 19549-2023")</f>
        <v/>
      </c>
    </row>
    <row r="309" ht="15" customHeight="1">
      <c r="A309" t="inlineStr">
        <is>
          <t>A 20232-2023</t>
        </is>
      </c>
      <c r="B309" s="1" t="n">
        <v>45055</v>
      </c>
      <c r="C309" s="1" t="n">
        <v>45668</v>
      </c>
      <c r="D309" t="inlineStr">
        <is>
          <t>GÄVLEBORGS LÄN</t>
        </is>
      </c>
      <c r="E309" t="inlineStr">
        <is>
          <t>GÄVLE</t>
        </is>
      </c>
      <c r="F309" t="inlineStr">
        <is>
          <t>Bergvik skog öst AB</t>
        </is>
      </c>
      <c r="G309" t="n">
        <v>12.7</v>
      </c>
      <c r="H309" t="n">
        <v>2</v>
      </c>
      <c r="I309" t="n">
        <v>0</v>
      </c>
      <c r="J309" t="n">
        <v>0</v>
      </c>
      <c r="K309" t="n">
        <v>1</v>
      </c>
      <c r="L309" t="n">
        <v>0</v>
      </c>
      <c r="M309" t="n">
        <v>0</v>
      </c>
      <c r="N309" t="n">
        <v>0</v>
      </c>
      <c r="O309" t="n">
        <v>1</v>
      </c>
      <c r="P309" t="n">
        <v>1</v>
      </c>
      <c r="Q309" t="n">
        <v>2</v>
      </c>
      <c r="R309" s="2" t="inlineStr">
        <is>
          <t>Stor låsbräken
Sparvuggla</t>
        </is>
      </c>
      <c r="S309">
        <f>HYPERLINK("https://klasma.github.io/Logging_2180/artfynd/A 20232-2023 artfynd.xlsx", "A 20232-2023")</f>
        <v/>
      </c>
      <c r="T309">
        <f>HYPERLINK("https://klasma.github.io/Logging_2180/kartor/A 20232-2023 karta.png", "A 20232-2023")</f>
        <v/>
      </c>
      <c r="V309">
        <f>HYPERLINK("https://klasma.github.io/Logging_2180/klagomål/A 20232-2023 FSC-klagomål.docx", "A 20232-2023")</f>
        <v/>
      </c>
      <c r="W309">
        <f>HYPERLINK("https://klasma.github.io/Logging_2180/klagomålsmail/A 20232-2023 FSC-klagomål mail.docx", "A 20232-2023")</f>
        <v/>
      </c>
      <c r="X309">
        <f>HYPERLINK("https://klasma.github.io/Logging_2180/tillsyn/A 20232-2023 tillsynsbegäran.docx", "A 20232-2023")</f>
        <v/>
      </c>
      <c r="Y309">
        <f>HYPERLINK("https://klasma.github.io/Logging_2180/tillsynsmail/A 20232-2023 tillsynsbegäran mail.docx", "A 20232-2023")</f>
        <v/>
      </c>
      <c r="Z309">
        <f>HYPERLINK("https://klasma.github.io/Logging_2180/fåglar/A 20232-2023 prioriterade fågelarter.docx", "A 20232-2023")</f>
        <v/>
      </c>
    </row>
    <row r="310" ht="15" customHeight="1">
      <c r="A310" t="inlineStr">
        <is>
          <t>A 20710-2023</t>
        </is>
      </c>
      <c r="B310" s="1" t="n">
        <v>45058</v>
      </c>
      <c r="C310" s="1" t="n">
        <v>45668</v>
      </c>
      <c r="D310" t="inlineStr">
        <is>
          <t>GÄVLEBORGS LÄN</t>
        </is>
      </c>
      <c r="E310" t="inlineStr">
        <is>
          <t>BOLLNÄS</t>
        </is>
      </c>
      <c r="G310" t="n">
        <v>8.800000000000001</v>
      </c>
      <c r="H310" t="n">
        <v>2</v>
      </c>
      <c r="I310" t="n">
        <v>0</v>
      </c>
      <c r="J310" t="n">
        <v>0</v>
      </c>
      <c r="K310" t="n">
        <v>1</v>
      </c>
      <c r="L310" t="n">
        <v>0</v>
      </c>
      <c r="M310" t="n">
        <v>0</v>
      </c>
      <c r="N310" t="n">
        <v>0</v>
      </c>
      <c r="O310" t="n">
        <v>1</v>
      </c>
      <c r="P310" t="n">
        <v>1</v>
      </c>
      <c r="Q310" t="n">
        <v>2</v>
      </c>
      <c r="R310" s="2" t="inlineStr">
        <is>
          <t>Knärot
Lavskrika</t>
        </is>
      </c>
      <c r="S310">
        <f>HYPERLINK("https://klasma.github.io/Logging_2183/artfynd/A 20710-2023 artfynd.xlsx", "A 20710-2023")</f>
        <v/>
      </c>
      <c r="T310">
        <f>HYPERLINK("https://klasma.github.io/Logging_2183/kartor/A 20710-2023 karta.png", "A 20710-2023")</f>
        <v/>
      </c>
      <c r="U310">
        <f>HYPERLINK("https://klasma.github.io/Logging_2183/knärot/A 20710-2023 karta knärot.png", "A 20710-2023")</f>
        <v/>
      </c>
      <c r="V310">
        <f>HYPERLINK("https://klasma.github.io/Logging_2183/klagomål/A 20710-2023 FSC-klagomål.docx", "A 20710-2023")</f>
        <v/>
      </c>
      <c r="W310">
        <f>HYPERLINK("https://klasma.github.io/Logging_2183/klagomålsmail/A 20710-2023 FSC-klagomål mail.docx", "A 20710-2023")</f>
        <v/>
      </c>
      <c r="X310">
        <f>HYPERLINK("https://klasma.github.io/Logging_2183/tillsyn/A 20710-2023 tillsynsbegäran.docx", "A 20710-2023")</f>
        <v/>
      </c>
      <c r="Y310">
        <f>HYPERLINK("https://klasma.github.io/Logging_2183/tillsynsmail/A 20710-2023 tillsynsbegäran mail.docx", "A 20710-2023")</f>
        <v/>
      </c>
      <c r="Z310">
        <f>HYPERLINK("https://klasma.github.io/Logging_2183/fåglar/A 20710-2023 prioriterade fågelarter.docx", "A 20710-2023")</f>
        <v/>
      </c>
    </row>
    <row r="311" ht="15" customHeight="1">
      <c r="A311" t="inlineStr">
        <is>
          <t>A 21956-2023</t>
        </is>
      </c>
      <c r="B311" s="1" t="n">
        <v>45068</v>
      </c>
      <c r="C311" s="1" t="n">
        <v>45668</v>
      </c>
      <c r="D311" t="inlineStr">
        <is>
          <t>GÄVLEBORGS LÄN</t>
        </is>
      </c>
      <c r="E311" t="inlineStr">
        <is>
          <t>OCKELBO</t>
        </is>
      </c>
      <c r="F311" t="inlineStr">
        <is>
          <t>Bergvik skog väst AB</t>
        </is>
      </c>
      <c r="G311" t="n">
        <v>12.2</v>
      </c>
      <c r="H311" t="n">
        <v>1</v>
      </c>
      <c r="I311" t="n">
        <v>1</v>
      </c>
      <c r="J311" t="n">
        <v>0</v>
      </c>
      <c r="K311" t="n">
        <v>0</v>
      </c>
      <c r="L311" t="n">
        <v>0</v>
      </c>
      <c r="M311" t="n">
        <v>0</v>
      </c>
      <c r="N311" t="n">
        <v>0</v>
      </c>
      <c r="O311" t="n">
        <v>0</v>
      </c>
      <c r="P311" t="n">
        <v>0</v>
      </c>
      <c r="Q311" t="n">
        <v>2</v>
      </c>
      <c r="R311" s="2" t="inlineStr">
        <is>
          <t>Grönpyrola
Mattlummer</t>
        </is>
      </c>
      <c r="S311">
        <f>HYPERLINK("https://klasma.github.io/Logging_2101/artfynd/A 21956-2023 artfynd.xlsx", "A 21956-2023")</f>
        <v/>
      </c>
      <c r="T311">
        <f>HYPERLINK("https://klasma.github.io/Logging_2101/kartor/A 21956-2023 karta.png", "A 21956-2023")</f>
        <v/>
      </c>
      <c r="V311">
        <f>HYPERLINK("https://klasma.github.io/Logging_2101/klagomål/A 21956-2023 FSC-klagomål.docx", "A 21956-2023")</f>
        <v/>
      </c>
      <c r="W311">
        <f>HYPERLINK("https://klasma.github.io/Logging_2101/klagomålsmail/A 21956-2023 FSC-klagomål mail.docx", "A 21956-2023")</f>
        <v/>
      </c>
      <c r="X311">
        <f>HYPERLINK("https://klasma.github.io/Logging_2101/tillsyn/A 21956-2023 tillsynsbegäran.docx", "A 21956-2023")</f>
        <v/>
      </c>
      <c r="Y311">
        <f>HYPERLINK("https://klasma.github.io/Logging_2101/tillsynsmail/A 21956-2023 tillsynsbegäran mail.docx", "A 21956-2023")</f>
        <v/>
      </c>
    </row>
    <row r="312" ht="15" customHeight="1">
      <c r="A312" t="inlineStr">
        <is>
          <t>A 23504-2023</t>
        </is>
      </c>
      <c r="B312" s="1" t="n">
        <v>45076</v>
      </c>
      <c r="C312" s="1" t="n">
        <v>45668</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23838-2023</t>
        </is>
      </c>
      <c r="B313" s="1" t="n">
        <v>45078</v>
      </c>
      <c r="C313" s="1" t="n">
        <v>45668</v>
      </c>
      <c r="D313" t="inlineStr">
        <is>
          <t>GÄVLEBORGS LÄN</t>
        </is>
      </c>
      <c r="E313" t="inlineStr">
        <is>
          <t>HUDIKSVALL</t>
        </is>
      </c>
      <c r="F313" t="inlineStr">
        <is>
          <t>Holmen skog AB</t>
        </is>
      </c>
      <c r="G313" t="n">
        <v>2.7</v>
      </c>
      <c r="H313" t="n">
        <v>0</v>
      </c>
      <c r="I313" t="n">
        <v>2</v>
      </c>
      <c r="J313" t="n">
        <v>0</v>
      </c>
      <c r="K313" t="n">
        <v>0</v>
      </c>
      <c r="L313" t="n">
        <v>0</v>
      </c>
      <c r="M313" t="n">
        <v>0</v>
      </c>
      <c r="N313" t="n">
        <v>0</v>
      </c>
      <c r="O313" t="n">
        <v>0</v>
      </c>
      <c r="P313" t="n">
        <v>0</v>
      </c>
      <c r="Q313" t="n">
        <v>2</v>
      </c>
      <c r="R313" s="2" t="inlineStr">
        <is>
          <t>Skinnlav
Stor aspticka</t>
        </is>
      </c>
      <c r="S313">
        <f>HYPERLINK("https://klasma.github.io/Logging_2184/artfynd/A 23838-2023 artfynd.xlsx", "A 23838-2023")</f>
        <v/>
      </c>
      <c r="T313">
        <f>HYPERLINK("https://klasma.github.io/Logging_2184/kartor/A 23838-2023 karta.png", "A 23838-2023")</f>
        <v/>
      </c>
      <c r="V313">
        <f>HYPERLINK("https://klasma.github.io/Logging_2184/klagomål/A 23838-2023 FSC-klagomål.docx", "A 23838-2023")</f>
        <v/>
      </c>
      <c r="W313">
        <f>HYPERLINK("https://klasma.github.io/Logging_2184/klagomålsmail/A 23838-2023 FSC-klagomål mail.docx", "A 23838-2023")</f>
        <v/>
      </c>
      <c r="X313">
        <f>HYPERLINK("https://klasma.github.io/Logging_2184/tillsyn/A 23838-2023 tillsynsbegäran.docx", "A 23838-2023")</f>
        <v/>
      </c>
      <c r="Y313">
        <f>HYPERLINK("https://klasma.github.io/Logging_2184/tillsynsmail/A 23838-2023 tillsynsbegäran mail.docx", "A 23838-2023")</f>
        <v/>
      </c>
    </row>
    <row r="314" ht="15" customHeight="1">
      <c r="A314" t="inlineStr">
        <is>
          <t>A 26325-2023</t>
        </is>
      </c>
      <c r="B314" s="1" t="n">
        <v>45091</v>
      </c>
      <c r="C314" s="1" t="n">
        <v>45668</v>
      </c>
      <c r="D314" t="inlineStr">
        <is>
          <t>GÄVLEBORGS LÄN</t>
        </is>
      </c>
      <c r="E314" t="inlineStr">
        <is>
          <t>NORDANSTIG</t>
        </is>
      </c>
      <c r="F314" t="inlineStr">
        <is>
          <t>Holmen skog AB</t>
        </is>
      </c>
      <c r="G314" t="n">
        <v>9.9</v>
      </c>
      <c r="H314" t="n">
        <v>0</v>
      </c>
      <c r="I314" t="n">
        <v>0</v>
      </c>
      <c r="J314" t="n">
        <v>1</v>
      </c>
      <c r="K314" t="n">
        <v>1</v>
      </c>
      <c r="L314" t="n">
        <v>0</v>
      </c>
      <c r="M314" t="n">
        <v>0</v>
      </c>
      <c r="N314" t="n">
        <v>0</v>
      </c>
      <c r="O314" t="n">
        <v>2</v>
      </c>
      <c r="P314" t="n">
        <v>1</v>
      </c>
      <c r="Q314" t="n">
        <v>2</v>
      </c>
      <c r="R314" s="2" t="inlineStr">
        <is>
          <t>Ringlav
Rosenticka</t>
        </is>
      </c>
      <c r="S314">
        <f>HYPERLINK("https://klasma.github.io/Logging_2132/artfynd/A 26325-2023 artfynd.xlsx", "A 26325-2023")</f>
        <v/>
      </c>
      <c r="T314">
        <f>HYPERLINK("https://klasma.github.io/Logging_2132/kartor/A 26325-2023 karta.png", "A 26325-2023")</f>
        <v/>
      </c>
      <c r="V314">
        <f>HYPERLINK("https://klasma.github.io/Logging_2132/klagomål/A 26325-2023 FSC-klagomål.docx", "A 26325-2023")</f>
        <v/>
      </c>
      <c r="W314">
        <f>HYPERLINK("https://klasma.github.io/Logging_2132/klagomålsmail/A 26325-2023 FSC-klagomål mail.docx", "A 26325-2023")</f>
        <v/>
      </c>
      <c r="X314">
        <f>HYPERLINK("https://klasma.github.io/Logging_2132/tillsyn/A 26325-2023 tillsynsbegäran.docx", "A 26325-2023")</f>
        <v/>
      </c>
      <c r="Y314">
        <f>HYPERLINK("https://klasma.github.io/Logging_2132/tillsynsmail/A 26325-2023 tillsynsbegäran mail.docx", "A 26325-2023")</f>
        <v/>
      </c>
    </row>
    <row r="315" ht="15" customHeight="1">
      <c r="A315" t="inlineStr">
        <is>
          <t>A 26487-2023</t>
        </is>
      </c>
      <c r="B315" s="1" t="n">
        <v>45092</v>
      </c>
      <c r="C315" s="1" t="n">
        <v>45668</v>
      </c>
      <c r="D315" t="inlineStr">
        <is>
          <t>GÄVLEBORGS LÄN</t>
        </is>
      </c>
      <c r="E315" t="inlineStr">
        <is>
          <t>LJUSDAL</t>
        </is>
      </c>
      <c r="F315" t="inlineStr">
        <is>
          <t>Sveaskog</t>
        </is>
      </c>
      <c r="G315" t="n">
        <v>11.2</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26487-2023 artfynd.xlsx", "A 26487-2023")</f>
        <v/>
      </c>
      <c r="T315">
        <f>HYPERLINK("https://klasma.github.io/Logging_2161/kartor/A 26487-2023 karta.png", "A 26487-2023")</f>
        <v/>
      </c>
      <c r="V315">
        <f>HYPERLINK("https://klasma.github.io/Logging_2161/klagomål/A 26487-2023 FSC-klagomål.docx", "A 26487-2023")</f>
        <v/>
      </c>
      <c r="W315">
        <f>HYPERLINK("https://klasma.github.io/Logging_2161/klagomålsmail/A 26487-2023 FSC-klagomål mail.docx", "A 26487-2023")</f>
        <v/>
      </c>
      <c r="X315">
        <f>HYPERLINK("https://klasma.github.io/Logging_2161/tillsyn/A 26487-2023 tillsynsbegäran.docx", "A 26487-2023")</f>
        <v/>
      </c>
      <c r="Y315">
        <f>HYPERLINK("https://klasma.github.io/Logging_2161/tillsynsmail/A 26487-2023 tillsynsbegäran mail.docx", "A 26487-2023")</f>
        <v/>
      </c>
    </row>
    <row r="316" ht="15" customHeight="1">
      <c r="A316" t="inlineStr">
        <is>
          <t>A 26522-2023</t>
        </is>
      </c>
      <c r="B316" s="1" t="n">
        <v>45092</v>
      </c>
      <c r="C316" s="1" t="n">
        <v>45668</v>
      </c>
      <c r="D316" t="inlineStr">
        <is>
          <t>GÄVLEBORGS LÄN</t>
        </is>
      </c>
      <c r="E316" t="inlineStr">
        <is>
          <t>BOLLNÄS</t>
        </is>
      </c>
      <c r="F316" t="inlineStr">
        <is>
          <t>Bergvik skog väst AB</t>
        </is>
      </c>
      <c r="G316" t="n">
        <v>8.6</v>
      </c>
      <c r="H316" t="n">
        <v>2</v>
      </c>
      <c r="I316" t="n">
        <v>0</v>
      </c>
      <c r="J316" t="n">
        <v>1</v>
      </c>
      <c r="K316" t="n">
        <v>0</v>
      </c>
      <c r="L316" t="n">
        <v>0</v>
      </c>
      <c r="M316" t="n">
        <v>0</v>
      </c>
      <c r="N316" t="n">
        <v>0</v>
      </c>
      <c r="O316" t="n">
        <v>1</v>
      </c>
      <c r="P316" t="n">
        <v>0</v>
      </c>
      <c r="Q316" t="n">
        <v>2</v>
      </c>
      <c r="R316" s="2" t="inlineStr">
        <is>
          <t>Smålom
Huggorm</t>
        </is>
      </c>
      <c r="S316">
        <f>HYPERLINK("https://klasma.github.io/Logging_2183/artfynd/A 26522-2023 artfynd.xlsx", "A 26522-2023")</f>
        <v/>
      </c>
      <c r="T316">
        <f>HYPERLINK("https://klasma.github.io/Logging_2183/kartor/A 26522-2023 karta.png", "A 26522-2023")</f>
        <v/>
      </c>
      <c r="V316">
        <f>HYPERLINK("https://klasma.github.io/Logging_2183/klagomål/A 26522-2023 FSC-klagomål.docx", "A 26522-2023")</f>
        <v/>
      </c>
      <c r="W316">
        <f>HYPERLINK("https://klasma.github.io/Logging_2183/klagomålsmail/A 26522-2023 FSC-klagomål mail.docx", "A 26522-2023")</f>
        <v/>
      </c>
      <c r="X316">
        <f>HYPERLINK("https://klasma.github.io/Logging_2183/tillsyn/A 26522-2023 tillsynsbegäran.docx", "A 26522-2023")</f>
        <v/>
      </c>
      <c r="Y316">
        <f>HYPERLINK("https://klasma.github.io/Logging_2183/tillsynsmail/A 26522-2023 tillsynsbegäran mail.docx", "A 26522-2023")</f>
        <v/>
      </c>
      <c r="Z316">
        <f>HYPERLINK("https://klasma.github.io/Logging_2183/fåglar/A 26522-2023 prioriterade fågelarter.docx", "A 26522-2023")</f>
        <v/>
      </c>
    </row>
    <row r="317" ht="15" customHeight="1">
      <c r="A317" t="inlineStr">
        <is>
          <t>A 30237-2023</t>
        </is>
      </c>
      <c r="B317" s="1" t="n">
        <v>45110</v>
      </c>
      <c r="C317" s="1" t="n">
        <v>45668</v>
      </c>
      <c r="D317" t="inlineStr">
        <is>
          <t>GÄVLEBORGS LÄN</t>
        </is>
      </c>
      <c r="E317" t="inlineStr">
        <is>
          <t>LJUSDAL</t>
        </is>
      </c>
      <c r="F317" t="inlineStr">
        <is>
          <t>Sveaskog</t>
        </is>
      </c>
      <c r="G317" t="n">
        <v>1.7</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30237-2023 artfynd.xlsx", "A 30237-2023")</f>
        <v/>
      </c>
      <c r="T317">
        <f>HYPERLINK("https://klasma.github.io/Logging_2161/kartor/A 30237-2023 karta.png", "A 30237-2023")</f>
        <v/>
      </c>
      <c r="V317">
        <f>HYPERLINK("https://klasma.github.io/Logging_2161/klagomål/A 30237-2023 FSC-klagomål.docx", "A 30237-2023")</f>
        <v/>
      </c>
      <c r="W317">
        <f>HYPERLINK("https://klasma.github.io/Logging_2161/klagomålsmail/A 30237-2023 FSC-klagomål mail.docx", "A 30237-2023")</f>
        <v/>
      </c>
      <c r="X317">
        <f>HYPERLINK("https://klasma.github.io/Logging_2161/tillsyn/A 30237-2023 tillsynsbegäran.docx", "A 30237-2023")</f>
        <v/>
      </c>
      <c r="Y317">
        <f>HYPERLINK("https://klasma.github.io/Logging_2161/tillsynsmail/A 30237-2023 tillsynsbegäran mail.docx", "A 30237-2023")</f>
        <v/>
      </c>
    </row>
    <row r="318" ht="15" customHeight="1">
      <c r="A318" t="inlineStr">
        <is>
          <t>A 31123-2023</t>
        </is>
      </c>
      <c r="B318" s="1" t="n">
        <v>45113</v>
      </c>
      <c r="C318" s="1" t="n">
        <v>45668</v>
      </c>
      <c r="D318" t="inlineStr">
        <is>
          <t>GÄVLEBORGS LÄN</t>
        </is>
      </c>
      <c r="E318" t="inlineStr">
        <is>
          <t>LJUSDAL</t>
        </is>
      </c>
      <c r="F318" t="inlineStr">
        <is>
          <t>Sveaskog</t>
        </is>
      </c>
      <c r="G318" t="n">
        <v>10.2</v>
      </c>
      <c r="H318" t="n">
        <v>0</v>
      </c>
      <c r="I318" t="n">
        <v>0</v>
      </c>
      <c r="J318" t="n">
        <v>1</v>
      </c>
      <c r="K318" t="n">
        <v>1</v>
      </c>
      <c r="L318" t="n">
        <v>0</v>
      </c>
      <c r="M318" t="n">
        <v>0</v>
      </c>
      <c r="N318" t="n">
        <v>0</v>
      </c>
      <c r="O318" t="n">
        <v>2</v>
      </c>
      <c r="P318" t="n">
        <v>1</v>
      </c>
      <c r="Q318" t="n">
        <v>2</v>
      </c>
      <c r="R318" s="2" t="inlineStr">
        <is>
          <t>Norsk näverlav
Kolflarnlav</t>
        </is>
      </c>
      <c r="S318">
        <f>HYPERLINK("https://klasma.github.io/Logging_2161/artfynd/A 31123-2023 artfynd.xlsx", "A 31123-2023")</f>
        <v/>
      </c>
      <c r="T318">
        <f>HYPERLINK("https://klasma.github.io/Logging_2161/kartor/A 31123-2023 karta.png", "A 31123-2023")</f>
        <v/>
      </c>
      <c r="V318">
        <f>HYPERLINK("https://klasma.github.io/Logging_2161/klagomål/A 31123-2023 FSC-klagomål.docx", "A 31123-2023")</f>
        <v/>
      </c>
      <c r="W318">
        <f>HYPERLINK("https://klasma.github.io/Logging_2161/klagomålsmail/A 31123-2023 FSC-klagomål mail.docx", "A 31123-2023")</f>
        <v/>
      </c>
      <c r="X318">
        <f>HYPERLINK("https://klasma.github.io/Logging_2161/tillsyn/A 31123-2023 tillsynsbegäran.docx", "A 31123-2023")</f>
        <v/>
      </c>
      <c r="Y318">
        <f>HYPERLINK("https://klasma.github.io/Logging_2161/tillsynsmail/A 31123-2023 tillsynsbegäran mail.docx", "A 31123-2023")</f>
        <v/>
      </c>
    </row>
    <row r="319" ht="15" customHeight="1">
      <c r="A319" t="inlineStr">
        <is>
          <t>A 31541-2023</t>
        </is>
      </c>
      <c r="B319" s="1" t="n">
        <v>45117</v>
      </c>
      <c r="C319" s="1" t="n">
        <v>45668</v>
      </c>
      <c r="D319" t="inlineStr">
        <is>
          <t>GÄVLEBORGS LÄN</t>
        </is>
      </c>
      <c r="E319" t="inlineStr">
        <is>
          <t>GÄVLE</t>
        </is>
      </c>
      <c r="F319" t="inlineStr">
        <is>
          <t>Bergvik skog väst AB</t>
        </is>
      </c>
      <c r="G319" t="n">
        <v>8.300000000000001</v>
      </c>
      <c r="H319" t="n">
        <v>1</v>
      </c>
      <c r="I319" t="n">
        <v>1</v>
      </c>
      <c r="J319" t="n">
        <v>0</v>
      </c>
      <c r="K319" t="n">
        <v>0</v>
      </c>
      <c r="L319" t="n">
        <v>0</v>
      </c>
      <c r="M319" t="n">
        <v>0</v>
      </c>
      <c r="N319" t="n">
        <v>0</v>
      </c>
      <c r="O319" t="n">
        <v>0</v>
      </c>
      <c r="P319" t="n">
        <v>0</v>
      </c>
      <c r="Q319" t="n">
        <v>2</v>
      </c>
      <c r="R319" s="2" t="inlineStr">
        <is>
          <t>Vårärt
Mattlummer</t>
        </is>
      </c>
      <c r="S319">
        <f>HYPERLINK("https://klasma.github.io/Logging_2180/artfynd/A 31541-2023 artfynd.xlsx", "A 31541-2023")</f>
        <v/>
      </c>
      <c r="T319">
        <f>HYPERLINK("https://klasma.github.io/Logging_2180/kartor/A 31541-2023 karta.png", "A 31541-2023")</f>
        <v/>
      </c>
      <c r="V319">
        <f>HYPERLINK("https://klasma.github.io/Logging_2180/klagomål/A 31541-2023 FSC-klagomål.docx", "A 31541-2023")</f>
        <v/>
      </c>
      <c r="W319">
        <f>HYPERLINK("https://klasma.github.io/Logging_2180/klagomålsmail/A 31541-2023 FSC-klagomål mail.docx", "A 31541-2023")</f>
        <v/>
      </c>
      <c r="X319">
        <f>HYPERLINK("https://klasma.github.io/Logging_2180/tillsyn/A 31541-2023 tillsynsbegäran.docx", "A 31541-2023")</f>
        <v/>
      </c>
      <c r="Y319">
        <f>HYPERLINK("https://klasma.github.io/Logging_2180/tillsynsmail/A 31541-2023 tillsynsbegäran mail.docx", "A 31541-2023")</f>
        <v/>
      </c>
    </row>
    <row r="320" ht="15" customHeight="1">
      <c r="A320" t="inlineStr">
        <is>
          <t>A 32502-2023</t>
        </is>
      </c>
      <c r="B320" s="1" t="n">
        <v>45121</v>
      </c>
      <c r="C320" s="1" t="n">
        <v>45668</v>
      </c>
      <c r="D320" t="inlineStr">
        <is>
          <t>GÄVLEBORGS LÄN</t>
        </is>
      </c>
      <c r="E320" t="inlineStr">
        <is>
          <t>LJUSDAL</t>
        </is>
      </c>
      <c r="F320" t="inlineStr">
        <is>
          <t>Sveaskog</t>
        </is>
      </c>
      <c r="G320" t="n">
        <v>9.199999999999999</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32502-2023 artfynd.xlsx", "A 32502-2023")</f>
        <v/>
      </c>
      <c r="T320">
        <f>HYPERLINK("https://klasma.github.io/Logging_2161/kartor/A 32502-2023 karta.png", "A 32502-2023")</f>
        <v/>
      </c>
      <c r="V320">
        <f>HYPERLINK("https://klasma.github.io/Logging_2161/klagomål/A 32502-2023 FSC-klagomål.docx", "A 32502-2023")</f>
        <v/>
      </c>
      <c r="W320">
        <f>HYPERLINK("https://klasma.github.io/Logging_2161/klagomålsmail/A 32502-2023 FSC-klagomål mail.docx", "A 32502-2023")</f>
        <v/>
      </c>
      <c r="X320">
        <f>HYPERLINK("https://klasma.github.io/Logging_2161/tillsyn/A 32502-2023 tillsynsbegäran.docx", "A 32502-2023")</f>
        <v/>
      </c>
      <c r="Y320">
        <f>HYPERLINK("https://klasma.github.io/Logging_2161/tillsynsmail/A 32502-2023 tillsynsbegäran mail.docx", "A 32502-2023")</f>
        <v/>
      </c>
    </row>
    <row r="321" ht="15" customHeight="1">
      <c r="A321" t="inlineStr">
        <is>
          <t>A 36586-2023</t>
        </is>
      </c>
      <c r="B321" s="1" t="n">
        <v>45153</v>
      </c>
      <c r="C321" s="1" t="n">
        <v>45668</v>
      </c>
      <c r="D321" t="inlineStr">
        <is>
          <t>GÄVLEBORGS LÄN</t>
        </is>
      </c>
      <c r="E321" t="inlineStr">
        <is>
          <t>LJUSDAL</t>
        </is>
      </c>
      <c r="F321" t="inlineStr">
        <is>
          <t>Bergvik skog väst AB</t>
        </is>
      </c>
      <c r="G321" t="n">
        <v>27</v>
      </c>
      <c r="H321" t="n">
        <v>1</v>
      </c>
      <c r="I321" t="n">
        <v>0</v>
      </c>
      <c r="J321" t="n">
        <v>2</v>
      </c>
      <c r="K321" t="n">
        <v>0</v>
      </c>
      <c r="L321" t="n">
        <v>0</v>
      </c>
      <c r="M321" t="n">
        <v>0</v>
      </c>
      <c r="N321" t="n">
        <v>0</v>
      </c>
      <c r="O321" t="n">
        <v>2</v>
      </c>
      <c r="P321" t="n">
        <v>0</v>
      </c>
      <c r="Q321" t="n">
        <v>2</v>
      </c>
      <c r="R321" s="2" t="inlineStr">
        <is>
          <t>Lunglav
Tretåig hackspett</t>
        </is>
      </c>
      <c r="S321">
        <f>HYPERLINK("https://klasma.github.io/Logging_2161/artfynd/A 36586-2023 artfynd.xlsx", "A 36586-2023")</f>
        <v/>
      </c>
      <c r="T321">
        <f>HYPERLINK("https://klasma.github.io/Logging_2161/kartor/A 36586-2023 karta.png", "A 36586-2023")</f>
        <v/>
      </c>
      <c r="U321">
        <f>HYPERLINK("https://klasma.github.io/Logging_2161/knärot/A 36586-2023 karta knärot.png", "A 36586-2023")</f>
        <v/>
      </c>
      <c r="V321">
        <f>HYPERLINK("https://klasma.github.io/Logging_2161/klagomål/A 36586-2023 FSC-klagomål.docx", "A 36586-2023")</f>
        <v/>
      </c>
      <c r="W321">
        <f>HYPERLINK("https://klasma.github.io/Logging_2161/klagomålsmail/A 36586-2023 FSC-klagomål mail.docx", "A 36586-2023")</f>
        <v/>
      </c>
      <c r="X321">
        <f>HYPERLINK("https://klasma.github.io/Logging_2161/tillsyn/A 36586-2023 tillsynsbegäran.docx", "A 36586-2023")</f>
        <v/>
      </c>
      <c r="Y321">
        <f>HYPERLINK("https://klasma.github.io/Logging_2161/tillsynsmail/A 36586-2023 tillsynsbegäran mail.docx", "A 36586-2023")</f>
        <v/>
      </c>
      <c r="Z321">
        <f>HYPERLINK("https://klasma.github.io/Logging_2161/fåglar/A 36586-2023 prioriterade fågelarter.docx", "A 36586-2023")</f>
        <v/>
      </c>
    </row>
    <row r="322" ht="15" customHeight="1">
      <c r="A322" t="inlineStr">
        <is>
          <t>A 39002-2023</t>
        </is>
      </c>
      <c r="B322" s="1" t="n">
        <v>45163</v>
      </c>
      <c r="C322" s="1" t="n">
        <v>45668</v>
      </c>
      <c r="D322" t="inlineStr">
        <is>
          <t>GÄVLEBORGS LÄN</t>
        </is>
      </c>
      <c r="E322" t="inlineStr">
        <is>
          <t>HOFORS</t>
        </is>
      </c>
      <c r="F322" t="inlineStr">
        <is>
          <t>Sveaskog</t>
        </is>
      </c>
      <c r="G322" t="n">
        <v>2.5</v>
      </c>
      <c r="H322" t="n">
        <v>1</v>
      </c>
      <c r="I322" t="n">
        <v>1</v>
      </c>
      <c r="J322" t="n">
        <v>0</v>
      </c>
      <c r="K322" t="n">
        <v>0</v>
      </c>
      <c r="L322" t="n">
        <v>0</v>
      </c>
      <c r="M322" t="n">
        <v>0</v>
      </c>
      <c r="N322" t="n">
        <v>0</v>
      </c>
      <c r="O322" t="n">
        <v>0</v>
      </c>
      <c r="P322" t="n">
        <v>0</v>
      </c>
      <c r="Q322" t="n">
        <v>2</v>
      </c>
      <c r="R322" s="2" t="inlineStr">
        <is>
          <t>Gräsull
Blåsippa</t>
        </is>
      </c>
      <c r="S322">
        <f>HYPERLINK("https://klasma.github.io/Logging_2104/artfynd/A 39002-2023 artfynd.xlsx", "A 39002-2023")</f>
        <v/>
      </c>
      <c r="T322">
        <f>HYPERLINK("https://klasma.github.io/Logging_2104/kartor/A 39002-2023 karta.png", "A 39002-2023")</f>
        <v/>
      </c>
      <c r="V322">
        <f>HYPERLINK("https://klasma.github.io/Logging_2104/klagomål/A 39002-2023 FSC-klagomål.docx", "A 39002-2023")</f>
        <v/>
      </c>
      <c r="W322">
        <f>HYPERLINK("https://klasma.github.io/Logging_2104/klagomålsmail/A 39002-2023 FSC-klagomål mail.docx", "A 39002-2023")</f>
        <v/>
      </c>
      <c r="X322">
        <f>HYPERLINK("https://klasma.github.io/Logging_2104/tillsyn/A 39002-2023 tillsynsbegäran.docx", "A 39002-2023")</f>
        <v/>
      </c>
      <c r="Y322">
        <f>HYPERLINK("https://klasma.github.io/Logging_2104/tillsynsmail/A 39002-2023 tillsynsbegäran mail.docx", "A 39002-2023")</f>
        <v/>
      </c>
    </row>
    <row r="323" ht="15" customHeight="1">
      <c r="A323" t="inlineStr">
        <is>
          <t>A 40743-2023</t>
        </is>
      </c>
      <c r="B323" s="1" t="n">
        <v>45170</v>
      </c>
      <c r="C323" s="1" t="n">
        <v>45668</v>
      </c>
      <c r="D323" t="inlineStr">
        <is>
          <t>GÄVLEBORGS LÄN</t>
        </is>
      </c>
      <c r="E323" t="inlineStr">
        <is>
          <t>LJUSDAL</t>
        </is>
      </c>
      <c r="F323" t="inlineStr">
        <is>
          <t>Sveaskog</t>
        </is>
      </c>
      <c r="G323" t="n">
        <v>12.2</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40743-2023 artfynd.xlsx", "A 40743-2023")</f>
        <v/>
      </c>
      <c r="T323">
        <f>HYPERLINK("https://klasma.github.io/Logging_2161/kartor/A 40743-2023 karta.png", "A 40743-2023")</f>
        <v/>
      </c>
      <c r="V323">
        <f>HYPERLINK("https://klasma.github.io/Logging_2161/klagomål/A 40743-2023 FSC-klagomål.docx", "A 40743-2023")</f>
        <v/>
      </c>
      <c r="W323">
        <f>HYPERLINK("https://klasma.github.io/Logging_2161/klagomålsmail/A 40743-2023 FSC-klagomål mail.docx", "A 40743-2023")</f>
        <v/>
      </c>
      <c r="X323">
        <f>HYPERLINK("https://klasma.github.io/Logging_2161/tillsyn/A 40743-2023 tillsynsbegäran.docx", "A 40743-2023")</f>
        <v/>
      </c>
      <c r="Y323">
        <f>HYPERLINK("https://klasma.github.io/Logging_2161/tillsynsmail/A 40743-2023 tillsynsbegäran mail.docx", "A 40743-2023")</f>
        <v/>
      </c>
    </row>
    <row r="324" ht="15" customHeight="1">
      <c r="A324" t="inlineStr">
        <is>
          <t>A 41221-2023</t>
        </is>
      </c>
      <c r="B324" s="1" t="n">
        <v>45174</v>
      </c>
      <c r="C324" s="1" t="n">
        <v>45668</v>
      </c>
      <c r="D324" t="inlineStr">
        <is>
          <t>GÄVLEBORGS LÄN</t>
        </is>
      </c>
      <c r="E324" t="inlineStr">
        <is>
          <t>NORDANSTIG</t>
        </is>
      </c>
      <c r="F324" t="inlineStr">
        <is>
          <t>Holmen skog AB</t>
        </is>
      </c>
      <c r="G324" t="n">
        <v>13.1</v>
      </c>
      <c r="H324" t="n">
        <v>0</v>
      </c>
      <c r="I324" t="n">
        <v>1</v>
      </c>
      <c r="J324" t="n">
        <v>1</v>
      </c>
      <c r="K324" t="n">
        <v>0</v>
      </c>
      <c r="L324" t="n">
        <v>0</v>
      </c>
      <c r="M324" t="n">
        <v>0</v>
      </c>
      <c r="N324" t="n">
        <v>0</v>
      </c>
      <c r="O324" t="n">
        <v>1</v>
      </c>
      <c r="P324" t="n">
        <v>0</v>
      </c>
      <c r="Q324" t="n">
        <v>2</v>
      </c>
      <c r="R324" s="2" t="inlineStr">
        <is>
          <t>Lunglav
Dropptaggsvamp</t>
        </is>
      </c>
      <c r="S324">
        <f>HYPERLINK("https://klasma.github.io/Logging_2132/artfynd/A 41221-2023 artfynd.xlsx", "A 41221-2023")</f>
        <v/>
      </c>
      <c r="T324">
        <f>HYPERLINK("https://klasma.github.io/Logging_2132/kartor/A 41221-2023 karta.png", "A 41221-2023")</f>
        <v/>
      </c>
      <c r="V324">
        <f>HYPERLINK("https://klasma.github.io/Logging_2132/klagomål/A 41221-2023 FSC-klagomål.docx", "A 41221-2023")</f>
        <v/>
      </c>
      <c r="W324">
        <f>HYPERLINK("https://klasma.github.io/Logging_2132/klagomålsmail/A 41221-2023 FSC-klagomål mail.docx", "A 41221-2023")</f>
        <v/>
      </c>
      <c r="X324">
        <f>HYPERLINK("https://klasma.github.io/Logging_2132/tillsyn/A 41221-2023 tillsynsbegäran.docx", "A 41221-2023")</f>
        <v/>
      </c>
      <c r="Y324">
        <f>HYPERLINK("https://klasma.github.io/Logging_2132/tillsynsmail/A 41221-2023 tillsynsbegäran mail.docx", "A 41221-2023")</f>
        <v/>
      </c>
    </row>
    <row r="325" ht="15" customHeight="1">
      <c r="A325" t="inlineStr">
        <is>
          <t>A 42123-2023</t>
        </is>
      </c>
      <c r="B325" s="1" t="n">
        <v>45177</v>
      </c>
      <c r="C325" s="1" t="n">
        <v>45668</v>
      </c>
      <c r="D325" t="inlineStr">
        <is>
          <t>GÄVLEBORGS LÄN</t>
        </is>
      </c>
      <c r="E325" t="inlineStr">
        <is>
          <t>LJUSDAL</t>
        </is>
      </c>
      <c r="F325" t="inlineStr">
        <is>
          <t>Sveaskog</t>
        </is>
      </c>
      <c r="G325" t="n">
        <v>19.7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42123-2023 artfynd.xlsx", "A 42123-2023")</f>
        <v/>
      </c>
      <c r="T325">
        <f>HYPERLINK("https://klasma.github.io/Logging_2161/kartor/A 42123-2023 karta.png", "A 42123-2023")</f>
        <v/>
      </c>
      <c r="V325">
        <f>HYPERLINK("https://klasma.github.io/Logging_2161/klagomål/A 42123-2023 FSC-klagomål.docx", "A 42123-2023")</f>
        <v/>
      </c>
      <c r="W325">
        <f>HYPERLINK("https://klasma.github.io/Logging_2161/klagomålsmail/A 42123-2023 FSC-klagomål mail.docx", "A 42123-2023")</f>
        <v/>
      </c>
      <c r="X325">
        <f>HYPERLINK("https://klasma.github.io/Logging_2161/tillsyn/A 42123-2023 tillsynsbegäran.docx", "A 42123-2023")</f>
        <v/>
      </c>
      <c r="Y325">
        <f>HYPERLINK("https://klasma.github.io/Logging_2161/tillsynsmail/A 42123-2023 tillsynsbegäran mail.docx", "A 42123-2023")</f>
        <v/>
      </c>
    </row>
    <row r="326" ht="15" customHeight="1">
      <c r="A326" t="inlineStr">
        <is>
          <t>A 42056-2023</t>
        </is>
      </c>
      <c r="B326" s="1" t="n">
        <v>45177</v>
      </c>
      <c r="C326" s="1" t="n">
        <v>45668</v>
      </c>
      <c r="D326" t="inlineStr">
        <is>
          <t>GÄVLEBORGS LÄN</t>
        </is>
      </c>
      <c r="E326" t="inlineStr">
        <is>
          <t>OVANÅKER</t>
        </is>
      </c>
      <c r="G326" t="n">
        <v>14.7</v>
      </c>
      <c r="H326" t="n">
        <v>0</v>
      </c>
      <c r="I326" t="n">
        <v>1</v>
      </c>
      <c r="J326" t="n">
        <v>1</v>
      </c>
      <c r="K326" t="n">
        <v>0</v>
      </c>
      <c r="L326" t="n">
        <v>0</v>
      </c>
      <c r="M326" t="n">
        <v>0</v>
      </c>
      <c r="N326" t="n">
        <v>0</v>
      </c>
      <c r="O326" t="n">
        <v>1</v>
      </c>
      <c r="P326" t="n">
        <v>0</v>
      </c>
      <c r="Q326" t="n">
        <v>2</v>
      </c>
      <c r="R326" s="2" t="inlineStr">
        <is>
          <t>Lunglav
Korallblylav</t>
        </is>
      </c>
      <c r="S326">
        <f>HYPERLINK("https://klasma.github.io/Logging_2121/artfynd/A 42056-2023 artfynd.xlsx", "A 42056-2023")</f>
        <v/>
      </c>
      <c r="T326">
        <f>HYPERLINK("https://klasma.github.io/Logging_2121/kartor/A 42056-2023 karta.png", "A 42056-2023")</f>
        <v/>
      </c>
      <c r="V326">
        <f>HYPERLINK("https://klasma.github.io/Logging_2121/klagomål/A 42056-2023 FSC-klagomål.docx", "A 42056-2023")</f>
        <v/>
      </c>
      <c r="W326">
        <f>HYPERLINK("https://klasma.github.io/Logging_2121/klagomålsmail/A 42056-2023 FSC-klagomål mail.docx", "A 42056-2023")</f>
        <v/>
      </c>
      <c r="X326">
        <f>HYPERLINK("https://klasma.github.io/Logging_2121/tillsyn/A 42056-2023 tillsynsbegäran.docx", "A 42056-2023")</f>
        <v/>
      </c>
      <c r="Y326">
        <f>HYPERLINK("https://klasma.github.io/Logging_2121/tillsynsmail/A 42056-2023 tillsynsbegäran mail.docx", "A 42056-2023")</f>
        <v/>
      </c>
    </row>
    <row r="327" ht="15" customHeight="1">
      <c r="A327" t="inlineStr">
        <is>
          <t>A 43723-2023</t>
        </is>
      </c>
      <c r="B327" s="1" t="n">
        <v>45187</v>
      </c>
      <c r="C327" s="1" t="n">
        <v>45668</v>
      </c>
      <c r="D327" t="inlineStr">
        <is>
          <t>GÄVLEBORGS LÄN</t>
        </is>
      </c>
      <c r="E327" t="inlineStr">
        <is>
          <t>LJUSDAL</t>
        </is>
      </c>
      <c r="F327" t="inlineStr">
        <is>
          <t>Sveaskog</t>
        </is>
      </c>
      <c r="G327" t="n">
        <v>5.1</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43723-2023 artfynd.xlsx", "A 43723-2023")</f>
        <v/>
      </c>
      <c r="T327">
        <f>HYPERLINK("https://klasma.github.io/Logging_2161/kartor/A 43723-2023 karta.png", "A 43723-2023")</f>
        <v/>
      </c>
      <c r="V327">
        <f>HYPERLINK("https://klasma.github.io/Logging_2161/klagomål/A 43723-2023 FSC-klagomål.docx", "A 43723-2023")</f>
        <v/>
      </c>
      <c r="W327">
        <f>HYPERLINK("https://klasma.github.io/Logging_2161/klagomålsmail/A 43723-2023 FSC-klagomål mail.docx", "A 43723-2023")</f>
        <v/>
      </c>
      <c r="X327">
        <f>HYPERLINK("https://klasma.github.io/Logging_2161/tillsyn/A 43723-2023 tillsynsbegäran.docx", "A 43723-2023")</f>
        <v/>
      </c>
      <c r="Y327">
        <f>HYPERLINK("https://klasma.github.io/Logging_2161/tillsynsmail/A 43723-2023 tillsynsbegäran mail.docx", "A 43723-2023")</f>
        <v/>
      </c>
    </row>
    <row r="328" ht="15" customHeight="1">
      <c r="A328" t="inlineStr">
        <is>
          <t>A 45153-2023</t>
        </is>
      </c>
      <c r="B328" s="1" t="n">
        <v>45191</v>
      </c>
      <c r="C328" s="1" t="n">
        <v>45668</v>
      </c>
      <c r="D328" t="inlineStr">
        <is>
          <t>GÄVLEBORGS LÄN</t>
        </is>
      </c>
      <c r="E328" t="inlineStr">
        <is>
          <t>HUDIKSVALL</t>
        </is>
      </c>
      <c r="G328" t="n">
        <v>0.6</v>
      </c>
      <c r="H328" t="n">
        <v>1</v>
      </c>
      <c r="I328" t="n">
        <v>1</v>
      </c>
      <c r="J328" t="n">
        <v>0</v>
      </c>
      <c r="K328" t="n">
        <v>0</v>
      </c>
      <c r="L328" t="n">
        <v>0</v>
      </c>
      <c r="M328" t="n">
        <v>0</v>
      </c>
      <c r="N328" t="n">
        <v>0</v>
      </c>
      <c r="O328" t="n">
        <v>0</v>
      </c>
      <c r="P328" t="n">
        <v>0</v>
      </c>
      <c r="Q328" t="n">
        <v>2</v>
      </c>
      <c r="R328" s="2" t="inlineStr">
        <is>
          <t>Tibast
Skogsödla</t>
        </is>
      </c>
      <c r="S328">
        <f>HYPERLINK("https://klasma.github.io/Logging_2184/artfynd/A 45153-2023 artfynd.xlsx", "A 45153-2023")</f>
        <v/>
      </c>
      <c r="T328">
        <f>HYPERLINK("https://klasma.github.io/Logging_2184/kartor/A 45153-2023 karta.png", "A 45153-2023")</f>
        <v/>
      </c>
      <c r="V328">
        <f>HYPERLINK("https://klasma.github.io/Logging_2184/klagomål/A 45153-2023 FSC-klagomål.docx", "A 45153-2023")</f>
        <v/>
      </c>
      <c r="W328">
        <f>HYPERLINK("https://klasma.github.io/Logging_2184/klagomålsmail/A 45153-2023 FSC-klagomål mail.docx", "A 45153-2023")</f>
        <v/>
      </c>
      <c r="X328">
        <f>HYPERLINK("https://klasma.github.io/Logging_2184/tillsyn/A 45153-2023 tillsynsbegäran.docx", "A 45153-2023")</f>
        <v/>
      </c>
      <c r="Y328">
        <f>HYPERLINK("https://klasma.github.io/Logging_2184/tillsynsmail/A 45153-2023 tillsynsbegäran mail.docx", "A 45153-2023")</f>
        <v/>
      </c>
    </row>
    <row r="329" ht="15" customHeight="1">
      <c r="A329" t="inlineStr">
        <is>
          <t>A 45876-2023</t>
        </is>
      </c>
      <c r="B329" s="1" t="n">
        <v>45195</v>
      </c>
      <c r="C329" s="1" t="n">
        <v>45668</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45668</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45668</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45668</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45668</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45668</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45668</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45668</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45668</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45668</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45668</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45668</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45668</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45668</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45668</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45668</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45668</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45668</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45668</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45668</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45668</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45668</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45668</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22470-2024</t>
        </is>
      </c>
      <c r="B352" s="1" t="n">
        <v>45446</v>
      </c>
      <c r="C352" s="1" t="n">
        <v>45668</v>
      </c>
      <c r="D352" t="inlineStr">
        <is>
          <t>GÄVLEBORGS LÄN</t>
        </is>
      </c>
      <c r="E352" t="inlineStr">
        <is>
          <t>LJUSDAL</t>
        </is>
      </c>
      <c r="F352" t="inlineStr">
        <is>
          <t>SCA</t>
        </is>
      </c>
      <c r="G352" t="n">
        <v>5.3</v>
      </c>
      <c r="H352" t="n">
        <v>2</v>
      </c>
      <c r="I352" t="n">
        <v>0</v>
      </c>
      <c r="J352" t="n">
        <v>0</v>
      </c>
      <c r="K352" t="n">
        <v>1</v>
      </c>
      <c r="L352" t="n">
        <v>0</v>
      </c>
      <c r="M352" t="n">
        <v>0</v>
      </c>
      <c r="N352" t="n">
        <v>0</v>
      </c>
      <c r="O352" t="n">
        <v>1</v>
      </c>
      <c r="P352" t="n">
        <v>1</v>
      </c>
      <c r="Q352" t="n">
        <v>2</v>
      </c>
      <c r="R352" s="2" t="inlineStr">
        <is>
          <t>Knärot
Lopplummer</t>
        </is>
      </c>
      <c r="S352">
        <f>HYPERLINK("https://klasma.github.io/Logging_2161/artfynd/A 22470-2024 artfynd.xlsx", "A 22470-2024")</f>
        <v/>
      </c>
      <c r="T352">
        <f>HYPERLINK("https://klasma.github.io/Logging_2161/kartor/A 22470-2024 karta.png", "A 22470-2024")</f>
        <v/>
      </c>
      <c r="U352">
        <f>HYPERLINK("https://klasma.github.io/Logging_2161/knärot/A 22470-2024 karta knärot.png", "A 22470-2024")</f>
        <v/>
      </c>
      <c r="V352">
        <f>HYPERLINK("https://klasma.github.io/Logging_2161/klagomål/A 22470-2024 FSC-klagomål.docx", "A 22470-2024")</f>
        <v/>
      </c>
      <c r="W352">
        <f>HYPERLINK("https://klasma.github.io/Logging_2161/klagomålsmail/A 22470-2024 FSC-klagomål mail.docx", "A 22470-2024")</f>
        <v/>
      </c>
      <c r="X352">
        <f>HYPERLINK("https://klasma.github.io/Logging_2161/tillsyn/A 22470-2024 tillsynsbegäran.docx", "A 22470-2024")</f>
        <v/>
      </c>
      <c r="Y352">
        <f>HYPERLINK("https://klasma.github.io/Logging_2161/tillsynsmail/A 22470-2024 tillsynsbegäran mail.docx", "A 22470-2024")</f>
        <v/>
      </c>
    </row>
    <row r="353" ht="15" customHeight="1">
      <c r="A353" t="inlineStr">
        <is>
          <t>A 22667-2024</t>
        </is>
      </c>
      <c r="B353" s="1" t="n">
        <v>45448</v>
      </c>
      <c r="C353" s="1" t="n">
        <v>45668</v>
      </c>
      <c r="D353" t="inlineStr">
        <is>
          <t>GÄVLEBORGS LÄN</t>
        </is>
      </c>
      <c r="E353" t="inlineStr">
        <is>
          <t>LJUSDAL</t>
        </is>
      </c>
      <c r="F353" t="inlineStr">
        <is>
          <t>SCA</t>
        </is>
      </c>
      <c r="G353" t="n">
        <v>5.3</v>
      </c>
      <c r="H353" t="n">
        <v>2</v>
      </c>
      <c r="I353" t="n">
        <v>0</v>
      </c>
      <c r="J353" t="n">
        <v>0</v>
      </c>
      <c r="K353" t="n">
        <v>1</v>
      </c>
      <c r="L353" t="n">
        <v>0</v>
      </c>
      <c r="M353" t="n">
        <v>0</v>
      </c>
      <c r="N353" t="n">
        <v>0</v>
      </c>
      <c r="O353" t="n">
        <v>1</v>
      </c>
      <c r="P353" t="n">
        <v>1</v>
      </c>
      <c r="Q353" t="n">
        <v>2</v>
      </c>
      <c r="R353" s="2" t="inlineStr">
        <is>
          <t>Knärot
Lopplummer</t>
        </is>
      </c>
      <c r="S353">
        <f>HYPERLINK("https://klasma.github.io/Logging_2161/artfynd/A 22667-2024 artfynd.xlsx", "A 22667-2024")</f>
        <v/>
      </c>
      <c r="T353">
        <f>HYPERLINK("https://klasma.github.io/Logging_2161/kartor/A 22667-2024 karta.png", "A 22667-2024")</f>
        <v/>
      </c>
      <c r="U353">
        <f>HYPERLINK("https://klasma.github.io/Logging_2161/knärot/A 22667-2024 karta knärot.png", "A 22667-2024")</f>
        <v/>
      </c>
      <c r="V353">
        <f>HYPERLINK("https://klasma.github.io/Logging_2161/klagomål/A 22667-2024 FSC-klagomål.docx", "A 22667-2024")</f>
        <v/>
      </c>
      <c r="W353">
        <f>HYPERLINK("https://klasma.github.io/Logging_2161/klagomålsmail/A 22667-2024 FSC-klagomål mail.docx", "A 22667-2024")</f>
        <v/>
      </c>
      <c r="X353">
        <f>HYPERLINK("https://klasma.github.io/Logging_2161/tillsyn/A 22667-2024 tillsynsbegäran.docx", "A 22667-2024")</f>
        <v/>
      </c>
      <c r="Y353">
        <f>HYPERLINK("https://klasma.github.io/Logging_2161/tillsynsmail/A 22667-2024 tillsynsbegäran mail.docx", "A 22667-2024")</f>
        <v/>
      </c>
    </row>
    <row r="354" ht="15" customHeight="1">
      <c r="A354" t="inlineStr">
        <is>
          <t>A 23399-2024</t>
        </is>
      </c>
      <c r="B354" s="1" t="n">
        <v>45453</v>
      </c>
      <c r="C354" s="1" t="n">
        <v>45668</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45668</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45668</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45668</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45668</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45668</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45668</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45668</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45668</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45668</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45668</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45668</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45668</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45668</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34082-2024</t>
        </is>
      </c>
      <c r="B368" s="1" t="n">
        <v>45523</v>
      </c>
      <c r="C368" s="1" t="n">
        <v>45668</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45668</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45668</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45668</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45668</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45668</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45668</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45668</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45668</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45668</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45668</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45668</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45668</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45668</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45668</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45668</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45668</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17966-2019</t>
        </is>
      </c>
      <c r="B385" s="1" t="n">
        <v>43557</v>
      </c>
      <c r="C385" s="1" t="n">
        <v>45668</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45668</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45668</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45668</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45668</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45668</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45668</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45668</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45668</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45668</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45668</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45668</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45668</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45668</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45668</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45668</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45668</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45668</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45668</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45668</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45668</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45668</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45668</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45668</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45668</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45668</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45668</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45668</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45668</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45668</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45668</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45668</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45668</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45668</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45668</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45668</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45668</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45668</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45668</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45668</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45668</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45668</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45668</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45668</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45668</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45668</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45668</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45668</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45668</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45668</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45668</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45668</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45668</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45668</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45668</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45668</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45668</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45668</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45668</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45668</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45668</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45668</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45668</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45668</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45668</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45668</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45668</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45668</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45668</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45668</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45668</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45668</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45668</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45668</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45668</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45668</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45668</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45668</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45668</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45668</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45668</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45668</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45668</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45668</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45668</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45668</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45668</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45668</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45668</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45668</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45668</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45668</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45668</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45668</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45668</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45668</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45668</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45668</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45668</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45668</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45668</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45668</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45668</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45668</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45668</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45668</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45668</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45668</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45668</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35525-2022</t>
        </is>
      </c>
      <c r="B494" s="1" t="n">
        <v>44799</v>
      </c>
      <c r="C494" s="1" t="n">
        <v>45668</v>
      </c>
      <c r="D494" t="inlineStr">
        <is>
          <t>GÄVLEBORGS LÄN</t>
        </is>
      </c>
      <c r="E494" t="inlineStr">
        <is>
          <t>SANDVIKEN</t>
        </is>
      </c>
      <c r="G494" t="n">
        <v>0.7</v>
      </c>
      <c r="H494" t="n">
        <v>1</v>
      </c>
      <c r="I494" t="n">
        <v>0</v>
      </c>
      <c r="J494" t="n">
        <v>0</v>
      </c>
      <c r="K494" t="n">
        <v>0</v>
      </c>
      <c r="L494" t="n">
        <v>0</v>
      </c>
      <c r="M494" t="n">
        <v>0</v>
      </c>
      <c r="N494" t="n">
        <v>0</v>
      </c>
      <c r="O494" t="n">
        <v>0</v>
      </c>
      <c r="P494" t="n">
        <v>0</v>
      </c>
      <c r="Q494" t="n">
        <v>1</v>
      </c>
      <c r="R494" s="2" t="inlineStr">
        <is>
          <t>Lopplummer</t>
        </is>
      </c>
      <c r="S494">
        <f>HYPERLINK("https://klasma.github.io/Logging_2181/artfynd/A 35525-2022 artfynd.xlsx", "A 35525-2022")</f>
        <v/>
      </c>
      <c r="T494">
        <f>HYPERLINK("https://klasma.github.io/Logging_2181/kartor/A 35525-2022 karta.png", "A 35525-2022")</f>
        <v/>
      </c>
      <c r="V494">
        <f>HYPERLINK("https://klasma.github.io/Logging_2181/klagomål/A 35525-2022 FSC-klagomål.docx", "A 35525-2022")</f>
        <v/>
      </c>
      <c r="W494">
        <f>HYPERLINK("https://klasma.github.io/Logging_2181/klagomålsmail/A 35525-2022 FSC-klagomål mail.docx", "A 35525-2022")</f>
        <v/>
      </c>
      <c r="X494">
        <f>HYPERLINK("https://klasma.github.io/Logging_2181/tillsyn/A 35525-2022 tillsynsbegäran.docx", "A 35525-2022")</f>
        <v/>
      </c>
      <c r="Y494">
        <f>HYPERLINK("https://klasma.github.io/Logging_2181/tillsynsmail/A 35525-2022 tillsynsbegäran mail.docx", "A 35525-2022")</f>
        <v/>
      </c>
    </row>
    <row r="495" ht="15" customHeight="1">
      <c r="A495" t="inlineStr">
        <is>
          <t>A 37927-2022</t>
        </is>
      </c>
      <c r="B495" s="1" t="n">
        <v>44811</v>
      </c>
      <c r="C495" s="1" t="n">
        <v>45668</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38159-2022</t>
        </is>
      </c>
      <c r="B496" s="1" t="n">
        <v>44812</v>
      </c>
      <c r="C496" s="1" t="n">
        <v>45668</v>
      </c>
      <c r="D496" t="inlineStr">
        <is>
          <t>GÄVLEBORGS LÄN</t>
        </is>
      </c>
      <c r="E496" t="inlineStr">
        <is>
          <t>NORDANSTIG</t>
        </is>
      </c>
      <c r="F496" t="inlineStr">
        <is>
          <t>Holmen skog AB</t>
        </is>
      </c>
      <c r="G496" t="n">
        <v>1.4</v>
      </c>
      <c r="H496" t="n">
        <v>0</v>
      </c>
      <c r="I496" t="n">
        <v>0</v>
      </c>
      <c r="J496" t="n">
        <v>1</v>
      </c>
      <c r="K496" t="n">
        <v>0</v>
      </c>
      <c r="L496" t="n">
        <v>0</v>
      </c>
      <c r="M496" t="n">
        <v>0</v>
      </c>
      <c r="N496" t="n">
        <v>0</v>
      </c>
      <c r="O496" t="n">
        <v>1</v>
      </c>
      <c r="P496" t="n">
        <v>0</v>
      </c>
      <c r="Q496" t="n">
        <v>1</v>
      </c>
      <c r="R496" s="2" t="inlineStr">
        <is>
          <t>Granticka</t>
        </is>
      </c>
      <c r="S496">
        <f>HYPERLINK("https://klasma.github.io/Logging_2132/artfynd/A 38159-2022 artfynd.xlsx", "A 38159-2022")</f>
        <v/>
      </c>
      <c r="T496">
        <f>HYPERLINK("https://klasma.github.io/Logging_2132/kartor/A 38159-2022 karta.png", "A 38159-2022")</f>
        <v/>
      </c>
      <c r="V496">
        <f>HYPERLINK("https://klasma.github.io/Logging_2132/klagomål/A 38159-2022 FSC-klagomål.docx", "A 38159-2022")</f>
        <v/>
      </c>
      <c r="W496">
        <f>HYPERLINK("https://klasma.github.io/Logging_2132/klagomålsmail/A 38159-2022 FSC-klagomål mail.docx", "A 38159-2022")</f>
        <v/>
      </c>
      <c r="X496">
        <f>HYPERLINK("https://klasma.github.io/Logging_2132/tillsyn/A 38159-2022 tillsynsbegäran.docx", "A 38159-2022")</f>
        <v/>
      </c>
      <c r="Y496">
        <f>HYPERLINK("https://klasma.github.io/Logging_2132/tillsynsmail/A 38159-2022 tillsynsbegäran mail.docx", "A 38159-2022")</f>
        <v/>
      </c>
    </row>
    <row r="497" ht="15" customHeight="1">
      <c r="A497" t="inlineStr">
        <is>
          <t>A 38529-2022</t>
        </is>
      </c>
      <c r="B497" s="1" t="n">
        <v>44813</v>
      </c>
      <c r="C497" s="1" t="n">
        <v>45668</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41258-2022</t>
        </is>
      </c>
      <c r="B498" s="1" t="n">
        <v>44826</v>
      </c>
      <c r="C498" s="1" t="n">
        <v>45668</v>
      </c>
      <c r="D498" t="inlineStr">
        <is>
          <t>GÄVLEBORGS LÄN</t>
        </is>
      </c>
      <c r="E498" t="inlineStr">
        <is>
          <t>SÖDERHAMN</t>
        </is>
      </c>
      <c r="G498" t="n">
        <v>0.8</v>
      </c>
      <c r="H498" t="n">
        <v>0</v>
      </c>
      <c r="I498" t="n">
        <v>0</v>
      </c>
      <c r="J498" t="n">
        <v>1</v>
      </c>
      <c r="K498" t="n">
        <v>0</v>
      </c>
      <c r="L498" t="n">
        <v>0</v>
      </c>
      <c r="M498" t="n">
        <v>0</v>
      </c>
      <c r="N498" t="n">
        <v>0</v>
      </c>
      <c r="O498" t="n">
        <v>1</v>
      </c>
      <c r="P498" t="n">
        <v>0</v>
      </c>
      <c r="Q498" t="n">
        <v>1</v>
      </c>
      <c r="R498" s="2" t="inlineStr">
        <is>
          <t>Rosenticka</t>
        </is>
      </c>
      <c r="S498">
        <f>HYPERLINK("https://klasma.github.io/Logging_2182/artfynd/A 41258-2022 artfynd.xlsx", "A 41258-2022")</f>
        <v/>
      </c>
      <c r="T498">
        <f>HYPERLINK("https://klasma.github.io/Logging_2182/kartor/A 41258-2022 karta.png", "A 41258-2022")</f>
        <v/>
      </c>
      <c r="V498">
        <f>HYPERLINK("https://klasma.github.io/Logging_2182/klagomål/A 41258-2022 FSC-klagomål.docx", "A 41258-2022")</f>
        <v/>
      </c>
      <c r="W498">
        <f>HYPERLINK("https://klasma.github.io/Logging_2182/klagomålsmail/A 41258-2022 FSC-klagomål mail.docx", "A 41258-2022")</f>
        <v/>
      </c>
      <c r="X498">
        <f>HYPERLINK("https://klasma.github.io/Logging_2182/tillsyn/A 41258-2022 tillsynsbegäran.docx", "A 41258-2022")</f>
        <v/>
      </c>
      <c r="Y498">
        <f>HYPERLINK("https://klasma.github.io/Logging_2182/tillsynsmail/A 41258-2022 tillsynsbegäran mail.docx", "A 41258-2022")</f>
        <v/>
      </c>
    </row>
    <row r="499" ht="15" customHeight="1">
      <c r="A499" t="inlineStr">
        <is>
          <t>A 42937-2022</t>
        </is>
      </c>
      <c r="B499" s="1" t="n">
        <v>44833</v>
      </c>
      <c r="C499" s="1" t="n">
        <v>45668</v>
      </c>
      <c r="D499" t="inlineStr">
        <is>
          <t>GÄVLEBORGS LÄN</t>
        </is>
      </c>
      <c r="E499" t="inlineStr">
        <is>
          <t>LJUSDAL</t>
        </is>
      </c>
      <c r="G499" t="n">
        <v>0.7</v>
      </c>
      <c r="H499" t="n">
        <v>0</v>
      </c>
      <c r="I499" t="n">
        <v>0</v>
      </c>
      <c r="J499" t="n">
        <v>1</v>
      </c>
      <c r="K499" t="n">
        <v>0</v>
      </c>
      <c r="L499" t="n">
        <v>0</v>
      </c>
      <c r="M499" t="n">
        <v>0</v>
      </c>
      <c r="N499" t="n">
        <v>0</v>
      </c>
      <c r="O499" t="n">
        <v>1</v>
      </c>
      <c r="P499" t="n">
        <v>0</v>
      </c>
      <c r="Q499" t="n">
        <v>1</v>
      </c>
      <c r="R499" s="2" t="inlineStr">
        <is>
          <t>Lunglav</t>
        </is>
      </c>
      <c r="S499">
        <f>HYPERLINK("https://klasma.github.io/Logging_2161/artfynd/A 42937-2022 artfynd.xlsx", "A 42937-2022")</f>
        <v/>
      </c>
      <c r="T499">
        <f>HYPERLINK("https://klasma.github.io/Logging_2161/kartor/A 42937-2022 karta.png", "A 42937-2022")</f>
        <v/>
      </c>
      <c r="V499">
        <f>HYPERLINK("https://klasma.github.io/Logging_2161/klagomål/A 42937-2022 FSC-klagomål.docx", "A 42937-2022")</f>
        <v/>
      </c>
      <c r="W499">
        <f>HYPERLINK("https://klasma.github.io/Logging_2161/klagomålsmail/A 42937-2022 FSC-klagomål mail.docx", "A 42937-2022")</f>
        <v/>
      </c>
      <c r="X499">
        <f>HYPERLINK("https://klasma.github.io/Logging_2161/tillsyn/A 42937-2022 tillsynsbegäran.docx", "A 42937-2022")</f>
        <v/>
      </c>
      <c r="Y499">
        <f>HYPERLINK("https://klasma.github.io/Logging_2161/tillsynsmail/A 42937-2022 tillsynsbegäran mail.docx", "A 42937-2022")</f>
        <v/>
      </c>
    </row>
    <row r="500" ht="15" customHeight="1">
      <c r="A500" t="inlineStr">
        <is>
          <t>A 45241-2022</t>
        </is>
      </c>
      <c r="B500" s="1" t="n">
        <v>44840</v>
      </c>
      <c r="C500" s="1" t="n">
        <v>45668</v>
      </c>
      <c r="D500" t="inlineStr">
        <is>
          <t>GÄVLEBORGS LÄN</t>
        </is>
      </c>
      <c r="E500" t="inlineStr">
        <is>
          <t>GÄVLE</t>
        </is>
      </c>
      <c r="F500" t="inlineStr">
        <is>
          <t>Bergvik skog väst AB</t>
        </is>
      </c>
      <c r="G500" t="n">
        <v>22</v>
      </c>
      <c r="H500" t="n">
        <v>1</v>
      </c>
      <c r="I500" t="n">
        <v>0</v>
      </c>
      <c r="J500" t="n">
        <v>0</v>
      </c>
      <c r="K500" t="n">
        <v>0</v>
      </c>
      <c r="L500" t="n">
        <v>0</v>
      </c>
      <c r="M500" t="n">
        <v>0</v>
      </c>
      <c r="N500" t="n">
        <v>0</v>
      </c>
      <c r="O500" t="n">
        <v>0</v>
      </c>
      <c r="P500" t="n">
        <v>0</v>
      </c>
      <c r="Q500" t="n">
        <v>1</v>
      </c>
      <c r="R500" s="2" t="inlineStr">
        <is>
          <t>Blåsippa</t>
        </is>
      </c>
      <c r="S500">
        <f>HYPERLINK("https://klasma.github.io/Logging_2180/artfynd/A 45241-2022 artfynd.xlsx", "A 45241-2022")</f>
        <v/>
      </c>
      <c r="T500">
        <f>HYPERLINK("https://klasma.github.io/Logging_2180/kartor/A 45241-2022 karta.png", "A 45241-2022")</f>
        <v/>
      </c>
      <c r="V500">
        <f>HYPERLINK("https://klasma.github.io/Logging_2180/klagomål/A 45241-2022 FSC-klagomål.docx", "A 45241-2022")</f>
        <v/>
      </c>
      <c r="W500">
        <f>HYPERLINK("https://klasma.github.io/Logging_2180/klagomålsmail/A 45241-2022 FSC-klagomål mail.docx", "A 45241-2022")</f>
        <v/>
      </c>
      <c r="X500">
        <f>HYPERLINK("https://klasma.github.io/Logging_2180/tillsyn/A 45241-2022 tillsynsbegäran.docx", "A 45241-2022")</f>
        <v/>
      </c>
      <c r="Y500">
        <f>HYPERLINK("https://klasma.github.io/Logging_2180/tillsynsmail/A 45241-2022 tillsynsbegäran mail.docx", "A 45241-2022")</f>
        <v/>
      </c>
    </row>
    <row r="501" ht="15" customHeight="1">
      <c r="A501" t="inlineStr">
        <is>
          <t>A 45909-2022</t>
        </is>
      </c>
      <c r="B501" s="1" t="n">
        <v>44846</v>
      </c>
      <c r="C501" s="1" t="n">
        <v>45668</v>
      </c>
      <c r="D501" t="inlineStr">
        <is>
          <t>GÄVLEBORGS LÄN</t>
        </is>
      </c>
      <c r="E501" t="inlineStr">
        <is>
          <t>SANDVIKEN</t>
        </is>
      </c>
      <c r="G501" t="n">
        <v>2.5</v>
      </c>
      <c r="H501" t="n">
        <v>0</v>
      </c>
      <c r="I501" t="n">
        <v>0</v>
      </c>
      <c r="J501" t="n">
        <v>1</v>
      </c>
      <c r="K501" t="n">
        <v>0</v>
      </c>
      <c r="L501" t="n">
        <v>0</v>
      </c>
      <c r="M501" t="n">
        <v>0</v>
      </c>
      <c r="N501" t="n">
        <v>0</v>
      </c>
      <c r="O501" t="n">
        <v>1</v>
      </c>
      <c r="P501" t="n">
        <v>0</v>
      </c>
      <c r="Q501" t="n">
        <v>1</v>
      </c>
      <c r="R501" s="2" t="inlineStr">
        <is>
          <t>Brunklöver</t>
        </is>
      </c>
      <c r="S501">
        <f>HYPERLINK("https://klasma.github.io/Logging_2181/artfynd/A 45909-2022 artfynd.xlsx", "A 45909-2022")</f>
        <v/>
      </c>
      <c r="T501">
        <f>HYPERLINK("https://klasma.github.io/Logging_2181/kartor/A 45909-2022 karta.png", "A 45909-2022")</f>
        <v/>
      </c>
      <c r="V501">
        <f>HYPERLINK("https://klasma.github.io/Logging_2181/klagomål/A 45909-2022 FSC-klagomål.docx", "A 45909-2022")</f>
        <v/>
      </c>
      <c r="W501">
        <f>HYPERLINK("https://klasma.github.io/Logging_2181/klagomålsmail/A 45909-2022 FSC-klagomål mail.docx", "A 45909-2022")</f>
        <v/>
      </c>
      <c r="X501">
        <f>HYPERLINK("https://klasma.github.io/Logging_2181/tillsyn/A 45909-2022 tillsynsbegäran.docx", "A 45909-2022")</f>
        <v/>
      </c>
      <c r="Y501">
        <f>HYPERLINK("https://klasma.github.io/Logging_2181/tillsynsmail/A 45909-2022 tillsynsbegäran mail.docx", "A 45909-2022")</f>
        <v/>
      </c>
    </row>
    <row r="502" ht="15" customHeight="1">
      <c r="A502" t="inlineStr">
        <is>
          <t>A 53259-2022</t>
        </is>
      </c>
      <c r="B502" s="1" t="n">
        <v>44876</v>
      </c>
      <c r="C502" s="1" t="n">
        <v>45668</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45668</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45668</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45668</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45668</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45668</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45668</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45668</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45668</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45668</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45668</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45668</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45668</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45668</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45668</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45668</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45668</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45668</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45668</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45668</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45668</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45668</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45668</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45668</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45668</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45668</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45668</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45668</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45668</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45668</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45668</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45668</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45668</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45668</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45668</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45668</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45668</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45668</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45668</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45668</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45668</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45668</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45668</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45668</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45668</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45668</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45668</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45668</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45668</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45668</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45668</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45668</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45668</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45668</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45668</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45668</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45668</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45668</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45668</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45668</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45668</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45668</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45668</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45668</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45668</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45668</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45668</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45668</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45668</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45668</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45668</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45668</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45668</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45668</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45668</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45668</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45668</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45668</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45668</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45668</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45668</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45668</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45668</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45668</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45668</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45668</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45668</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45668</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45668</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45668</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45668</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45668</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45668</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45668</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45668</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45668</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45668</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45668</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45668</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45668</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45668</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45668</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45668</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45668</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45668</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45668</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45668</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45668</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45668</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45668</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45668</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45668</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45668</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45668</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45668</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45668</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45668</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45668</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45668</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45668</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45668</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45668</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45668</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45668</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45668</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45668</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45668</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45668</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45668</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45668</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45668</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45668</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45668</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45668</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45668</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45668</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45668</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45668</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23354-2024</t>
        </is>
      </c>
      <c r="B640" s="1" t="n">
        <v>45453</v>
      </c>
      <c r="C640" s="1" t="n">
        <v>45668</v>
      </c>
      <c r="D640" t="inlineStr">
        <is>
          <t>GÄVLEBORGS LÄN</t>
        </is>
      </c>
      <c r="E640" t="inlineStr">
        <is>
          <t>HOFORS</t>
        </is>
      </c>
      <c r="F640" t="inlineStr">
        <is>
          <t>Sveaskog</t>
        </is>
      </c>
      <c r="G640" t="n">
        <v>2</v>
      </c>
      <c r="H640" t="n">
        <v>1</v>
      </c>
      <c r="I640" t="n">
        <v>0</v>
      </c>
      <c r="J640" t="n">
        <v>0</v>
      </c>
      <c r="K640" t="n">
        <v>0</v>
      </c>
      <c r="L640" t="n">
        <v>0</v>
      </c>
      <c r="M640" t="n">
        <v>0</v>
      </c>
      <c r="N640" t="n">
        <v>0</v>
      </c>
      <c r="O640" t="n">
        <v>0</v>
      </c>
      <c r="P640" t="n">
        <v>0</v>
      </c>
      <c r="Q640" t="n">
        <v>1</v>
      </c>
      <c r="R640" s="2" t="inlineStr">
        <is>
          <t>Fläcknycklar</t>
        </is>
      </c>
      <c r="S640">
        <f>HYPERLINK("https://klasma.github.io/Logging_2104/artfynd/A 23354-2024 artfynd.xlsx", "A 23354-2024")</f>
        <v/>
      </c>
      <c r="T640">
        <f>HYPERLINK("https://klasma.github.io/Logging_2104/kartor/A 23354-2024 karta.png", "A 23354-2024")</f>
        <v/>
      </c>
      <c r="V640">
        <f>HYPERLINK("https://klasma.github.io/Logging_2104/klagomål/A 23354-2024 FSC-klagomål.docx", "A 23354-2024")</f>
        <v/>
      </c>
      <c r="W640">
        <f>HYPERLINK("https://klasma.github.io/Logging_2104/klagomålsmail/A 23354-2024 FSC-klagomål mail.docx", "A 23354-2024")</f>
        <v/>
      </c>
      <c r="X640">
        <f>HYPERLINK("https://klasma.github.io/Logging_2104/tillsyn/A 23354-2024 tillsynsbegäran.docx", "A 23354-2024")</f>
        <v/>
      </c>
      <c r="Y640">
        <f>HYPERLINK("https://klasma.github.io/Logging_2104/tillsynsmail/A 23354-2024 tillsynsbegäran mail.docx", "A 23354-2024")</f>
        <v/>
      </c>
    </row>
    <row r="641" ht="15" customHeight="1">
      <c r="A641" t="inlineStr">
        <is>
          <t>A 23651-2024</t>
        </is>
      </c>
      <c r="B641" s="1" t="n">
        <v>45454</v>
      </c>
      <c r="C641" s="1" t="n">
        <v>45668</v>
      </c>
      <c r="D641" t="inlineStr">
        <is>
          <t>GÄVLEBORGS LÄN</t>
        </is>
      </c>
      <c r="E641" t="inlineStr">
        <is>
          <t>LJUSDAL</t>
        </is>
      </c>
      <c r="F641" t="inlineStr">
        <is>
          <t>Bergvik skog väst AB</t>
        </is>
      </c>
      <c r="G641" t="n">
        <v>1.7</v>
      </c>
      <c r="H641" t="n">
        <v>0</v>
      </c>
      <c r="I641" t="n">
        <v>0</v>
      </c>
      <c r="J641" t="n">
        <v>1</v>
      </c>
      <c r="K641" t="n">
        <v>0</v>
      </c>
      <c r="L641" t="n">
        <v>0</v>
      </c>
      <c r="M641" t="n">
        <v>0</v>
      </c>
      <c r="N641" t="n">
        <v>0</v>
      </c>
      <c r="O641" t="n">
        <v>1</v>
      </c>
      <c r="P641" t="n">
        <v>0</v>
      </c>
      <c r="Q641" t="n">
        <v>1</v>
      </c>
      <c r="R641" s="2" t="inlineStr">
        <is>
          <t>Tallticka</t>
        </is>
      </c>
      <c r="S641">
        <f>HYPERLINK("https://klasma.github.io/Logging_2161/artfynd/A 23651-2024 artfynd.xlsx", "A 23651-2024")</f>
        <v/>
      </c>
      <c r="T641">
        <f>HYPERLINK("https://klasma.github.io/Logging_2161/kartor/A 23651-2024 karta.png", "A 23651-2024")</f>
        <v/>
      </c>
      <c r="V641">
        <f>HYPERLINK("https://klasma.github.io/Logging_2161/klagomål/A 23651-2024 FSC-klagomål.docx", "A 23651-2024")</f>
        <v/>
      </c>
      <c r="W641">
        <f>HYPERLINK("https://klasma.github.io/Logging_2161/klagomålsmail/A 23651-2024 FSC-klagomål mail.docx", "A 23651-2024")</f>
        <v/>
      </c>
      <c r="X641">
        <f>HYPERLINK("https://klasma.github.io/Logging_2161/tillsyn/A 23651-2024 tillsynsbegäran.docx", "A 23651-2024")</f>
        <v/>
      </c>
      <c r="Y641">
        <f>HYPERLINK("https://klasma.github.io/Logging_2161/tillsynsmail/A 23651-2024 tillsynsbegäran mail.docx", "A 23651-2024")</f>
        <v/>
      </c>
    </row>
    <row r="642" ht="15" customHeight="1">
      <c r="A642" t="inlineStr">
        <is>
          <t>A 23700-2024</t>
        </is>
      </c>
      <c r="B642" s="1" t="n">
        <v>45454</v>
      </c>
      <c r="C642" s="1" t="n">
        <v>45668</v>
      </c>
      <c r="D642" t="inlineStr">
        <is>
          <t>GÄVLEBORGS LÄN</t>
        </is>
      </c>
      <c r="E642" t="inlineStr">
        <is>
          <t>GÄVLE</t>
        </is>
      </c>
      <c r="G642" t="n">
        <v>1.7</v>
      </c>
      <c r="H642" t="n">
        <v>0</v>
      </c>
      <c r="I642" t="n">
        <v>1</v>
      </c>
      <c r="J642" t="n">
        <v>0</v>
      </c>
      <c r="K642" t="n">
        <v>0</v>
      </c>
      <c r="L642" t="n">
        <v>0</v>
      </c>
      <c r="M642" t="n">
        <v>0</v>
      </c>
      <c r="N642" t="n">
        <v>0</v>
      </c>
      <c r="O642" t="n">
        <v>0</v>
      </c>
      <c r="P642" t="n">
        <v>0</v>
      </c>
      <c r="Q642" t="n">
        <v>1</v>
      </c>
      <c r="R642" s="2" t="inlineStr">
        <is>
          <t>Bronshjon</t>
        </is>
      </c>
      <c r="S642">
        <f>HYPERLINK("https://klasma.github.io/Logging_2180/artfynd/A 23700-2024 artfynd.xlsx", "A 23700-2024")</f>
        <v/>
      </c>
      <c r="T642">
        <f>HYPERLINK("https://klasma.github.io/Logging_2180/kartor/A 23700-2024 karta.png", "A 23700-2024")</f>
        <v/>
      </c>
      <c r="V642">
        <f>HYPERLINK("https://klasma.github.io/Logging_2180/klagomål/A 23700-2024 FSC-klagomål.docx", "A 23700-2024")</f>
        <v/>
      </c>
      <c r="W642">
        <f>HYPERLINK("https://klasma.github.io/Logging_2180/klagomålsmail/A 23700-2024 FSC-klagomål mail.docx", "A 23700-2024")</f>
        <v/>
      </c>
      <c r="X642">
        <f>HYPERLINK("https://klasma.github.io/Logging_2180/tillsyn/A 23700-2024 tillsynsbegäran.docx", "A 23700-2024")</f>
        <v/>
      </c>
      <c r="Y642">
        <f>HYPERLINK("https://klasma.github.io/Logging_2180/tillsynsmail/A 23700-2024 tillsynsbegäran mail.docx", "A 23700-2024")</f>
        <v/>
      </c>
    </row>
    <row r="643" ht="15" customHeight="1">
      <c r="A643" t="inlineStr">
        <is>
          <t>A 23644-2024</t>
        </is>
      </c>
      <c r="B643" s="1" t="n">
        <v>45454</v>
      </c>
      <c r="C643" s="1" t="n">
        <v>45668</v>
      </c>
      <c r="D643" t="inlineStr">
        <is>
          <t>GÄVLEBORGS LÄN</t>
        </is>
      </c>
      <c r="E643" t="inlineStr">
        <is>
          <t>LJUSDAL</t>
        </is>
      </c>
      <c r="F643" t="inlineStr">
        <is>
          <t>Sveaskog</t>
        </is>
      </c>
      <c r="G643" t="n">
        <v>26.6</v>
      </c>
      <c r="H643" t="n">
        <v>0</v>
      </c>
      <c r="I643" t="n">
        <v>0</v>
      </c>
      <c r="J643" t="n">
        <v>1</v>
      </c>
      <c r="K643" t="n">
        <v>0</v>
      </c>
      <c r="L643" t="n">
        <v>0</v>
      </c>
      <c r="M643" t="n">
        <v>0</v>
      </c>
      <c r="N643" t="n">
        <v>0</v>
      </c>
      <c r="O643" t="n">
        <v>1</v>
      </c>
      <c r="P643" t="n">
        <v>0</v>
      </c>
      <c r="Q643" t="n">
        <v>1</v>
      </c>
      <c r="R643" s="2" t="inlineStr">
        <is>
          <t>Kolflarnlav</t>
        </is>
      </c>
      <c r="S643">
        <f>HYPERLINK("https://klasma.github.io/Logging_2161/artfynd/A 23644-2024 artfynd.xlsx", "A 23644-2024")</f>
        <v/>
      </c>
      <c r="T643">
        <f>HYPERLINK("https://klasma.github.io/Logging_2161/kartor/A 23644-2024 karta.png", "A 23644-2024")</f>
        <v/>
      </c>
      <c r="V643">
        <f>HYPERLINK("https://klasma.github.io/Logging_2161/klagomål/A 23644-2024 FSC-klagomål.docx", "A 23644-2024")</f>
        <v/>
      </c>
      <c r="W643">
        <f>HYPERLINK("https://klasma.github.io/Logging_2161/klagomålsmail/A 23644-2024 FSC-klagomål mail.docx", "A 23644-2024")</f>
        <v/>
      </c>
      <c r="X643">
        <f>HYPERLINK("https://klasma.github.io/Logging_2161/tillsyn/A 23644-2024 tillsynsbegäran.docx", "A 23644-2024")</f>
        <v/>
      </c>
      <c r="Y643">
        <f>HYPERLINK("https://klasma.github.io/Logging_2161/tillsynsmail/A 23644-2024 tillsynsbegäran mail.docx", "A 23644-2024")</f>
        <v/>
      </c>
    </row>
    <row r="644" ht="15" customHeight="1">
      <c r="A644" t="inlineStr">
        <is>
          <t>A 24651-2024</t>
        </is>
      </c>
      <c r="B644" s="1" t="n">
        <v>45460</v>
      </c>
      <c r="C644" s="1" t="n">
        <v>45668</v>
      </c>
      <c r="D644" t="inlineStr">
        <is>
          <t>GÄVLEBORGS LÄN</t>
        </is>
      </c>
      <c r="E644" t="inlineStr">
        <is>
          <t>OVANÅKER</t>
        </is>
      </c>
      <c r="F644" t="inlineStr">
        <is>
          <t>Bergvik skog väst AB</t>
        </is>
      </c>
      <c r="G644" t="n">
        <v>47.7</v>
      </c>
      <c r="H644" t="n">
        <v>0</v>
      </c>
      <c r="I644" t="n">
        <v>0</v>
      </c>
      <c r="J644" t="n">
        <v>1</v>
      </c>
      <c r="K644" t="n">
        <v>0</v>
      </c>
      <c r="L644" t="n">
        <v>0</v>
      </c>
      <c r="M644" t="n">
        <v>0</v>
      </c>
      <c r="N644" t="n">
        <v>0</v>
      </c>
      <c r="O644" t="n">
        <v>1</v>
      </c>
      <c r="P644" t="n">
        <v>0</v>
      </c>
      <c r="Q644" t="n">
        <v>1</v>
      </c>
      <c r="R644" s="2" t="inlineStr">
        <is>
          <t>Dvärgbägarlav</t>
        </is>
      </c>
      <c r="S644">
        <f>HYPERLINK("https://klasma.github.io/Logging_2121/artfynd/A 24651-2024 artfynd.xlsx", "A 24651-2024")</f>
        <v/>
      </c>
      <c r="T644">
        <f>HYPERLINK("https://klasma.github.io/Logging_2121/kartor/A 24651-2024 karta.png", "A 24651-2024")</f>
        <v/>
      </c>
      <c r="V644">
        <f>HYPERLINK("https://klasma.github.io/Logging_2121/klagomål/A 24651-2024 FSC-klagomål.docx", "A 24651-2024")</f>
        <v/>
      </c>
      <c r="W644">
        <f>HYPERLINK("https://klasma.github.io/Logging_2121/klagomålsmail/A 24651-2024 FSC-klagomål mail.docx", "A 24651-2024")</f>
        <v/>
      </c>
      <c r="X644">
        <f>HYPERLINK("https://klasma.github.io/Logging_2121/tillsyn/A 24651-2024 tillsynsbegäran.docx", "A 24651-2024")</f>
        <v/>
      </c>
      <c r="Y644">
        <f>HYPERLINK("https://klasma.github.io/Logging_2121/tillsynsmail/A 24651-2024 tillsynsbegäran mail.docx", "A 24651-2024")</f>
        <v/>
      </c>
    </row>
    <row r="645" ht="15" customHeight="1">
      <c r="A645" t="inlineStr">
        <is>
          <t>A 24831-2024</t>
        </is>
      </c>
      <c r="B645" s="1" t="n">
        <v>45461</v>
      </c>
      <c r="C645" s="1" t="n">
        <v>45668</v>
      </c>
      <c r="D645" t="inlineStr">
        <is>
          <t>GÄVLEBORGS LÄN</t>
        </is>
      </c>
      <c r="E645" t="inlineStr">
        <is>
          <t>LJUSDAL</t>
        </is>
      </c>
      <c r="G645" t="n">
        <v>4.9</v>
      </c>
      <c r="H645" t="n">
        <v>0</v>
      </c>
      <c r="I645" t="n">
        <v>0</v>
      </c>
      <c r="J645" t="n">
        <v>1</v>
      </c>
      <c r="K645" t="n">
        <v>0</v>
      </c>
      <c r="L645" t="n">
        <v>0</v>
      </c>
      <c r="M645" t="n">
        <v>0</v>
      </c>
      <c r="N645" t="n">
        <v>0</v>
      </c>
      <c r="O645" t="n">
        <v>1</v>
      </c>
      <c r="P645" t="n">
        <v>0</v>
      </c>
      <c r="Q645" t="n">
        <v>1</v>
      </c>
      <c r="R645" s="2" t="inlineStr">
        <is>
          <t>Lunglav</t>
        </is>
      </c>
      <c r="S645">
        <f>HYPERLINK("https://klasma.github.io/Logging_2161/artfynd/A 24831-2024 artfynd.xlsx", "A 24831-2024")</f>
        <v/>
      </c>
      <c r="T645">
        <f>HYPERLINK("https://klasma.github.io/Logging_2161/kartor/A 24831-2024 karta.png", "A 24831-2024")</f>
        <v/>
      </c>
      <c r="V645">
        <f>HYPERLINK("https://klasma.github.io/Logging_2161/klagomål/A 24831-2024 FSC-klagomål.docx", "A 24831-2024")</f>
        <v/>
      </c>
      <c r="W645">
        <f>HYPERLINK("https://klasma.github.io/Logging_2161/klagomålsmail/A 24831-2024 FSC-klagomål mail.docx", "A 24831-2024")</f>
        <v/>
      </c>
      <c r="X645">
        <f>HYPERLINK("https://klasma.github.io/Logging_2161/tillsyn/A 24831-2024 tillsynsbegäran.docx", "A 24831-2024")</f>
        <v/>
      </c>
      <c r="Y645">
        <f>HYPERLINK("https://klasma.github.io/Logging_2161/tillsynsmail/A 24831-2024 tillsynsbegäran mail.docx", "A 24831-2024")</f>
        <v/>
      </c>
    </row>
    <row r="646" ht="15" customHeight="1">
      <c r="A646" t="inlineStr">
        <is>
          <t>A 24903-2024</t>
        </is>
      </c>
      <c r="B646" s="1" t="n">
        <v>45461</v>
      </c>
      <c r="C646" s="1" t="n">
        <v>45668</v>
      </c>
      <c r="D646" t="inlineStr">
        <is>
          <t>GÄVLEBORGS LÄN</t>
        </is>
      </c>
      <c r="E646" t="inlineStr">
        <is>
          <t>LJUSDAL</t>
        </is>
      </c>
      <c r="F646" t="inlineStr">
        <is>
          <t>Bergvik skog väst AB</t>
        </is>
      </c>
      <c r="G646" t="n">
        <v>5</v>
      </c>
      <c r="H646" t="n">
        <v>0</v>
      </c>
      <c r="I646" t="n">
        <v>0</v>
      </c>
      <c r="J646" t="n">
        <v>1</v>
      </c>
      <c r="K646" t="n">
        <v>0</v>
      </c>
      <c r="L646" t="n">
        <v>0</v>
      </c>
      <c r="M646" t="n">
        <v>0</v>
      </c>
      <c r="N646" t="n">
        <v>0</v>
      </c>
      <c r="O646" t="n">
        <v>1</v>
      </c>
      <c r="P646" t="n">
        <v>0</v>
      </c>
      <c r="Q646" t="n">
        <v>1</v>
      </c>
      <c r="R646" s="2" t="inlineStr">
        <is>
          <t>Lunglav</t>
        </is>
      </c>
      <c r="S646">
        <f>HYPERLINK("https://klasma.github.io/Logging_2161/artfynd/A 24903-2024 artfynd.xlsx", "A 24903-2024")</f>
        <v/>
      </c>
      <c r="T646">
        <f>HYPERLINK("https://klasma.github.io/Logging_2161/kartor/A 24903-2024 karta.png", "A 24903-2024")</f>
        <v/>
      </c>
      <c r="V646">
        <f>HYPERLINK("https://klasma.github.io/Logging_2161/klagomål/A 24903-2024 FSC-klagomål.docx", "A 24903-2024")</f>
        <v/>
      </c>
      <c r="W646">
        <f>HYPERLINK("https://klasma.github.io/Logging_2161/klagomålsmail/A 24903-2024 FSC-klagomål mail.docx", "A 24903-2024")</f>
        <v/>
      </c>
      <c r="X646">
        <f>HYPERLINK("https://klasma.github.io/Logging_2161/tillsyn/A 24903-2024 tillsynsbegäran.docx", "A 24903-2024")</f>
        <v/>
      </c>
      <c r="Y646">
        <f>HYPERLINK("https://klasma.github.io/Logging_2161/tillsynsmail/A 24903-2024 tillsynsbegäran mail.docx", "A 24903-2024")</f>
        <v/>
      </c>
    </row>
    <row r="647" ht="15" customHeight="1">
      <c r="A647" t="inlineStr">
        <is>
          <t>A 25145-2024</t>
        </is>
      </c>
      <c r="B647" s="1" t="n">
        <v>45462</v>
      </c>
      <c r="C647" s="1" t="n">
        <v>45668</v>
      </c>
      <c r="D647" t="inlineStr">
        <is>
          <t>GÄVLEBORGS LÄN</t>
        </is>
      </c>
      <c r="E647" t="inlineStr">
        <is>
          <t>HUDIKSVALL</t>
        </is>
      </c>
      <c r="F647" t="inlineStr">
        <is>
          <t>Sveaskog</t>
        </is>
      </c>
      <c r="G647" t="n">
        <v>2.3</v>
      </c>
      <c r="H647" t="n">
        <v>1</v>
      </c>
      <c r="I647" t="n">
        <v>0</v>
      </c>
      <c r="J647" t="n">
        <v>0</v>
      </c>
      <c r="K647" t="n">
        <v>0</v>
      </c>
      <c r="L647" t="n">
        <v>0</v>
      </c>
      <c r="M647" t="n">
        <v>0</v>
      </c>
      <c r="N647" t="n">
        <v>0</v>
      </c>
      <c r="O647" t="n">
        <v>0</v>
      </c>
      <c r="P647" t="n">
        <v>0</v>
      </c>
      <c r="Q647" t="n">
        <v>1</v>
      </c>
      <c r="R647" s="2" t="inlineStr">
        <is>
          <t>Skogsödla</t>
        </is>
      </c>
      <c r="S647">
        <f>HYPERLINK("https://klasma.github.io/Logging_2184/artfynd/A 25145-2024 artfynd.xlsx", "A 25145-2024")</f>
        <v/>
      </c>
      <c r="T647">
        <f>HYPERLINK("https://klasma.github.io/Logging_2184/kartor/A 25145-2024 karta.png", "A 25145-2024")</f>
        <v/>
      </c>
      <c r="V647">
        <f>HYPERLINK("https://klasma.github.io/Logging_2184/klagomål/A 25145-2024 FSC-klagomål.docx", "A 25145-2024")</f>
        <v/>
      </c>
      <c r="W647">
        <f>HYPERLINK("https://klasma.github.io/Logging_2184/klagomålsmail/A 25145-2024 FSC-klagomål mail.docx", "A 25145-2024")</f>
        <v/>
      </c>
      <c r="X647">
        <f>HYPERLINK("https://klasma.github.io/Logging_2184/tillsyn/A 25145-2024 tillsynsbegäran.docx", "A 25145-2024")</f>
        <v/>
      </c>
      <c r="Y647">
        <f>HYPERLINK("https://klasma.github.io/Logging_2184/tillsynsmail/A 25145-2024 tillsynsbegäran mail.docx", "A 25145-2024")</f>
        <v/>
      </c>
    </row>
    <row r="648" ht="15" customHeight="1">
      <c r="A648" t="inlineStr">
        <is>
          <t>A 25657-2024</t>
        </is>
      </c>
      <c r="B648" s="1" t="n">
        <v>45463</v>
      </c>
      <c r="C648" s="1" t="n">
        <v>45668</v>
      </c>
      <c r="D648" t="inlineStr">
        <is>
          <t>GÄVLEBORGS LÄN</t>
        </is>
      </c>
      <c r="E648" t="inlineStr">
        <is>
          <t>GÄVLE</t>
        </is>
      </c>
      <c r="G648" t="n">
        <v>4</v>
      </c>
      <c r="H648" t="n">
        <v>0</v>
      </c>
      <c r="I648" t="n">
        <v>0</v>
      </c>
      <c r="J648" t="n">
        <v>1</v>
      </c>
      <c r="K648" t="n">
        <v>0</v>
      </c>
      <c r="L648" t="n">
        <v>0</v>
      </c>
      <c r="M648" t="n">
        <v>0</v>
      </c>
      <c r="N648" t="n">
        <v>0</v>
      </c>
      <c r="O648" t="n">
        <v>1</v>
      </c>
      <c r="P648" t="n">
        <v>0</v>
      </c>
      <c r="Q648" t="n">
        <v>1</v>
      </c>
      <c r="R648" s="2" t="inlineStr">
        <is>
          <t>Garnlav</t>
        </is>
      </c>
      <c r="S648">
        <f>HYPERLINK("https://klasma.github.io/Logging_2180/artfynd/A 25657-2024 artfynd.xlsx", "A 25657-2024")</f>
        <v/>
      </c>
      <c r="T648">
        <f>HYPERLINK("https://klasma.github.io/Logging_2180/kartor/A 25657-2024 karta.png", "A 25657-2024")</f>
        <v/>
      </c>
      <c r="V648">
        <f>HYPERLINK("https://klasma.github.io/Logging_2180/klagomål/A 25657-2024 FSC-klagomål.docx", "A 25657-2024")</f>
        <v/>
      </c>
      <c r="W648">
        <f>HYPERLINK("https://klasma.github.io/Logging_2180/klagomålsmail/A 25657-2024 FSC-klagomål mail.docx", "A 25657-2024")</f>
        <v/>
      </c>
      <c r="X648">
        <f>HYPERLINK("https://klasma.github.io/Logging_2180/tillsyn/A 25657-2024 tillsynsbegäran.docx", "A 25657-2024")</f>
        <v/>
      </c>
      <c r="Y648">
        <f>HYPERLINK("https://klasma.github.io/Logging_2180/tillsynsmail/A 25657-2024 tillsynsbegäran mail.docx", "A 25657-2024")</f>
        <v/>
      </c>
    </row>
    <row r="649" ht="15" customHeight="1">
      <c r="A649" t="inlineStr">
        <is>
          <t>A 26386-2024</t>
        </is>
      </c>
      <c r="B649" s="1" t="n">
        <v>45469</v>
      </c>
      <c r="C649" s="1" t="n">
        <v>45668</v>
      </c>
      <c r="D649" t="inlineStr">
        <is>
          <t>GÄVLEBORGS LÄN</t>
        </is>
      </c>
      <c r="E649" t="inlineStr">
        <is>
          <t>LJUSDAL</t>
        </is>
      </c>
      <c r="F649" t="inlineStr">
        <is>
          <t>Sveaskog</t>
        </is>
      </c>
      <c r="G649" t="n">
        <v>11</v>
      </c>
      <c r="H649" t="n">
        <v>0</v>
      </c>
      <c r="I649" t="n">
        <v>0</v>
      </c>
      <c r="J649" t="n">
        <v>1</v>
      </c>
      <c r="K649" t="n">
        <v>0</v>
      </c>
      <c r="L649" t="n">
        <v>0</v>
      </c>
      <c r="M649" t="n">
        <v>0</v>
      </c>
      <c r="N649" t="n">
        <v>0</v>
      </c>
      <c r="O649" t="n">
        <v>1</v>
      </c>
      <c r="P649" t="n">
        <v>0</v>
      </c>
      <c r="Q649" t="n">
        <v>1</v>
      </c>
      <c r="R649" s="2" t="inlineStr">
        <is>
          <t>Kolflarnlav</t>
        </is>
      </c>
      <c r="S649">
        <f>HYPERLINK("https://klasma.github.io/Logging_2161/artfynd/A 26386-2024 artfynd.xlsx", "A 26386-2024")</f>
        <v/>
      </c>
      <c r="T649">
        <f>HYPERLINK("https://klasma.github.io/Logging_2161/kartor/A 26386-2024 karta.png", "A 26386-2024")</f>
        <v/>
      </c>
      <c r="V649">
        <f>HYPERLINK("https://klasma.github.io/Logging_2161/klagomål/A 26386-2024 FSC-klagomål.docx", "A 26386-2024")</f>
        <v/>
      </c>
      <c r="W649">
        <f>HYPERLINK("https://klasma.github.io/Logging_2161/klagomålsmail/A 26386-2024 FSC-klagomål mail.docx", "A 26386-2024")</f>
        <v/>
      </c>
      <c r="X649">
        <f>HYPERLINK("https://klasma.github.io/Logging_2161/tillsyn/A 26386-2024 tillsynsbegäran.docx", "A 26386-2024")</f>
        <v/>
      </c>
      <c r="Y649">
        <f>HYPERLINK("https://klasma.github.io/Logging_2161/tillsynsmail/A 26386-2024 tillsynsbegäran mail.docx", "A 26386-2024")</f>
        <v/>
      </c>
    </row>
    <row r="650" ht="15" customHeight="1">
      <c r="A650" t="inlineStr">
        <is>
          <t>A 26463-2024</t>
        </is>
      </c>
      <c r="B650" s="1" t="n">
        <v>45469</v>
      </c>
      <c r="C650" s="1" t="n">
        <v>45668</v>
      </c>
      <c r="D650" t="inlineStr">
        <is>
          <t>GÄVLEBORGS LÄN</t>
        </is>
      </c>
      <c r="E650" t="inlineStr">
        <is>
          <t>OCKELBO</t>
        </is>
      </c>
      <c r="F650" t="inlineStr">
        <is>
          <t>Bergvik skog väst AB</t>
        </is>
      </c>
      <c r="G650" t="n">
        <v>3.6</v>
      </c>
      <c r="H650" t="n">
        <v>1</v>
      </c>
      <c r="I650" t="n">
        <v>0</v>
      </c>
      <c r="J650" t="n">
        <v>0</v>
      </c>
      <c r="K650" t="n">
        <v>0</v>
      </c>
      <c r="L650" t="n">
        <v>0</v>
      </c>
      <c r="M650" t="n">
        <v>0</v>
      </c>
      <c r="N650" t="n">
        <v>0</v>
      </c>
      <c r="O650" t="n">
        <v>0</v>
      </c>
      <c r="P650" t="n">
        <v>0</v>
      </c>
      <c r="Q650" t="n">
        <v>1</v>
      </c>
      <c r="R650" s="2" t="inlineStr">
        <is>
          <t>Revlummer</t>
        </is>
      </c>
      <c r="S650">
        <f>HYPERLINK("https://klasma.github.io/Logging_2101/artfynd/A 26463-2024 artfynd.xlsx", "A 26463-2024")</f>
        <v/>
      </c>
      <c r="T650">
        <f>HYPERLINK("https://klasma.github.io/Logging_2101/kartor/A 26463-2024 karta.png", "A 26463-2024")</f>
        <v/>
      </c>
      <c r="V650">
        <f>HYPERLINK("https://klasma.github.io/Logging_2101/klagomål/A 26463-2024 FSC-klagomål.docx", "A 26463-2024")</f>
        <v/>
      </c>
      <c r="W650">
        <f>HYPERLINK("https://klasma.github.io/Logging_2101/klagomålsmail/A 26463-2024 FSC-klagomål mail.docx", "A 26463-2024")</f>
        <v/>
      </c>
      <c r="X650">
        <f>HYPERLINK("https://klasma.github.io/Logging_2101/tillsyn/A 26463-2024 tillsynsbegäran.docx", "A 26463-2024")</f>
        <v/>
      </c>
      <c r="Y650">
        <f>HYPERLINK("https://klasma.github.io/Logging_2101/tillsynsmail/A 26463-2024 tillsynsbegäran mail.docx", "A 26463-2024")</f>
        <v/>
      </c>
    </row>
    <row r="651" ht="15" customHeight="1">
      <c r="A651" t="inlineStr">
        <is>
          <t>A 26719-2024</t>
        </is>
      </c>
      <c r="B651" s="1" t="n">
        <v>45470</v>
      </c>
      <c r="C651" s="1" t="n">
        <v>45668</v>
      </c>
      <c r="D651" t="inlineStr">
        <is>
          <t>GÄVLEBORGS LÄN</t>
        </is>
      </c>
      <c r="E651" t="inlineStr">
        <is>
          <t>OVANÅKER</t>
        </is>
      </c>
      <c r="F651" t="inlineStr">
        <is>
          <t>Bergvik skog väst AB</t>
        </is>
      </c>
      <c r="G651" t="n">
        <v>30.2</v>
      </c>
      <c r="H651" t="n">
        <v>0</v>
      </c>
      <c r="I651" t="n">
        <v>1</v>
      </c>
      <c r="J651" t="n">
        <v>0</v>
      </c>
      <c r="K651" t="n">
        <v>0</v>
      </c>
      <c r="L651" t="n">
        <v>0</v>
      </c>
      <c r="M651" t="n">
        <v>0</v>
      </c>
      <c r="N651" t="n">
        <v>0</v>
      </c>
      <c r="O651" t="n">
        <v>0</v>
      </c>
      <c r="P651" t="n">
        <v>0</v>
      </c>
      <c r="Q651" t="n">
        <v>1</v>
      </c>
      <c r="R651" s="2" t="inlineStr">
        <is>
          <t>Nästlav</t>
        </is>
      </c>
      <c r="S651">
        <f>HYPERLINK("https://klasma.github.io/Logging_2121/artfynd/A 26719-2024 artfynd.xlsx", "A 26719-2024")</f>
        <v/>
      </c>
      <c r="T651">
        <f>HYPERLINK("https://klasma.github.io/Logging_2121/kartor/A 26719-2024 karta.png", "A 26719-2024")</f>
        <v/>
      </c>
      <c r="V651">
        <f>HYPERLINK("https://klasma.github.io/Logging_2121/klagomål/A 26719-2024 FSC-klagomål.docx", "A 26719-2024")</f>
        <v/>
      </c>
      <c r="W651">
        <f>HYPERLINK("https://klasma.github.io/Logging_2121/klagomålsmail/A 26719-2024 FSC-klagomål mail.docx", "A 26719-2024")</f>
        <v/>
      </c>
      <c r="X651">
        <f>HYPERLINK("https://klasma.github.io/Logging_2121/tillsyn/A 26719-2024 tillsynsbegäran.docx", "A 26719-2024")</f>
        <v/>
      </c>
      <c r="Y651">
        <f>HYPERLINK("https://klasma.github.io/Logging_2121/tillsynsmail/A 26719-2024 tillsynsbegäran mail.docx", "A 26719-2024")</f>
        <v/>
      </c>
    </row>
    <row r="652" ht="15" customHeight="1">
      <c r="A652" t="inlineStr">
        <is>
          <t>A 26982-2024</t>
        </is>
      </c>
      <c r="B652" s="1" t="n">
        <v>45471</v>
      </c>
      <c r="C652" s="1" t="n">
        <v>45668</v>
      </c>
      <c r="D652" t="inlineStr">
        <is>
          <t>GÄVLEBORGS LÄN</t>
        </is>
      </c>
      <c r="E652" t="inlineStr">
        <is>
          <t>OCKELBO</t>
        </is>
      </c>
      <c r="F652" t="inlineStr">
        <is>
          <t>Bergvik skog väst AB</t>
        </is>
      </c>
      <c r="G652" t="n">
        <v>5.4</v>
      </c>
      <c r="H652" t="n">
        <v>0</v>
      </c>
      <c r="I652" t="n">
        <v>1</v>
      </c>
      <c r="J652" t="n">
        <v>0</v>
      </c>
      <c r="K652" t="n">
        <v>0</v>
      </c>
      <c r="L652" t="n">
        <v>0</v>
      </c>
      <c r="M652" t="n">
        <v>0</v>
      </c>
      <c r="N652" t="n">
        <v>0</v>
      </c>
      <c r="O652" t="n">
        <v>0</v>
      </c>
      <c r="P652" t="n">
        <v>0</v>
      </c>
      <c r="Q652" t="n">
        <v>1</v>
      </c>
      <c r="R652" s="2" t="inlineStr">
        <is>
          <t>Grönpyrola</t>
        </is>
      </c>
      <c r="S652">
        <f>HYPERLINK("https://klasma.github.io/Logging_2101/artfynd/A 26982-2024 artfynd.xlsx", "A 26982-2024")</f>
        <v/>
      </c>
      <c r="T652">
        <f>HYPERLINK("https://klasma.github.io/Logging_2101/kartor/A 26982-2024 karta.png", "A 26982-2024")</f>
        <v/>
      </c>
      <c r="V652">
        <f>HYPERLINK("https://klasma.github.io/Logging_2101/klagomål/A 26982-2024 FSC-klagomål.docx", "A 26982-2024")</f>
        <v/>
      </c>
      <c r="W652">
        <f>HYPERLINK("https://klasma.github.io/Logging_2101/klagomålsmail/A 26982-2024 FSC-klagomål mail.docx", "A 26982-2024")</f>
        <v/>
      </c>
      <c r="X652">
        <f>HYPERLINK("https://klasma.github.io/Logging_2101/tillsyn/A 26982-2024 tillsynsbegäran.docx", "A 26982-2024")</f>
        <v/>
      </c>
      <c r="Y652">
        <f>HYPERLINK("https://klasma.github.io/Logging_2101/tillsynsmail/A 26982-2024 tillsynsbegäran mail.docx", "A 26982-2024")</f>
        <v/>
      </c>
    </row>
    <row r="653" ht="15" customHeight="1">
      <c r="A653" t="inlineStr">
        <is>
          <t>A 26976-2024</t>
        </is>
      </c>
      <c r="B653" s="1" t="n">
        <v>45471</v>
      </c>
      <c r="C653" s="1" t="n">
        <v>45668</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Kolflarnlav</t>
        </is>
      </c>
      <c r="S653">
        <f>HYPERLINK("https://klasma.github.io/Logging_2161/artfynd/A 26976-2024 artfynd.xlsx", "A 26976-2024")</f>
        <v/>
      </c>
      <c r="T653">
        <f>HYPERLINK("https://klasma.github.io/Logging_2161/kartor/A 26976-2024 karta.png", "A 26976-2024")</f>
        <v/>
      </c>
      <c r="V653">
        <f>HYPERLINK("https://klasma.github.io/Logging_2161/klagomål/A 26976-2024 FSC-klagomål.docx", "A 26976-2024")</f>
        <v/>
      </c>
      <c r="W653">
        <f>HYPERLINK("https://klasma.github.io/Logging_2161/klagomålsmail/A 26976-2024 FSC-klagomål mail.docx", "A 26976-2024")</f>
        <v/>
      </c>
      <c r="X653">
        <f>HYPERLINK("https://klasma.github.io/Logging_2161/tillsyn/A 26976-2024 tillsynsbegäran.docx", "A 26976-2024")</f>
        <v/>
      </c>
      <c r="Y653">
        <f>HYPERLINK("https://klasma.github.io/Logging_2161/tillsynsmail/A 26976-2024 tillsynsbegäran mail.docx", "A 26976-2024")</f>
        <v/>
      </c>
    </row>
    <row r="654" ht="15" customHeight="1">
      <c r="A654" t="inlineStr">
        <is>
          <t>A 28397-2024</t>
        </is>
      </c>
      <c r="B654" s="1" t="n">
        <v>45477</v>
      </c>
      <c r="C654" s="1" t="n">
        <v>45668</v>
      </c>
      <c r="D654" t="inlineStr">
        <is>
          <t>GÄVLEBORGS LÄN</t>
        </is>
      </c>
      <c r="E654" t="inlineStr">
        <is>
          <t>HOFORS</t>
        </is>
      </c>
      <c r="F654" t="inlineStr">
        <is>
          <t>Sveaskog</t>
        </is>
      </c>
      <c r="G654" t="n">
        <v>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28397-2024 artfynd.xlsx", "A 28397-2024")</f>
        <v/>
      </c>
      <c r="T654">
        <f>HYPERLINK("https://klasma.github.io/Logging_2104/kartor/A 28397-2024 karta.png", "A 28397-2024")</f>
        <v/>
      </c>
      <c r="V654">
        <f>HYPERLINK("https://klasma.github.io/Logging_2104/klagomål/A 28397-2024 FSC-klagomål.docx", "A 28397-2024")</f>
        <v/>
      </c>
      <c r="W654">
        <f>HYPERLINK("https://klasma.github.io/Logging_2104/klagomålsmail/A 28397-2024 FSC-klagomål mail.docx", "A 28397-2024")</f>
        <v/>
      </c>
      <c r="X654">
        <f>HYPERLINK("https://klasma.github.io/Logging_2104/tillsyn/A 28397-2024 tillsynsbegäran.docx", "A 28397-2024")</f>
        <v/>
      </c>
      <c r="Y654">
        <f>HYPERLINK("https://klasma.github.io/Logging_2104/tillsynsmail/A 28397-2024 tillsynsbegäran mail.docx", "A 28397-2024")</f>
        <v/>
      </c>
    </row>
    <row r="655" ht="15" customHeight="1">
      <c r="A655" t="inlineStr">
        <is>
          <t>A 28392-2024</t>
        </is>
      </c>
      <c r="B655" s="1" t="n">
        <v>45477</v>
      </c>
      <c r="C655" s="1" t="n">
        <v>45668</v>
      </c>
      <c r="D655" t="inlineStr">
        <is>
          <t>GÄVLEBORGS LÄN</t>
        </is>
      </c>
      <c r="E655" t="inlineStr">
        <is>
          <t>HOFORS</t>
        </is>
      </c>
      <c r="F655" t="inlineStr">
        <is>
          <t>Sveaskog</t>
        </is>
      </c>
      <c r="G655" t="n">
        <v>0.5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28392-2024 artfynd.xlsx", "A 28392-2024")</f>
        <v/>
      </c>
      <c r="T655">
        <f>HYPERLINK("https://klasma.github.io/Logging_2104/kartor/A 28392-2024 karta.png", "A 28392-2024")</f>
        <v/>
      </c>
      <c r="V655">
        <f>HYPERLINK("https://klasma.github.io/Logging_2104/klagomål/A 28392-2024 FSC-klagomål.docx", "A 28392-2024")</f>
        <v/>
      </c>
      <c r="W655">
        <f>HYPERLINK("https://klasma.github.io/Logging_2104/klagomålsmail/A 28392-2024 FSC-klagomål mail.docx", "A 28392-2024")</f>
        <v/>
      </c>
      <c r="X655">
        <f>HYPERLINK("https://klasma.github.io/Logging_2104/tillsyn/A 28392-2024 tillsynsbegäran.docx", "A 28392-2024")</f>
        <v/>
      </c>
      <c r="Y655">
        <f>HYPERLINK("https://klasma.github.io/Logging_2104/tillsynsmail/A 28392-2024 tillsynsbegäran mail.docx", "A 28392-2024")</f>
        <v/>
      </c>
    </row>
    <row r="656" ht="15" customHeight="1">
      <c r="A656" t="inlineStr">
        <is>
          <t>A 30008-2024</t>
        </is>
      </c>
      <c r="B656" s="1" t="n">
        <v>45488</v>
      </c>
      <c r="C656" s="1" t="n">
        <v>45668</v>
      </c>
      <c r="D656" t="inlineStr">
        <is>
          <t>GÄVLEBORGS LÄN</t>
        </is>
      </c>
      <c r="E656" t="inlineStr">
        <is>
          <t>HOFORS</t>
        </is>
      </c>
      <c r="F656" t="inlineStr">
        <is>
          <t>Sveaskog</t>
        </is>
      </c>
      <c r="G656" t="n">
        <v>0.8</v>
      </c>
      <c r="H656" t="n">
        <v>0</v>
      </c>
      <c r="I656" t="n">
        <v>1</v>
      </c>
      <c r="J656" t="n">
        <v>0</v>
      </c>
      <c r="K656" t="n">
        <v>0</v>
      </c>
      <c r="L656" t="n">
        <v>0</v>
      </c>
      <c r="M656" t="n">
        <v>0</v>
      </c>
      <c r="N656" t="n">
        <v>0</v>
      </c>
      <c r="O656" t="n">
        <v>0</v>
      </c>
      <c r="P656" t="n">
        <v>0</v>
      </c>
      <c r="Q656" t="n">
        <v>1</v>
      </c>
      <c r="R656" s="2" t="inlineStr">
        <is>
          <t>Tibast</t>
        </is>
      </c>
      <c r="S656">
        <f>HYPERLINK("https://klasma.github.io/Logging_2104/artfynd/A 30008-2024 artfynd.xlsx", "A 30008-2024")</f>
        <v/>
      </c>
      <c r="T656">
        <f>HYPERLINK("https://klasma.github.io/Logging_2104/kartor/A 30008-2024 karta.png", "A 30008-2024")</f>
        <v/>
      </c>
      <c r="V656">
        <f>HYPERLINK("https://klasma.github.io/Logging_2104/klagomål/A 30008-2024 FSC-klagomål.docx", "A 30008-2024")</f>
        <v/>
      </c>
      <c r="W656">
        <f>HYPERLINK("https://klasma.github.io/Logging_2104/klagomålsmail/A 30008-2024 FSC-klagomål mail.docx", "A 30008-2024")</f>
        <v/>
      </c>
      <c r="X656">
        <f>HYPERLINK("https://klasma.github.io/Logging_2104/tillsyn/A 30008-2024 tillsynsbegäran.docx", "A 30008-2024")</f>
        <v/>
      </c>
      <c r="Y656">
        <f>HYPERLINK("https://klasma.github.io/Logging_2104/tillsynsmail/A 30008-2024 tillsynsbegäran mail.docx", "A 30008-2024")</f>
        <v/>
      </c>
    </row>
    <row r="657" ht="15" customHeight="1">
      <c r="A657" t="inlineStr">
        <is>
          <t>A 30115-2024</t>
        </is>
      </c>
      <c r="B657" s="1" t="n">
        <v>45489</v>
      </c>
      <c r="C657" s="1" t="n">
        <v>45668</v>
      </c>
      <c r="D657" t="inlineStr">
        <is>
          <t>GÄVLEBORGS LÄN</t>
        </is>
      </c>
      <c r="E657" t="inlineStr">
        <is>
          <t>LJUSDAL</t>
        </is>
      </c>
      <c r="F657" t="inlineStr">
        <is>
          <t>Sveaskog</t>
        </is>
      </c>
      <c r="G657" t="n">
        <v>3.7</v>
      </c>
      <c r="H657" t="n">
        <v>0</v>
      </c>
      <c r="I657" t="n">
        <v>0</v>
      </c>
      <c r="J657" t="n">
        <v>1</v>
      </c>
      <c r="K657" t="n">
        <v>0</v>
      </c>
      <c r="L657" t="n">
        <v>0</v>
      </c>
      <c r="M657" t="n">
        <v>0</v>
      </c>
      <c r="N657" t="n">
        <v>0</v>
      </c>
      <c r="O657" t="n">
        <v>1</v>
      </c>
      <c r="P657" t="n">
        <v>0</v>
      </c>
      <c r="Q657" t="n">
        <v>1</v>
      </c>
      <c r="R657" s="2" t="inlineStr">
        <is>
          <t>Kolflarnlav</t>
        </is>
      </c>
      <c r="S657">
        <f>HYPERLINK("https://klasma.github.io/Logging_2161/artfynd/A 30115-2024 artfynd.xlsx", "A 30115-2024")</f>
        <v/>
      </c>
      <c r="T657">
        <f>HYPERLINK("https://klasma.github.io/Logging_2161/kartor/A 30115-2024 karta.png", "A 30115-2024")</f>
        <v/>
      </c>
      <c r="V657">
        <f>HYPERLINK("https://klasma.github.io/Logging_2161/klagomål/A 30115-2024 FSC-klagomål.docx", "A 30115-2024")</f>
        <v/>
      </c>
      <c r="W657">
        <f>HYPERLINK("https://klasma.github.io/Logging_2161/klagomålsmail/A 30115-2024 FSC-klagomål mail.docx", "A 30115-2024")</f>
        <v/>
      </c>
      <c r="X657">
        <f>HYPERLINK("https://klasma.github.io/Logging_2161/tillsyn/A 30115-2024 tillsynsbegäran.docx", "A 30115-2024")</f>
        <v/>
      </c>
      <c r="Y657">
        <f>HYPERLINK("https://klasma.github.io/Logging_2161/tillsynsmail/A 30115-2024 tillsynsbegäran mail.docx", "A 30115-2024")</f>
        <v/>
      </c>
    </row>
    <row r="658" ht="15" customHeight="1">
      <c r="A658" t="inlineStr">
        <is>
          <t>A 30541-2024</t>
        </is>
      </c>
      <c r="B658" s="1" t="n">
        <v>45492</v>
      </c>
      <c r="C658" s="1" t="n">
        <v>45668</v>
      </c>
      <c r="D658" t="inlineStr">
        <is>
          <t>GÄVLEBORGS LÄN</t>
        </is>
      </c>
      <c r="E658" t="inlineStr">
        <is>
          <t>SANDVIKEN</t>
        </is>
      </c>
      <c r="F658" t="inlineStr">
        <is>
          <t>Sveaskog</t>
        </is>
      </c>
      <c r="G658" t="n">
        <v>11.2</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30541-2024 artfynd.xlsx", "A 30541-2024")</f>
        <v/>
      </c>
      <c r="T658">
        <f>HYPERLINK("https://klasma.github.io/Logging_2181/kartor/A 30541-2024 karta.png", "A 30541-2024")</f>
        <v/>
      </c>
      <c r="V658">
        <f>HYPERLINK("https://klasma.github.io/Logging_2181/klagomål/A 30541-2024 FSC-klagomål.docx", "A 30541-2024")</f>
        <v/>
      </c>
      <c r="W658">
        <f>HYPERLINK("https://klasma.github.io/Logging_2181/klagomålsmail/A 30541-2024 FSC-klagomål mail.docx", "A 30541-2024")</f>
        <v/>
      </c>
      <c r="X658">
        <f>HYPERLINK("https://klasma.github.io/Logging_2181/tillsyn/A 30541-2024 tillsynsbegäran.docx", "A 30541-2024")</f>
        <v/>
      </c>
      <c r="Y658">
        <f>HYPERLINK("https://klasma.github.io/Logging_2181/tillsynsmail/A 30541-2024 tillsynsbegäran mail.docx", "A 30541-2024")</f>
        <v/>
      </c>
    </row>
    <row r="659" ht="15" customHeight="1">
      <c r="A659" t="inlineStr">
        <is>
          <t>A 30497-2024</t>
        </is>
      </c>
      <c r="B659" s="1" t="n">
        <v>45492</v>
      </c>
      <c r="C659" s="1" t="n">
        <v>45668</v>
      </c>
      <c r="D659" t="inlineStr">
        <is>
          <t>GÄVLEBORGS LÄN</t>
        </is>
      </c>
      <c r="E659" t="inlineStr">
        <is>
          <t>SANDVIKEN</t>
        </is>
      </c>
      <c r="F659" t="inlineStr">
        <is>
          <t>Sveaskog</t>
        </is>
      </c>
      <c r="G659" t="n">
        <v>3.9</v>
      </c>
      <c r="H659" t="n">
        <v>1</v>
      </c>
      <c r="I659" t="n">
        <v>0</v>
      </c>
      <c r="J659" t="n">
        <v>0</v>
      </c>
      <c r="K659" t="n">
        <v>0</v>
      </c>
      <c r="L659" t="n">
        <v>0</v>
      </c>
      <c r="M659" t="n">
        <v>0</v>
      </c>
      <c r="N659" t="n">
        <v>0</v>
      </c>
      <c r="O659" t="n">
        <v>0</v>
      </c>
      <c r="P659" t="n">
        <v>0</v>
      </c>
      <c r="Q659" t="n">
        <v>1</v>
      </c>
      <c r="R659" s="2" t="inlineStr">
        <is>
          <t>Fläcknycklar</t>
        </is>
      </c>
      <c r="S659">
        <f>HYPERLINK("https://klasma.github.io/Logging_2181/artfynd/A 30497-2024 artfynd.xlsx", "A 30497-2024")</f>
        <v/>
      </c>
      <c r="T659">
        <f>HYPERLINK("https://klasma.github.io/Logging_2181/kartor/A 30497-2024 karta.png", "A 30497-2024")</f>
        <v/>
      </c>
      <c r="V659">
        <f>HYPERLINK("https://klasma.github.io/Logging_2181/klagomål/A 30497-2024 FSC-klagomål.docx", "A 30497-2024")</f>
        <v/>
      </c>
      <c r="W659">
        <f>HYPERLINK("https://klasma.github.io/Logging_2181/klagomålsmail/A 30497-2024 FSC-klagomål mail.docx", "A 30497-2024")</f>
        <v/>
      </c>
      <c r="X659">
        <f>HYPERLINK("https://klasma.github.io/Logging_2181/tillsyn/A 30497-2024 tillsynsbegäran.docx", "A 30497-2024")</f>
        <v/>
      </c>
      <c r="Y659">
        <f>HYPERLINK("https://klasma.github.io/Logging_2181/tillsynsmail/A 30497-2024 tillsynsbegäran mail.docx", "A 30497-2024")</f>
        <v/>
      </c>
    </row>
    <row r="660" ht="15" customHeight="1">
      <c r="A660" t="inlineStr">
        <is>
          <t>A 31066-2024</t>
        </is>
      </c>
      <c r="B660" s="1" t="n">
        <v>45502</v>
      </c>
      <c r="C660" s="1" t="n">
        <v>45668</v>
      </c>
      <c r="D660" t="inlineStr">
        <is>
          <t>GÄVLEBORGS LÄN</t>
        </is>
      </c>
      <c r="E660" t="inlineStr">
        <is>
          <t>NORDANSTIG</t>
        </is>
      </c>
      <c r="F660" t="inlineStr">
        <is>
          <t>Holmen skog AB</t>
        </is>
      </c>
      <c r="G660" t="n">
        <v>4.7</v>
      </c>
      <c r="H660" t="n">
        <v>0</v>
      </c>
      <c r="I660" t="n">
        <v>0</v>
      </c>
      <c r="J660" t="n">
        <v>1</v>
      </c>
      <c r="K660" t="n">
        <v>0</v>
      </c>
      <c r="L660" t="n">
        <v>0</v>
      </c>
      <c r="M660" t="n">
        <v>0</v>
      </c>
      <c r="N660" t="n">
        <v>0</v>
      </c>
      <c r="O660" t="n">
        <v>1</v>
      </c>
      <c r="P660" t="n">
        <v>0</v>
      </c>
      <c r="Q660" t="n">
        <v>1</v>
      </c>
      <c r="R660" s="2" t="inlineStr">
        <is>
          <t>Lunglav</t>
        </is>
      </c>
      <c r="S660">
        <f>HYPERLINK("https://klasma.github.io/Logging_2132/artfynd/A 31066-2024 artfynd.xlsx", "A 31066-2024")</f>
        <v/>
      </c>
      <c r="T660">
        <f>HYPERLINK("https://klasma.github.io/Logging_2132/kartor/A 31066-2024 karta.png", "A 31066-2024")</f>
        <v/>
      </c>
      <c r="V660">
        <f>HYPERLINK("https://klasma.github.io/Logging_2132/klagomål/A 31066-2024 FSC-klagomål.docx", "A 31066-2024")</f>
        <v/>
      </c>
      <c r="W660">
        <f>HYPERLINK("https://klasma.github.io/Logging_2132/klagomålsmail/A 31066-2024 FSC-klagomål mail.docx", "A 31066-2024")</f>
        <v/>
      </c>
      <c r="X660">
        <f>HYPERLINK("https://klasma.github.io/Logging_2132/tillsyn/A 31066-2024 tillsynsbegäran.docx", "A 31066-2024")</f>
        <v/>
      </c>
      <c r="Y660">
        <f>HYPERLINK("https://klasma.github.io/Logging_2132/tillsynsmail/A 31066-2024 tillsynsbegäran mail.docx", "A 31066-2024")</f>
        <v/>
      </c>
    </row>
    <row r="661" ht="15" customHeight="1">
      <c r="A661" t="inlineStr">
        <is>
          <t>A 31053-2024</t>
        </is>
      </c>
      <c r="B661" s="1" t="n">
        <v>45502</v>
      </c>
      <c r="C661" s="1" t="n">
        <v>45668</v>
      </c>
      <c r="D661" t="inlineStr">
        <is>
          <t>GÄVLEBORGS LÄN</t>
        </is>
      </c>
      <c r="E661" t="inlineStr">
        <is>
          <t>NORDANSTIG</t>
        </is>
      </c>
      <c r="F661" t="inlineStr">
        <is>
          <t>Holmen skog AB</t>
        </is>
      </c>
      <c r="G661" t="n">
        <v>5.5</v>
      </c>
      <c r="H661" t="n">
        <v>0</v>
      </c>
      <c r="I661" t="n">
        <v>1</v>
      </c>
      <c r="J661" t="n">
        <v>0</v>
      </c>
      <c r="K661" t="n">
        <v>0</v>
      </c>
      <c r="L661" t="n">
        <v>0</v>
      </c>
      <c r="M661" t="n">
        <v>0</v>
      </c>
      <c r="N661" t="n">
        <v>0</v>
      </c>
      <c r="O661" t="n">
        <v>0</v>
      </c>
      <c r="P661" t="n">
        <v>0</v>
      </c>
      <c r="Q661" t="n">
        <v>1</v>
      </c>
      <c r="R661" s="2" t="inlineStr">
        <is>
          <t>Smal svampklubba</t>
        </is>
      </c>
      <c r="S661">
        <f>HYPERLINK("https://klasma.github.io/Logging_2132/artfynd/A 31053-2024 artfynd.xlsx", "A 31053-2024")</f>
        <v/>
      </c>
      <c r="T661">
        <f>HYPERLINK("https://klasma.github.io/Logging_2132/kartor/A 31053-2024 karta.png", "A 31053-2024")</f>
        <v/>
      </c>
      <c r="V661">
        <f>HYPERLINK("https://klasma.github.io/Logging_2132/klagomål/A 31053-2024 FSC-klagomål.docx", "A 31053-2024")</f>
        <v/>
      </c>
      <c r="W661">
        <f>HYPERLINK("https://klasma.github.io/Logging_2132/klagomålsmail/A 31053-2024 FSC-klagomål mail.docx", "A 31053-2024")</f>
        <v/>
      </c>
      <c r="X661">
        <f>HYPERLINK("https://klasma.github.io/Logging_2132/tillsyn/A 31053-2024 tillsynsbegäran.docx", "A 31053-2024")</f>
        <v/>
      </c>
      <c r="Y661">
        <f>HYPERLINK("https://klasma.github.io/Logging_2132/tillsynsmail/A 31053-2024 tillsynsbegäran mail.docx", "A 31053-2024")</f>
        <v/>
      </c>
    </row>
    <row r="662" ht="15" customHeight="1">
      <c r="A662" t="inlineStr">
        <is>
          <t>A 31420-2024</t>
        </is>
      </c>
      <c r="B662" s="1" t="n">
        <v>45505</v>
      </c>
      <c r="C662" s="1" t="n">
        <v>45668</v>
      </c>
      <c r="D662" t="inlineStr">
        <is>
          <t>GÄVLEBORGS LÄN</t>
        </is>
      </c>
      <c r="E662" t="inlineStr">
        <is>
          <t>LJUSDAL</t>
        </is>
      </c>
      <c r="F662" t="inlineStr">
        <is>
          <t>Sveaskog</t>
        </is>
      </c>
      <c r="G662" t="n">
        <v>4.4</v>
      </c>
      <c r="H662" t="n">
        <v>0</v>
      </c>
      <c r="I662" t="n">
        <v>0</v>
      </c>
      <c r="J662" t="n">
        <v>1</v>
      </c>
      <c r="K662" t="n">
        <v>0</v>
      </c>
      <c r="L662" t="n">
        <v>0</v>
      </c>
      <c r="M662" t="n">
        <v>0</v>
      </c>
      <c r="N662" t="n">
        <v>0</v>
      </c>
      <c r="O662" t="n">
        <v>1</v>
      </c>
      <c r="P662" t="n">
        <v>0</v>
      </c>
      <c r="Q662" t="n">
        <v>1</v>
      </c>
      <c r="R662" s="2" t="inlineStr">
        <is>
          <t>Lunglav</t>
        </is>
      </c>
      <c r="S662">
        <f>HYPERLINK("https://klasma.github.io/Logging_2161/artfynd/A 31420-2024 artfynd.xlsx", "A 31420-2024")</f>
        <v/>
      </c>
      <c r="T662">
        <f>HYPERLINK("https://klasma.github.io/Logging_2161/kartor/A 31420-2024 karta.png", "A 31420-2024")</f>
        <v/>
      </c>
      <c r="V662">
        <f>HYPERLINK("https://klasma.github.io/Logging_2161/klagomål/A 31420-2024 FSC-klagomål.docx", "A 31420-2024")</f>
        <v/>
      </c>
      <c r="W662">
        <f>HYPERLINK("https://klasma.github.io/Logging_2161/klagomålsmail/A 31420-2024 FSC-klagomål mail.docx", "A 31420-2024")</f>
        <v/>
      </c>
      <c r="X662">
        <f>HYPERLINK("https://klasma.github.io/Logging_2161/tillsyn/A 31420-2024 tillsynsbegäran.docx", "A 31420-2024")</f>
        <v/>
      </c>
      <c r="Y662">
        <f>HYPERLINK("https://klasma.github.io/Logging_2161/tillsynsmail/A 31420-2024 tillsynsbegäran mail.docx", "A 31420-2024")</f>
        <v/>
      </c>
    </row>
    <row r="663" ht="15" customHeight="1">
      <c r="A663" t="inlineStr">
        <is>
          <t>A 31417-2024</t>
        </is>
      </c>
      <c r="B663" s="1" t="n">
        <v>45505</v>
      </c>
      <c r="C663" s="1" t="n">
        <v>45668</v>
      </c>
      <c r="D663" t="inlineStr">
        <is>
          <t>GÄVLEBORGS LÄN</t>
        </is>
      </c>
      <c r="E663" t="inlineStr">
        <is>
          <t>LJUSDAL</t>
        </is>
      </c>
      <c r="F663" t="inlineStr">
        <is>
          <t>Sveaskog</t>
        </is>
      </c>
      <c r="G663" t="n">
        <v>3</v>
      </c>
      <c r="H663" t="n">
        <v>0</v>
      </c>
      <c r="I663" t="n">
        <v>0</v>
      </c>
      <c r="J663" t="n">
        <v>1</v>
      </c>
      <c r="K663" t="n">
        <v>0</v>
      </c>
      <c r="L663" t="n">
        <v>0</v>
      </c>
      <c r="M663" t="n">
        <v>0</v>
      </c>
      <c r="N663" t="n">
        <v>0</v>
      </c>
      <c r="O663" t="n">
        <v>1</v>
      </c>
      <c r="P663" t="n">
        <v>0</v>
      </c>
      <c r="Q663" t="n">
        <v>1</v>
      </c>
      <c r="R663" s="2" t="inlineStr">
        <is>
          <t>Kolflarnlav</t>
        </is>
      </c>
      <c r="S663">
        <f>HYPERLINK("https://klasma.github.io/Logging_2161/artfynd/A 31417-2024 artfynd.xlsx", "A 31417-2024")</f>
        <v/>
      </c>
      <c r="T663">
        <f>HYPERLINK("https://klasma.github.io/Logging_2161/kartor/A 31417-2024 karta.png", "A 31417-2024")</f>
        <v/>
      </c>
      <c r="V663">
        <f>HYPERLINK("https://klasma.github.io/Logging_2161/klagomål/A 31417-2024 FSC-klagomål.docx", "A 31417-2024")</f>
        <v/>
      </c>
      <c r="W663">
        <f>HYPERLINK("https://klasma.github.io/Logging_2161/klagomålsmail/A 31417-2024 FSC-klagomål mail.docx", "A 31417-2024")</f>
        <v/>
      </c>
      <c r="X663">
        <f>HYPERLINK("https://klasma.github.io/Logging_2161/tillsyn/A 31417-2024 tillsynsbegäran.docx", "A 31417-2024")</f>
        <v/>
      </c>
      <c r="Y663">
        <f>HYPERLINK("https://klasma.github.io/Logging_2161/tillsynsmail/A 31417-2024 tillsynsbegäran mail.docx", "A 31417-2024")</f>
        <v/>
      </c>
    </row>
    <row r="664" ht="15" customHeight="1">
      <c r="A664" t="inlineStr">
        <is>
          <t>A 32398-2024</t>
        </is>
      </c>
      <c r="B664" s="1" t="n">
        <v>45512</v>
      </c>
      <c r="C664" s="1" t="n">
        <v>45668</v>
      </c>
      <c r="D664" t="inlineStr">
        <is>
          <t>GÄVLEBORGS LÄN</t>
        </is>
      </c>
      <c r="E664" t="inlineStr">
        <is>
          <t>LJUSDAL</t>
        </is>
      </c>
      <c r="F664" t="inlineStr">
        <is>
          <t>Sveaskog</t>
        </is>
      </c>
      <c r="G664" t="n">
        <v>6.9</v>
      </c>
      <c r="H664" t="n">
        <v>0</v>
      </c>
      <c r="I664" t="n">
        <v>0</v>
      </c>
      <c r="J664" t="n">
        <v>1</v>
      </c>
      <c r="K664" t="n">
        <v>0</v>
      </c>
      <c r="L664" t="n">
        <v>0</v>
      </c>
      <c r="M664" t="n">
        <v>0</v>
      </c>
      <c r="N664" t="n">
        <v>0</v>
      </c>
      <c r="O664" t="n">
        <v>1</v>
      </c>
      <c r="P664" t="n">
        <v>0</v>
      </c>
      <c r="Q664" t="n">
        <v>1</v>
      </c>
      <c r="R664" s="2" t="inlineStr">
        <is>
          <t>Granticka</t>
        </is>
      </c>
      <c r="S664">
        <f>HYPERLINK("https://klasma.github.io/Logging_2161/artfynd/A 32398-2024 artfynd.xlsx", "A 32398-2024")</f>
        <v/>
      </c>
      <c r="T664">
        <f>HYPERLINK("https://klasma.github.io/Logging_2161/kartor/A 32398-2024 karta.png", "A 32398-2024")</f>
        <v/>
      </c>
      <c r="V664">
        <f>HYPERLINK("https://klasma.github.io/Logging_2161/klagomål/A 32398-2024 FSC-klagomål.docx", "A 32398-2024")</f>
        <v/>
      </c>
      <c r="W664">
        <f>HYPERLINK("https://klasma.github.io/Logging_2161/klagomålsmail/A 32398-2024 FSC-klagomål mail.docx", "A 32398-2024")</f>
        <v/>
      </c>
      <c r="X664">
        <f>HYPERLINK("https://klasma.github.io/Logging_2161/tillsyn/A 32398-2024 tillsynsbegäran.docx", "A 32398-2024")</f>
        <v/>
      </c>
      <c r="Y664">
        <f>HYPERLINK("https://klasma.github.io/Logging_2161/tillsynsmail/A 32398-2024 tillsynsbegäran mail.docx", "A 32398-2024")</f>
        <v/>
      </c>
    </row>
    <row r="665" ht="15" customHeight="1">
      <c r="A665" t="inlineStr">
        <is>
          <t>A 32807-2024</t>
        </is>
      </c>
      <c r="B665" s="1" t="n">
        <v>45516</v>
      </c>
      <c r="C665" s="1" t="n">
        <v>45668</v>
      </c>
      <c r="D665" t="inlineStr">
        <is>
          <t>GÄVLEBORGS LÄN</t>
        </is>
      </c>
      <c r="E665" t="inlineStr">
        <is>
          <t>LJUSDAL</t>
        </is>
      </c>
      <c r="F665" t="inlineStr">
        <is>
          <t>Sveaskog</t>
        </is>
      </c>
      <c r="G665" t="n">
        <v>11.5</v>
      </c>
      <c r="H665" t="n">
        <v>0</v>
      </c>
      <c r="I665" t="n">
        <v>0</v>
      </c>
      <c r="J665" t="n">
        <v>1</v>
      </c>
      <c r="K665" t="n">
        <v>0</v>
      </c>
      <c r="L665" t="n">
        <v>0</v>
      </c>
      <c r="M665" t="n">
        <v>0</v>
      </c>
      <c r="N665" t="n">
        <v>0</v>
      </c>
      <c r="O665" t="n">
        <v>1</v>
      </c>
      <c r="P665" t="n">
        <v>0</v>
      </c>
      <c r="Q665" t="n">
        <v>1</v>
      </c>
      <c r="R665" s="2" t="inlineStr">
        <is>
          <t>Kolflarnlav</t>
        </is>
      </c>
      <c r="S665">
        <f>HYPERLINK("https://klasma.github.io/Logging_2161/artfynd/A 32807-2024 artfynd.xlsx", "A 32807-2024")</f>
        <v/>
      </c>
      <c r="T665">
        <f>HYPERLINK("https://klasma.github.io/Logging_2161/kartor/A 32807-2024 karta.png", "A 32807-2024")</f>
        <v/>
      </c>
      <c r="V665">
        <f>HYPERLINK("https://klasma.github.io/Logging_2161/klagomål/A 32807-2024 FSC-klagomål.docx", "A 32807-2024")</f>
        <v/>
      </c>
      <c r="W665">
        <f>HYPERLINK("https://klasma.github.io/Logging_2161/klagomålsmail/A 32807-2024 FSC-klagomål mail.docx", "A 32807-2024")</f>
        <v/>
      </c>
      <c r="X665">
        <f>HYPERLINK("https://klasma.github.io/Logging_2161/tillsyn/A 32807-2024 tillsynsbegäran.docx", "A 32807-2024")</f>
        <v/>
      </c>
      <c r="Y665">
        <f>HYPERLINK("https://klasma.github.io/Logging_2161/tillsynsmail/A 32807-2024 tillsynsbegäran mail.docx", "A 32807-2024")</f>
        <v/>
      </c>
    </row>
    <row r="666" ht="15" customHeight="1">
      <c r="A666" t="inlineStr">
        <is>
          <t>A 33950-2024</t>
        </is>
      </c>
      <c r="B666" s="1" t="n">
        <v>45523</v>
      </c>
      <c r="C666" s="1" t="n">
        <v>45668</v>
      </c>
      <c r="D666" t="inlineStr">
        <is>
          <t>GÄVLEBORGS LÄN</t>
        </is>
      </c>
      <c r="E666" t="inlineStr">
        <is>
          <t>LJUSDAL</t>
        </is>
      </c>
      <c r="F666" t="inlineStr">
        <is>
          <t>Sveaskog</t>
        </is>
      </c>
      <c r="G666" t="n">
        <v>3.6</v>
      </c>
      <c r="H666" t="n">
        <v>0</v>
      </c>
      <c r="I666" t="n">
        <v>0</v>
      </c>
      <c r="J666" t="n">
        <v>1</v>
      </c>
      <c r="K666" t="n">
        <v>0</v>
      </c>
      <c r="L666" t="n">
        <v>0</v>
      </c>
      <c r="M666" t="n">
        <v>0</v>
      </c>
      <c r="N666" t="n">
        <v>0</v>
      </c>
      <c r="O666" t="n">
        <v>1</v>
      </c>
      <c r="P666" t="n">
        <v>0</v>
      </c>
      <c r="Q666" t="n">
        <v>1</v>
      </c>
      <c r="R666" s="2" t="inlineStr">
        <is>
          <t>Lunglav</t>
        </is>
      </c>
      <c r="S666">
        <f>HYPERLINK("https://klasma.github.io/Logging_2161/artfynd/A 33950-2024 artfynd.xlsx", "A 33950-2024")</f>
        <v/>
      </c>
      <c r="T666">
        <f>HYPERLINK("https://klasma.github.io/Logging_2161/kartor/A 33950-2024 karta.png", "A 33950-2024")</f>
        <v/>
      </c>
      <c r="V666">
        <f>HYPERLINK("https://klasma.github.io/Logging_2161/klagomål/A 33950-2024 FSC-klagomål.docx", "A 33950-2024")</f>
        <v/>
      </c>
      <c r="W666">
        <f>HYPERLINK("https://klasma.github.io/Logging_2161/klagomålsmail/A 33950-2024 FSC-klagomål mail.docx", "A 33950-2024")</f>
        <v/>
      </c>
      <c r="X666">
        <f>HYPERLINK("https://klasma.github.io/Logging_2161/tillsyn/A 33950-2024 tillsynsbegäran.docx", "A 33950-2024")</f>
        <v/>
      </c>
      <c r="Y666">
        <f>HYPERLINK("https://klasma.github.io/Logging_2161/tillsynsmail/A 33950-2024 tillsynsbegäran mail.docx", "A 33950-2024")</f>
        <v/>
      </c>
    </row>
    <row r="667" ht="15" customHeight="1">
      <c r="A667" t="inlineStr">
        <is>
          <t>A 34233-2024</t>
        </is>
      </c>
      <c r="B667" s="1" t="n">
        <v>45524</v>
      </c>
      <c r="C667" s="1" t="n">
        <v>45668</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34235-2024</t>
        </is>
      </c>
      <c r="B668" s="1" t="n">
        <v>45524</v>
      </c>
      <c r="C668" s="1" t="n">
        <v>45668</v>
      </c>
      <c r="D668" t="inlineStr">
        <is>
          <t>GÄVLEBORGS LÄN</t>
        </is>
      </c>
      <c r="E668" t="inlineStr">
        <is>
          <t>LJUSDAL</t>
        </is>
      </c>
      <c r="F668" t="inlineStr">
        <is>
          <t>Sveaskog</t>
        </is>
      </c>
      <c r="G668" t="n">
        <v>3.5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34235-2024 artfynd.xlsx", "A 34235-2024")</f>
        <v/>
      </c>
      <c r="T668">
        <f>HYPERLINK("https://klasma.github.io/Logging_2161/kartor/A 34235-2024 karta.png", "A 34235-2024")</f>
        <v/>
      </c>
      <c r="V668">
        <f>HYPERLINK("https://klasma.github.io/Logging_2161/klagomål/A 34235-2024 FSC-klagomål.docx", "A 34235-2024")</f>
        <v/>
      </c>
      <c r="W668">
        <f>HYPERLINK("https://klasma.github.io/Logging_2161/klagomålsmail/A 34235-2024 FSC-klagomål mail.docx", "A 34235-2024")</f>
        <v/>
      </c>
      <c r="X668">
        <f>HYPERLINK("https://klasma.github.io/Logging_2161/tillsyn/A 34235-2024 tillsynsbegäran.docx", "A 34235-2024")</f>
        <v/>
      </c>
      <c r="Y668">
        <f>HYPERLINK("https://klasma.github.io/Logging_2161/tillsynsmail/A 34235-2024 tillsynsbegäran mail.docx", "A 34235-2024")</f>
        <v/>
      </c>
    </row>
    <row r="669" ht="15" customHeight="1">
      <c r="A669" t="inlineStr">
        <is>
          <t>A 34358-2024</t>
        </is>
      </c>
      <c r="B669" s="1" t="n">
        <v>45525</v>
      </c>
      <c r="C669" s="1" t="n">
        <v>45668</v>
      </c>
      <c r="D669" t="inlineStr">
        <is>
          <t>GÄVLEBORGS LÄN</t>
        </is>
      </c>
      <c r="E669" t="inlineStr">
        <is>
          <t>HUDIKSVALL</t>
        </is>
      </c>
      <c r="F669" t="inlineStr">
        <is>
          <t>Holmen skog AB</t>
        </is>
      </c>
      <c r="G669" t="n">
        <v>4.7</v>
      </c>
      <c r="H669" t="n">
        <v>0</v>
      </c>
      <c r="I669" t="n">
        <v>0</v>
      </c>
      <c r="J669" t="n">
        <v>1</v>
      </c>
      <c r="K669" t="n">
        <v>0</v>
      </c>
      <c r="L669" t="n">
        <v>0</v>
      </c>
      <c r="M669" t="n">
        <v>0</v>
      </c>
      <c r="N669" t="n">
        <v>0</v>
      </c>
      <c r="O669" t="n">
        <v>1</v>
      </c>
      <c r="P669" t="n">
        <v>0</v>
      </c>
      <c r="Q669" t="n">
        <v>1</v>
      </c>
      <c r="R669" s="2" t="inlineStr">
        <is>
          <t>Garnlav</t>
        </is>
      </c>
      <c r="S669">
        <f>HYPERLINK("https://klasma.github.io/Logging_2184/artfynd/A 34358-2024 artfynd.xlsx", "A 34358-2024")</f>
        <v/>
      </c>
      <c r="T669">
        <f>HYPERLINK("https://klasma.github.io/Logging_2184/kartor/A 34358-2024 karta.png", "A 34358-2024")</f>
        <v/>
      </c>
      <c r="V669">
        <f>HYPERLINK("https://klasma.github.io/Logging_2184/klagomål/A 34358-2024 FSC-klagomål.docx", "A 34358-2024")</f>
        <v/>
      </c>
      <c r="W669">
        <f>HYPERLINK("https://klasma.github.io/Logging_2184/klagomålsmail/A 34358-2024 FSC-klagomål mail.docx", "A 34358-2024")</f>
        <v/>
      </c>
      <c r="X669">
        <f>HYPERLINK("https://klasma.github.io/Logging_2184/tillsyn/A 34358-2024 tillsynsbegäran.docx", "A 34358-2024")</f>
        <v/>
      </c>
      <c r="Y669">
        <f>HYPERLINK("https://klasma.github.io/Logging_2184/tillsynsmail/A 34358-2024 tillsynsbegäran mail.docx", "A 34358-2024")</f>
        <v/>
      </c>
    </row>
    <row r="670" ht="15" customHeight="1">
      <c r="A670" t="inlineStr">
        <is>
          <t>A 34475-2024</t>
        </is>
      </c>
      <c r="B670" s="1" t="n">
        <v>45525</v>
      </c>
      <c r="C670" s="1" t="n">
        <v>45668</v>
      </c>
      <c r="D670" t="inlineStr">
        <is>
          <t>GÄVLEBORGS LÄN</t>
        </is>
      </c>
      <c r="E670" t="inlineStr">
        <is>
          <t>BOLLNÄS</t>
        </is>
      </c>
      <c r="F670" t="inlineStr">
        <is>
          <t>Bergvik skog väst AB</t>
        </is>
      </c>
      <c r="G670" t="n">
        <v>7.8</v>
      </c>
      <c r="H670" t="n">
        <v>0</v>
      </c>
      <c r="I670" t="n">
        <v>1</v>
      </c>
      <c r="J670" t="n">
        <v>0</v>
      </c>
      <c r="K670" t="n">
        <v>0</v>
      </c>
      <c r="L670" t="n">
        <v>0</v>
      </c>
      <c r="M670" t="n">
        <v>0</v>
      </c>
      <c r="N670" t="n">
        <v>0</v>
      </c>
      <c r="O670" t="n">
        <v>0</v>
      </c>
      <c r="P670" t="n">
        <v>0</v>
      </c>
      <c r="Q670" t="n">
        <v>1</v>
      </c>
      <c r="R670" s="2" t="inlineStr">
        <is>
          <t>Kambräken</t>
        </is>
      </c>
      <c r="S670">
        <f>HYPERLINK("https://klasma.github.io/Logging_2183/artfynd/A 34475-2024 artfynd.xlsx", "A 34475-2024")</f>
        <v/>
      </c>
      <c r="T670">
        <f>HYPERLINK("https://klasma.github.io/Logging_2183/kartor/A 34475-2024 karta.png", "A 34475-2024")</f>
        <v/>
      </c>
      <c r="V670">
        <f>HYPERLINK("https://klasma.github.io/Logging_2183/klagomål/A 34475-2024 FSC-klagomål.docx", "A 34475-2024")</f>
        <v/>
      </c>
      <c r="W670">
        <f>HYPERLINK("https://klasma.github.io/Logging_2183/klagomålsmail/A 34475-2024 FSC-klagomål mail.docx", "A 34475-2024")</f>
        <v/>
      </c>
      <c r="X670">
        <f>HYPERLINK("https://klasma.github.io/Logging_2183/tillsyn/A 34475-2024 tillsynsbegäran.docx", "A 34475-2024")</f>
        <v/>
      </c>
      <c r="Y670">
        <f>HYPERLINK("https://klasma.github.io/Logging_2183/tillsynsmail/A 34475-2024 tillsynsbegäran mail.docx", "A 34475-2024")</f>
        <v/>
      </c>
    </row>
    <row r="671" ht="15" customHeight="1">
      <c r="A671" t="inlineStr">
        <is>
          <t>A 34346-2024</t>
        </is>
      </c>
      <c r="B671" s="1" t="n">
        <v>45525</v>
      </c>
      <c r="C671" s="1" t="n">
        <v>45668</v>
      </c>
      <c r="D671" t="inlineStr">
        <is>
          <t>GÄVLEBORGS LÄN</t>
        </is>
      </c>
      <c r="E671" t="inlineStr">
        <is>
          <t>LJUSDAL</t>
        </is>
      </c>
      <c r="F671" t="inlineStr">
        <is>
          <t>Holmen skog AB</t>
        </is>
      </c>
      <c r="G671" t="n">
        <v>6.8</v>
      </c>
      <c r="H671" t="n">
        <v>1</v>
      </c>
      <c r="I671" t="n">
        <v>0</v>
      </c>
      <c r="J671" t="n">
        <v>1</v>
      </c>
      <c r="K671" t="n">
        <v>0</v>
      </c>
      <c r="L671" t="n">
        <v>0</v>
      </c>
      <c r="M671" t="n">
        <v>0</v>
      </c>
      <c r="N671" t="n">
        <v>0</v>
      </c>
      <c r="O671" t="n">
        <v>1</v>
      </c>
      <c r="P671" t="n">
        <v>0</v>
      </c>
      <c r="Q671" t="n">
        <v>1</v>
      </c>
      <c r="R671" s="2" t="inlineStr">
        <is>
          <t>Talltita</t>
        </is>
      </c>
      <c r="S671">
        <f>HYPERLINK("https://klasma.github.io/Logging_2161/artfynd/A 34346-2024 artfynd.xlsx", "A 34346-2024")</f>
        <v/>
      </c>
      <c r="T671">
        <f>HYPERLINK("https://klasma.github.io/Logging_2161/kartor/A 34346-2024 karta.png", "A 34346-2024")</f>
        <v/>
      </c>
      <c r="V671">
        <f>HYPERLINK("https://klasma.github.io/Logging_2161/klagomål/A 34346-2024 FSC-klagomål.docx", "A 34346-2024")</f>
        <v/>
      </c>
      <c r="W671">
        <f>HYPERLINK("https://klasma.github.io/Logging_2161/klagomålsmail/A 34346-2024 FSC-klagomål mail.docx", "A 34346-2024")</f>
        <v/>
      </c>
      <c r="X671">
        <f>HYPERLINK("https://klasma.github.io/Logging_2161/tillsyn/A 34346-2024 tillsynsbegäran.docx", "A 34346-2024")</f>
        <v/>
      </c>
      <c r="Y671">
        <f>HYPERLINK("https://klasma.github.io/Logging_2161/tillsynsmail/A 34346-2024 tillsynsbegäran mail.docx", "A 34346-2024")</f>
        <v/>
      </c>
      <c r="Z671">
        <f>HYPERLINK("https://klasma.github.io/Logging_2161/fåglar/A 34346-2024 prioriterade fågelarter.docx", "A 34346-2024")</f>
        <v/>
      </c>
    </row>
    <row r="672" ht="15" customHeight="1">
      <c r="A672" t="inlineStr">
        <is>
          <t>A 34597-2024</t>
        </is>
      </c>
      <c r="B672" s="1" t="n">
        <v>45526</v>
      </c>
      <c r="C672" s="1" t="n">
        <v>45668</v>
      </c>
      <c r="D672" t="inlineStr">
        <is>
          <t>GÄVLEBORGS LÄN</t>
        </is>
      </c>
      <c r="E672" t="inlineStr">
        <is>
          <t>LJUSDAL</t>
        </is>
      </c>
      <c r="F672" t="inlineStr">
        <is>
          <t>Sveaskog</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34597-2024 artfynd.xlsx", "A 34597-2024")</f>
        <v/>
      </c>
      <c r="T672">
        <f>HYPERLINK("https://klasma.github.io/Logging_2161/kartor/A 34597-2024 karta.png", "A 34597-2024")</f>
        <v/>
      </c>
      <c r="V672">
        <f>HYPERLINK("https://klasma.github.io/Logging_2161/klagomål/A 34597-2024 FSC-klagomål.docx", "A 34597-2024")</f>
        <v/>
      </c>
      <c r="W672">
        <f>HYPERLINK("https://klasma.github.io/Logging_2161/klagomålsmail/A 34597-2024 FSC-klagomål mail.docx", "A 34597-2024")</f>
        <v/>
      </c>
      <c r="X672">
        <f>HYPERLINK("https://klasma.github.io/Logging_2161/tillsyn/A 34597-2024 tillsynsbegäran.docx", "A 34597-2024")</f>
        <v/>
      </c>
      <c r="Y672">
        <f>HYPERLINK("https://klasma.github.io/Logging_2161/tillsynsmail/A 34597-2024 tillsynsbegäran mail.docx", "A 34597-2024")</f>
        <v/>
      </c>
    </row>
    <row r="673" ht="15" customHeight="1">
      <c r="A673" t="inlineStr">
        <is>
          <t>A 34748-2024</t>
        </is>
      </c>
      <c r="B673" s="1" t="n">
        <v>45526</v>
      </c>
      <c r="C673" s="1" t="n">
        <v>45668</v>
      </c>
      <c r="D673" t="inlineStr">
        <is>
          <t>GÄVLEBORGS LÄN</t>
        </is>
      </c>
      <c r="E673" t="inlineStr">
        <is>
          <t>LJUSDAL</t>
        </is>
      </c>
      <c r="F673" t="inlineStr">
        <is>
          <t>Sveaskog</t>
        </is>
      </c>
      <c r="G673" t="n">
        <v>11.2</v>
      </c>
      <c r="H673" t="n">
        <v>0</v>
      </c>
      <c r="I673" t="n">
        <v>0</v>
      </c>
      <c r="J673" t="n">
        <v>1</v>
      </c>
      <c r="K673" t="n">
        <v>0</v>
      </c>
      <c r="L673" t="n">
        <v>0</v>
      </c>
      <c r="M673" t="n">
        <v>0</v>
      </c>
      <c r="N673" t="n">
        <v>0</v>
      </c>
      <c r="O673" t="n">
        <v>1</v>
      </c>
      <c r="P673" t="n">
        <v>0</v>
      </c>
      <c r="Q673" t="n">
        <v>1</v>
      </c>
      <c r="R673" s="2" t="inlineStr">
        <is>
          <t>Kolflarnlav</t>
        </is>
      </c>
      <c r="S673">
        <f>HYPERLINK("https://klasma.github.io/Logging_2161/artfynd/A 34748-2024 artfynd.xlsx", "A 34748-2024")</f>
        <v/>
      </c>
      <c r="T673">
        <f>HYPERLINK("https://klasma.github.io/Logging_2161/kartor/A 34748-2024 karta.png", "A 34748-2024")</f>
        <v/>
      </c>
      <c r="V673">
        <f>HYPERLINK("https://klasma.github.io/Logging_2161/klagomål/A 34748-2024 FSC-klagomål.docx", "A 34748-2024")</f>
        <v/>
      </c>
      <c r="W673">
        <f>HYPERLINK("https://klasma.github.io/Logging_2161/klagomålsmail/A 34748-2024 FSC-klagomål mail.docx", "A 34748-2024")</f>
        <v/>
      </c>
      <c r="X673">
        <f>HYPERLINK("https://klasma.github.io/Logging_2161/tillsyn/A 34748-2024 tillsynsbegäran.docx", "A 34748-2024")</f>
        <v/>
      </c>
      <c r="Y673">
        <f>HYPERLINK("https://klasma.github.io/Logging_2161/tillsynsmail/A 34748-2024 tillsynsbegäran mail.docx", "A 34748-2024")</f>
        <v/>
      </c>
    </row>
    <row r="674" ht="15" customHeight="1">
      <c r="A674" t="inlineStr">
        <is>
          <t>A 34744-2024</t>
        </is>
      </c>
      <c r="B674" s="1" t="n">
        <v>45526</v>
      </c>
      <c r="C674" s="1" t="n">
        <v>45668</v>
      </c>
      <c r="D674" t="inlineStr">
        <is>
          <t>GÄVLEBORGS LÄN</t>
        </is>
      </c>
      <c r="E674" t="inlineStr">
        <is>
          <t>LJUSDAL</t>
        </is>
      </c>
      <c r="F674" t="inlineStr">
        <is>
          <t>Sveaskog</t>
        </is>
      </c>
      <c r="G674" t="n">
        <v>9.9</v>
      </c>
      <c r="H674" t="n">
        <v>0</v>
      </c>
      <c r="I674" t="n">
        <v>0</v>
      </c>
      <c r="J674" t="n">
        <v>1</v>
      </c>
      <c r="K674" t="n">
        <v>0</v>
      </c>
      <c r="L674" t="n">
        <v>0</v>
      </c>
      <c r="M674" t="n">
        <v>0</v>
      </c>
      <c r="N674" t="n">
        <v>0</v>
      </c>
      <c r="O674" t="n">
        <v>1</v>
      </c>
      <c r="P674" t="n">
        <v>0</v>
      </c>
      <c r="Q674" t="n">
        <v>1</v>
      </c>
      <c r="R674" s="2" t="inlineStr">
        <is>
          <t>Lunglav</t>
        </is>
      </c>
      <c r="S674">
        <f>HYPERLINK("https://klasma.github.io/Logging_2161/artfynd/A 34744-2024 artfynd.xlsx", "A 34744-2024")</f>
        <v/>
      </c>
      <c r="T674">
        <f>HYPERLINK("https://klasma.github.io/Logging_2161/kartor/A 34744-2024 karta.png", "A 34744-2024")</f>
        <v/>
      </c>
      <c r="V674">
        <f>HYPERLINK("https://klasma.github.io/Logging_2161/klagomål/A 34744-2024 FSC-klagomål.docx", "A 34744-2024")</f>
        <v/>
      </c>
      <c r="W674">
        <f>HYPERLINK("https://klasma.github.io/Logging_2161/klagomålsmail/A 34744-2024 FSC-klagomål mail.docx", "A 34744-2024")</f>
        <v/>
      </c>
      <c r="X674">
        <f>HYPERLINK("https://klasma.github.io/Logging_2161/tillsyn/A 34744-2024 tillsynsbegäran.docx", "A 34744-2024")</f>
        <v/>
      </c>
      <c r="Y674">
        <f>HYPERLINK("https://klasma.github.io/Logging_2161/tillsynsmail/A 34744-2024 tillsynsbegäran mail.docx", "A 34744-2024")</f>
        <v/>
      </c>
    </row>
    <row r="675" ht="15" customHeight="1">
      <c r="A675" t="inlineStr">
        <is>
          <t>A 34974-2024</t>
        </is>
      </c>
      <c r="B675" s="1" t="n">
        <v>45527</v>
      </c>
      <c r="C675" s="1" t="n">
        <v>45668</v>
      </c>
      <c r="D675" t="inlineStr">
        <is>
          <t>GÄVLEBORGS LÄN</t>
        </is>
      </c>
      <c r="E675" t="inlineStr">
        <is>
          <t>LJUSDAL</t>
        </is>
      </c>
      <c r="F675" t="inlineStr">
        <is>
          <t>Sveaskog</t>
        </is>
      </c>
      <c r="G675" t="n">
        <v>4.6</v>
      </c>
      <c r="H675" t="n">
        <v>0</v>
      </c>
      <c r="I675" t="n">
        <v>0</v>
      </c>
      <c r="J675" t="n">
        <v>1</v>
      </c>
      <c r="K675" t="n">
        <v>0</v>
      </c>
      <c r="L675" t="n">
        <v>0</v>
      </c>
      <c r="M675" t="n">
        <v>0</v>
      </c>
      <c r="N675" t="n">
        <v>0</v>
      </c>
      <c r="O675" t="n">
        <v>1</v>
      </c>
      <c r="P675" t="n">
        <v>0</v>
      </c>
      <c r="Q675" t="n">
        <v>1</v>
      </c>
      <c r="R675" s="2" t="inlineStr">
        <is>
          <t>Kolflarnlav</t>
        </is>
      </c>
      <c r="S675">
        <f>HYPERLINK("https://klasma.github.io/Logging_2161/artfynd/A 34974-2024 artfynd.xlsx", "A 34974-2024")</f>
        <v/>
      </c>
      <c r="T675">
        <f>HYPERLINK("https://klasma.github.io/Logging_2161/kartor/A 34974-2024 karta.png", "A 34974-2024")</f>
        <v/>
      </c>
      <c r="V675">
        <f>HYPERLINK("https://klasma.github.io/Logging_2161/klagomål/A 34974-2024 FSC-klagomål.docx", "A 34974-2024")</f>
        <v/>
      </c>
      <c r="W675">
        <f>HYPERLINK("https://klasma.github.io/Logging_2161/klagomålsmail/A 34974-2024 FSC-klagomål mail.docx", "A 34974-2024")</f>
        <v/>
      </c>
      <c r="X675">
        <f>HYPERLINK("https://klasma.github.io/Logging_2161/tillsyn/A 34974-2024 tillsynsbegäran.docx", "A 34974-2024")</f>
        <v/>
      </c>
      <c r="Y675">
        <f>HYPERLINK("https://klasma.github.io/Logging_2161/tillsynsmail/A 34974-2024 tillsynsbegäran mail.docx", "A 34974-2024")</f>
        <v/>
      </c>
    </row>
    <row r="676" ht="15" customHeight="1">
      <c r="A676" t="inlineStr">
        <is>
          <t>A 35521-2024</t>
        </is>
      </c>
      <c r="B676" s="1" t="n">
        <v>45531</v>
      </c>
      <c r="C676" s="1" t="n">
        <v>45668</v>
      </c>
      <c r="D676" t="inlineStr">
        <is>
          <t>GÄVLEBORGS LÄN</t>
        </is>
      </c>
      <c r="E676" t="inlineStr">
        <is>
          <t>HOFORS</t>
        </is>
      </c>
      <c r="F676" t="inlineStr">
        <is>
          <t>Sveaskog</t>
        </is>
      </c>
      <c r="G676" t="n">
        <v>1.3</v>
      </c>
      <c r="H676" t="n">
        <v>1</v>
      </c>
      <c r="I676" t="n">
        <v>0</v>
      </c>
      <c r="J676" t="n">
        <v>0</v>
      </c>
      <c r="K676" t="n">
        <v>0</v>
      </c>
      <c r="L676" t="n">
        <v>0</v>
      </c>
      <c r="M676" t="n">
        <v>0</v>
      </c>
      <c r="N676" t="n">
        <v>0</v>
      </c>
      <c r="O676" t="n">
        <v>0</v>
      </c>
      <c r="P676" t="n">
        <v>0</v>
      </c>
      <c r="Q676" t="n">
        <v>1</v>
      </c>
      <c r="R676" s="2" t="inlineStr">
        <is>
          <t>Revlummer</t>
        </is>
      </c>
      <c r="S676">
        <f>HYPERLINK("https://klasma.github.io/Logging_2104/artfynd/A 35521-2024 artfynd.xlsx", "A 35521-2024")</f>
        <v/>
      </c>
      <c r="T676">
        <f>HYPERLINK("https://klasma.github.io/Logging_2104/kartor/A 35521-2024 karta.png", "A 35521-2024")</f>
        <v/>
      </c>
      <c r="V676">
        <f>HYPERLINK("https://klasma.github.io/Logging_2104/klagomål/A 35521-2024 FSC-klagomål.docx", "A 35521-2024")</f>
        <v/>
      </c>
      <c r="W676">
        <f>HYPERLINK("https://klasma.github.io/Logging_2104/klagomålsmail/A 35521-2024 FSC-klagomål mail.docx", "A 35521-2024")</f>
        <v/>
      </c>
      <c r="X676">
        <f>HYPERLINK("https://klasma.github.io/Logging_2104/tillsyn/A 35521-2024 tillsynsbegäran.docx", "A 35521-2024")</f>
        <v/>
      </c>
      <c r="Y676">
        <f>HYPERLINK("https://klasma.github.io/Logging_2104/tillsynsmail/A 35521-2024 tillsynsbegäran mail.docx", "A 35521-2024")</f>
        <v/>
      </c>
    </row>
    <row r="677" ht="15" customHeight="1">
      <c r="A677" t="inlineStr">
        <is>
          <t>A 35373-2024</t>
        </is>
      </c>
      <c r="B677" s="1" t="n">
        <v>45531</v>
      </c>
      <c r="C677" s="1" t="n">
        <v>45668</v>
      </c>
      <c r="D677" t="inlineStr">
        <is>
          <t>GÄVLEBORGS LÄN</t>
        </is>
      </c>
      <c r="E677" t="inlineStr">
        <is>
          <t>OVANÅKER</t>
        </is>
      </c>
      <c r="F677" t="inlineStr">
        <is>
          <t>Sveaskog</t>
        </is>
      </c>
      <c r="G677" t="n">
        <v>2.3</v>
      </c>
      <c r="H677" t="n">
        <v>0</v>
      </c>
      <c r="I677" t="n">
        <v>0</v>
      </c>
      <c r="J677" t="n">
        <v>1</v>
      </c>
      <c r="K677" t="n">
        <v>0</v>
      </c>
      <c r="L677" t="n">
        <v>0</v>
      </c>
      <c r="M677" t="n">
        <v>0</v>
      </c>
      <c r="N677" t="n">
        <v>0</v>
      </c>
      <c r="O677" t="n">
        <v>1</v>
      </c>
      <c r="P677" t="n">
        <v>0</v>
      </c>
      <c r="Q677" t="n">
        <v>1</v>
      </c>
      <c r="R677" s="2" t="inlineStr">
        <is>
          <t>Vedtrappmossa</t>
        </is>
      </c>
      <c r="S677">
        <f>HYPERLINK("https://klasma.github.io/Logging_2121/artfynd/A 35373-2024 artfynd.xlsx", "A 35373-2024")</f>
        <v/>
      </c>
      <c r="T677">
        <f>HYPERLINK("https://klasma.github.io/Logging_2121/kartor/A 35373-2024 karta.png", "A 35373-2024")</f>
        <v/>
      </c>
      <c r="V677">
        <f>HYPERLINK("https://klasma.github.io/Logging_2121/klagomål/A 35373-2024 FSC-klagomål.docx", "A 35373-2024")</f>
        <v/>
      </c>
      <c r="W677">
        <f>HYPERLINK("https://klasma.github.io/Logging_2121/klagomålsmail/A 35373-2024 FSC-klagomål mail.docx", "A 35373-2024")</f>
        <v/>
      </c>
      <c r="X677">
        <f>HYPERLINK("https://klasma.github.io/Logging_2121/tillsyn/A 35373-2024 tillsynsbegäran.docx", "A 35373-2024")</f>
        <v/>
      </c>
      <c r="Y677">
        <f>HYPERLINK("https://klasma.github.io/Logging_2121/tillsynsmail/A 35373-2024 tillsynsbegäran mail.docx", "A 35373-2024")</f>
        <v/>
      </c>
    </row>
    <row r="678" ht="15" customHeight="1">
      <c r="A678" t="inlineStr">
        <is>
          <t>A 35623-2024</t>
        </is>
      </c>
      <c r="B678" s="1" t="n">
        <v>45531</v>
      </c>
      <c r="C678" s="1" t="n">
        <v>45668</v>
      </c>
      <c r="D678" t="inlineStr">
        <is>
          <t>GÄVLEBORGS LÄN</t>
        </is>
      </c>
      <c r="E678" t="inlineStr">
        <is>
          <t>SANDVIKEN</t>
        </is>
      </c>
      <c r="F678" t="inlineStr">
        <is>
          <t>Sveaskog</t>
        </is>
      </c>
      <c r="G678" t="n">
        <v>13.1</v>
      </c>
      <c r="H678" t="n">
        <v>1</v>
      </c>
      <c r="I678" t="n">
        <v>0</v>
      </c>
      <c r="J678" t="n">
        <v>1</v>
      </c>
      <c r="K678" t="n">
        <v>0</v>
      </c>
      <c r="L678" t="n">
        <v>0</v>
      </c>
      <c r="M678" t="n">
        <v>0</v>
      </c>
      <c r="N678" t="n">
        <v>0</v>
      </c>
      <c r="O678" t="n">
        <v>1</v>
      </c>
      <c r="P678" t="n">
        <v>0</v>
      </c>
      <c r="Q678" t="n">
        <v>1</v>
      </c>
      <c r="R678" s="2" t="inlineStr">
        <is>
          <t>Nordfladdermus</t>
        </is>
      </c>
      <c r="S678">
        <f>HYPERLINK("https://klasma.github.io/Logging_2181/artfynd/A 35623-2024 artfynd.xlsx", "A 35623-2024")</f>
        <v/>
      </c>
      <c r="T678">
        <f>HYPERLINK("https://klasma.github.io/Logging_2181/kartor/A 35623-2024 karta.png", "A 35623-2024")</f>
        <v/>
      </c>
      <c r="V678">
        <f>HYPERLINK("https://klasma.github.io/Logging_2181/klagomål/A 35623-2024 FSC-klagomål.docx", "A 35623-2024")</f>
        <v/>
      </c>
      <c r="W678">
        <f>HYPERLINK("https://klasma.github.io/Logging_2181/klagomålsmail/A 35623-2024 FSC-klagomål mail.docx", "A 35623-2024")</f>
        <v/>
      </c>
      <c r="X678">
        <f>HYPERLINK("https://klasma.github.io/Logging_2181/tillsyn/A 35623-2024 tillsynsbegäran.docx", "A 35623-2024")</f>
        <v/>
      </c>
      <c r="Y678">
        <f>HYPERLINK("https://klasma.github.io/Logging_2181/tillsynsmail/A 35623-2024 tillsynsbegäran mail.docx", "A 35623-2024")</f>
        <v/>
      </c>
    </row>
    <row r="679" ht="15" customHeight="1">
      <c r="A679" t="inlineStr">
        <is>
          <t>A 36752-2024</t>
        </is>
      </c>
      <c r="B679" s="1" t="n">
        <v>45538</v>
      </c>
      <c r="C679" s="1" t="n">
        <v>45668</v>
      </c>
      <c r="D679" t="inlineStr">
        <is>
          <t>GÄVLEBORGS LÄN</t>
        </is>
      </c>
      <c r="E679" t="inlineStr">
        <is>
          <t>HOFORS</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HYPERLINK("https://klasma.github.io/Logging_2104/artfynd/A 36752-2024 artfynd.xlsx", "A 36752-2024")</f>
        <v/>
      </c>
      <c r="T679">
        <f>HYPERLINK("https://klasma.github.io/Logging_2104/kartor/A 36752-2024 karta.png", "A 36752-2024")</f>
        <v/>
      </c>
      <c r="U679">
        <f>HYPERLINK("https://klasma.github.io/Logging_2104/knärot/A 36752-2024 karta knärot.png", "A 36752-2024")</f>
        <v/>
      </c>
      <c r="V679">
        <f>HYPERLINK("https://klasma.github.io/Logging_2104/klagomål/A 36752-2024 FSC-klagomål.docx", "A 36752-2024")</f>
        <v/>
      </c>
      <c r="W679">
        <f>HYPERLINK("https://klasma.github.io/Logging_2104/klagomålsmail/A 36752-2024 FSC-klagomål mail.docx", "A 36752-2024")</f>
        <v/>
      </c>
      <c r="X679">
        <f>HYPERLINK("https://klasma.github.io/Logging_2104/tillsyn/A 36752-2024 tillsynsbegäran.docx", "A 36752-2024")</f>
        <v/>
      </c>
      <c r="Y679">
        <f>HYPERLINK("https://klasma.github.io/Logging_2104/tillsynsmail/A 36752-2024 tillsynsbegäran mail.docx", "A 36752-2024")</f>
        <v/>
      </c>
    </row>
    <row r="680" ht="15" customHeight="1">
      <c r="A680" t="inlineStr">
        <is>
          <t>A 36760-2024</t>
        </is>
      </c>
      <c r="B680" s="1" t="n">
        <v>45538</v>
      </c>
      <c r="C680" s="1" t="n">
        <v>45668</v>
      </c>
      <c r="D680" t="inlineStr">
        <is>
          <t>GÄVLEBORGS LÄN</t>
        </is>
      </c>
      <c r="E680" t="inlineStr">
        <is>
          <t>HOFORS</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HYPERLINK("https://klasma.github.io/Logging_2104/artfynd/A 36760-2024 artfynd.xlsx", "A 36760-2024")</f>
        <v/>
      </c>
      <c r="T680">
        <f>HYPERLINK("https://klasma.github.io/Logging_2104/kartor/A 36760-2024 karta.png", "A 36760-2024")</f>
        <v/>
      </c>
      <c r="U680">
        <f>HYPERLINK("https://klasma.github.io/Logging_2104/knärot/A 36760-2024 karta knärot.png", "A 36760-2024")</f>
        <v/>
      </c>
      <c r="V680">
        <f>HYPERLINK("https://klasma.github.io/Logging_2104/klagomål/A 36760-2024 FSC-klagomål.docx", "A 36760-2024")</f>
        <v/>
      </c>
      <c r="W680">
        <f>HYPERLINK("https://klasma.github.io/Logging_2104/klagomålsmail/A 36760-2024 FSC-klagomål mail.docx", "A 36760-2024")</f>
        <v/>
      </c>
      <c r="X680">
        <f>HYPERLINK("https://klasma.github.io/Logging_2104/tillsyn/A 36760-2024 tillsynsbegäran.docx", "A 36760-2024")</f>
        <v/>
      </c>
      <c r="Y680">
        <f>HYPERLINK("https://klasma.github.io/Logging_2104/tillsynsmail/A 36760-2024 tillsynsbegäran mail.docx", "A 36760-2024")</f>
        <v/>
      </c>
    </row>
    <row r="681" ht="15" customHeight="1">
      <c r="A681" t="inlineStr">
        <is>
          <t>A 37090-2024</t>
        </is>
      </c>
      <c r="B681" s="1" t="n">
        <v>45539</v>
      </c>
      <c r="C681" s="1" t="n">
        <v>45668</v>
      </c>
      <c r="D681" t="inlineStr">
        <is>
          <t>GÄVLEBORGS LÄN</t>
        </is>
      </c>
      <c r="E681" t="inlineStr">
        <is>
          <t>LJUSDAL</t>
        </is>
      </c>
      <c r="F681" t="inlineStr">
        <is>
          <t>Sveaskog</t>
        </is>
      </c>
      <c r="G681" t="n">
        <v>2.6</v>
      </c>
      <c r="H681" t="n">
        <v>0</v>
      </c>
      <c r="I681" t="n">
        <v>0</v>
      </c>
      <c r="J681" t="n">
        <v>1</v>
      </c>
      <c r="K681" t="n">
        <v>0</v>
      </c>
      <c r="L681" t="n">
        <v>0</v>
      </c>
      <c r="M681" t="n">
        <v>0</v>
      </c>
      <c r="N681" t="n">
        <v>0</v>
      </c>
      <c r="O681" t="n">
        <v>1</v>
      </c>
      <c r="P681" t="n">
        <v>0</v>
      </c>
      <c r="Q681" t="n">
        <v>1</v>
      </c>
      <c r="R681" s="2" t="inlineStr">
        <is>
          <t>Skrovellav</t>
        </is>
      </c>
      <c r="S681">
        <f>HYPERLINK("https://klasma.github.io/Logging_2161/artfynd/A 37090-2024 artfynd.xlsx", "A 37090-2024")</f>
        <v/>
      </c>
      <c r="T681">
        <f>HYPERLINK("https://klasma.github.io/Logging_2161/kartor/A 37090-2024 karta.png", "A 37090-2024")</f>
        <v/>
      </c>
      <c r="V681">
        <f>HYPERLINK("https://klasma.github.io/Logging_2161/klagomål/A 37090-2024 FSC-klagomål.docx", "A 37090-2024")</f>
        <v/>
      </c>
      <c r="W681">
        <f>HYPERLINK("https://klasma.github.io/Logging_2161/klagomålsmail/A 37090-2024 FSC-klagomål mail.docx", "A 37090-2024")</f>
        <v/>
      </c>
      <c r="X681">
        <f>HYPERLINK("https://klasma.github.io/Logging_2161/tillsyn/A 37090-2024 tillsynsbegäran.docx", "A 37090-2024")</f>
        <v/>
      </c>
      <c r="Y681">
        <f>HYPERLINK("https://klasma.github.io/Logging_2161/tillsynsmail/A 37090-2024 tillsynsbegäran mail.docx", "A 37090-2024")</f>
        <v/>
      </c>
    </row>
    <row r="682" ht="15" customHeight="1">
      <c r="A682" t="inlineStr">
        <is>
          <t>A 37435-2024</t>
        </is>
      </c>
      <c r="B682" s="1" t="n">
        <v>45540</v>
      </c>
      <c r="C682" s="1" t="n">
        <v>45668</v>
      </c>
      <c r="D682" t="inlineStr">
        <is>
          <t>GÄVLEBORGS LÄN</t>
        </is>
      </c>
      <c r="E682" t="inlineStr">
        <is>
          <t>LJUSDAL</t>
        </is>
      </c>
      <c r="F682" t="inlineStr">
        <is>
          <t>Sveaskog</t>
        </is>
      </c>
      <c r="G682" t="n">
        <v>11.4</v>
      </c>
      <c r="H682" t="n">
        <v>0</v>
      </c>
      <c r="I682" t="n">
        <v>0</v>
      </c>
      <c r="J682" t="n">
        <v>1</v>
      </c>
      <c r="K682" t="n">
        <v>0</v>
      </c>
      <c r="L682" t="n">
        <v>0</v>
      </c>
      <c r="M682" t="n">
        <v>0</v>
      </c>
      <c r="N682" t="n">
        <v>0</v>
      </c>
      <c r="O682" t="n">
        <v>1</v>
      </c>
      <c r="P682" t="n">
        <v>0</v>
      </c>
      <c r="Q682" t="n">
        <v>1</v>
      </c>
      <c r="R682" s="2" t="inlineStr">
        <is>
          <t>Garnlav</t>
        </is>
      </c>
      <c r="S682">
        <f>HYPERLINK("https://klasma.github.io/Logging_2161/artfynd/A 37435-2024 artfynd.xlsx", "A 37435-2024")</f>
        <v/>
      </c>
      <c r="T682">
        <f>HYPERLINK("https://klasma.github.io/Logging_2161/kartor/A 37435-2024 karta.png", "A 37435-2024")</f>
        <v/>
      </c>
      <c r="V682">
        <f>HYPERLINK("https://klasma.github.io/Logging_2161/klagomål/A 37435-2024 FSC-klagomål.docx", "A 37435-2024")</f>
        <v/>
      </c>
      <c r="W682">
        <f>HYPERLINK("https://klasma.github.io/Logging_2161/klagomålsmail/A 37435-2024 FSC-klagomål mail.docx", "A 37435-2024")</f>
        <v/>
      </c>
      <c r="X682">
        <f>HYPERLINK("https://klasma.github.io/Logging_2161/tillsyn/A 37435-2024 tillsynsbegäran.docx", "A 37435-2024")</f>
        <v/>
      </c>
      <c r="Y682">
        <f>HYPERLINK("https://klasma.github.io/Logging_2161/tillsynsmail/A 37435-2024 tillsynsbegäran mail.docx", "A 37435-2024")</f>
        <v/>
      </c>
    </row>
    <row r="683" ht="15" customHeight="1">
      <c r="A683" t="inlineStr">
        <is>
          <t>A 37525-2024</t>
        </is>
      </c>
      <c r="B683" s="1" t="n">
        <v>45541</v>
      </c>
      <c r="C683" s="1" t="n">
        <v>45668</v>
      </c>
      <c r="D683" t="inlineStr">
        <is>
          <t>GÄVLEBORGS LÄN</t>
        </is>
      </c>
      <c r="E683" t="inlineStr">
        <is>
          <t>SANDVIKEN</t>
        </is>
      </c>
      <c r="F683" t="inlineStr">
        <is>
          <t>Sveaskog</t>
        </is>
      </c>
      <c r="G683" t="n">
        <v>5.5</v>
      </c>
      <c r="H683" t="n">
        <v>1</v>
      </c>
      <c r="I683" t="n">
        <v>0</v>
      </c>
      <c r="J683" t="n">
        <v>0</v>
      </c>
      <c r="K683" t="n">
        <v>0</v>
      </c>
      <c r="L683" t="n">
        <v>0</v>
      </c>
      <c r="M683" t="n">
        <v>0</v>
      </c>
      <c r="N683" t="n">
        <v>0</v>
      </c>
      <c r="O683" t="n">
        <v>0</v>
      </c>
      <c r="P683" t="n">
        <v>0</v>
      </c>
      <c r="Q683" t="n">
        <v>1</v>
      </c>
      <c r="R683" s="2" t="inlineStr">
        <is>
          <t>Fläcknycklar</t>
        </is>
      </c>
      <c r="S683">
        <f>HYPERLINK("https://klasma.github.io/Logging_2181/artfynd/A 37525-2024 artfynd.xlsx", "A 37525-2024")</f>
        <v/>
      </c>
      <c r="T683">
        <f>HYPERLINK("https://klasma.github.io/Logging_2181/kartor/A 37525-2024 karta.png", "A 37525-2024")</f>
        <v/>
      </c>
      <c r="V683">
        <f>HYPERLINK("https://klasma.github.io/Logging_2181/klagomål/A 37525-2024 FSC-klagomål.docx", "A 37525-2024")</f>
        <v/>
      </c>
      <c r="W683">
        <f>HYPERLINK("https://klasma.github.io/Logging_2181/klagomålsmail/A 37525-2024 FSC-klagomål mail.docx", "A 37525-2024")</f>
        <v/>
      </c>
      <c r="X683">
        <f>HYPERLINK("https://klasma.github.io/Logging_2181/tillsyn/A 37525-2024 tillsynsbegäran.docx", "A 37525-2024")</f>
        <v/>
      </c>
      <c r="Y683">
        <f>HYPERLINK("https://klasma.github.io/Logging_2181/tillsynsmail/A 37525-2024 tillsynsbegäran mail.docx", "A 37525-2024")</f>
        <v/>
      </c>
    </row>
    <row r="684" ht="15" customHeight="1">
      <c r="A684" t="inlineStr">
        <is>
          <t>A 37635-2024</t>
        </is>
      </c>
      <c r="B684" s="1" t="n">
        <v>45541</v>
      </c>
      <c r="C684" s="1" t="n">
        <v>45668</v>
      </c>
      <c r="D684" t="inlineStr">
        <is>
          <t>GÄVLEBORGS LÄN</t>
        </is>
      </c>
      <c r="E684" t="inlineStr">
        <is>
          <t>SANDVIKEN</t>
        </is>
      </c>
      <c r="F684" t="inlineStr">
        <is>
          <t>Sveaskog</t>
        </is>
      </c>
      <c r="G684" t="n">
        <v>25</v>
      </c>
      <c r="H684" t="n">
        <v>1</v>
      </c>
      <c r="I684" t="n">
        <v>0</v>
      </c>
      <c r="J684" t="n">
        <v>1</v>
      </c>
      <c r="K684" t="n">
        <v>0</v>
      </c>
      <c r="L684" t="n">
        <v>0</v>
      </c>
      <c r="M684" t="n">
        <v>0</v>
      </c>
      <c r="N684" t="n">
        <v>0</v>
      </c>
      <c r="O684" t="n">
        <v>1</v>
      </c>
      <c r="P684" t="n">
        <v>0</v>
      </c>
      <c r="Q684" t="n">
        <v>1</v>
      </c>
      <c r="R684" s="2" t="inlineStr">
        <is>
          <t>Talltita</t>
        </is>
      </c>
      <c r="S684">
        <f>HYPERLINK("https://klasma.github.io/Logging_2181/artfynd/A 37635-2024 artfynd.xlsx", "A 37635-2024")</f>
        <v/>
      </c>
      <c r="T684">
        <f>HYPERLINK("https://klasma.github.io/Logging_2181/kartor/A 37635-2024 karta.png", "A 37635-2024")</f>
        <v/>
      </c>
      <c r="V684">
        <f>HYPERLINK("https://klasma.github.io/Logging_2181/klagomål/A 37635-2024 FSC-klagomål.docx", "A 37635-2024")</f>
        <v/>
      </c>
      <c r="W684">
        <f>HYPERLINK("https://klasma.github.io/Logging_2181/klagomålsmail/A 37635-2024 FSC-klagomål mail.docx", "A 37635-2024")</f>
        <v/>
      </c>
      <c r="X684">
        <f>HYPERLINK("https://klasma.github.io/Logging_2181/tillsyn/A 37635-2024 tillsynsbegäran.docx", "A 37635-2024")</f>
        <v/>
      </c>
      <c r="Y684">
        <f>HYPERLINK("https://klasma.github.io/Logging_2181/tillsynsmail/A 37635-2024 tillsynsbegäran mail.docx", "A 37635-2024")</f>
        <v/>
      </c>
      <c r="Z684">
        <f>HYPERLINK("https://klasma.github.io/Logging_2181/fåglar/A 37635-2024 prioriterade fågelarter.docx", "A 37635-2024")</f>
        <v/>
      </c>
    </row>
    <row r="685" ht="15" customHeight="1">
      <c r="A685" t="inlineStr">
        <is>
          <t>A 37776-2024</t>
        </is>
      </c>
      <c r="B685" s="1" t="n">
        <v>45542</v>
      </c>
      <c r="C685" s="1" t="n">
        <v>45668</v>
      </c>
      <c r="D685" t="inlineStr">
        <is>
          <t>GÄVLEBORGS LÄN</t>
        </is>
      </c>
      <c r="E685" t="inlineStr">
        <is>
          <t>OVANÅKER</t>
        </is>
      </c>
      <c r="F685" t="inlineStr">
        <is>
          <t>Bergvik skog väst AB</t>
        </is>
      </c>
      <c r="G685" t="n">
        <v>4.3</v>
      </c>
      <c r="H685" t="n">
        <v>0</v>
      </c>
      <c r="I685" t="n">
        <v>0</v>
      </c>
      <c r="J685" t="n">
        <v>1</v>
      </c>
      <c r="K685" t="n">
        <v>0</v>
      </c>
      <c r="L685" t="n">
        <v>0</v>
      </c>
      <c r="M685" t="n">
        <v>0</v>
      </c>
      <c r="N685" t="n">
        <v>0</v>
      </c>
      <c r="O685" t="n">
        <v>1</v>
      </c>
      <c r="P685" t="n">
        <v>0</v>
      </c>
      <c r="Q685" t="n">
        <v>1</v>
      </c>
      <c r="R685" s="2" t="inlineStr">
        <is>
          <t>Motaggsvamp</t>
        </is>
      </c>
      <c r="S685">
        <f>HYPERLINK("https://klasma.github.io/Logging_2121/artfynd/A 37776-2024 artfynd.xlsx", "A 37776-2024")</f>
        <v/>
      </c>
      <c r="T685">
        <f>HYPERLINK("https://klasma.github.io/Logging_2121/kartor/A 37776-2024 karta.png", "A 37776-2024")</f>
        <v/>
      </c>
      <c r="U685">
        <f>HYPERLINK("https://klasma.github.io/Logging_2121/knärot/A 37776-2024 karta knärot.png", "A 37776-2024")</f>
        <v/>
      </c>
      <c r="V685">
        <f>HYPERLINK("https://klasma.github.io/Logging_2121/klagomål/A 37776-2024 FSC-klagomål.docx", "A 37776-2024")</f>
        <v/>
      </c>
      <c r="W685">
        <f>HYPERLINK("https://klasma.github.io/Logging_2121/klagomålsmail/A 37776-2024 FSC-klagomål mail.docx", "A 37776-2024")</f>
        <v/>
      </c>
      <c r="X685">
        <f>HYPERLINK("https://klasma.github.io/Logging_2121/tillsyn/A 37776-2024 tillsynsbegäran.docx", "A 37776-2024")</f>
        <v/>
      </c>
      <c r="Y685">
        <f>HYPERLINK("https://klasma.github.io/Logging_2121/tillsynsmail/A 37776-2024 tillsynsbegäran mail.docx", "A 37776-2024")</f>
        <v/>
      </c>
    </row>
    <row r="686" ht="15" customHeight="1">
      <c r="A686" t="inlineStr">
        <is>
          <t>A 38152-2024</t>
        </is>
      </c>
      <c r="B686" s="1" t="n">
        <v>45545</v>
      </c>
      <c r="C686" s="1" t="n">
        <v>45668</v>
      </c>
      <c r="D686" t="inlineStr">
        <is>
          <t>GÄVLEBORGS LÄN</t>
        </is>
      </c>
      <c r="E686" t="inlineStr">
        <is>
          <t>LJUSDAL</t>
        </is>
      </c>
      <c r="F686" t="inlineStr">
        <is>
          <t>Sveaskog</t>
        </is>
      </c>
      <c r="G686" t="n">
        <v>3.6</v>
      </c>
      <c r="H686" t="n">
        <v>1</v>
      </c>
      <c r="I686" t="n">
        <v>0</v>
      </c>
      <c r="J686" t="n">
        <v>0</v>
      </c>
      <c r="K686" t="n">
        <v>1</v>
      </c>
      <c r="L686" t="n">
        <v>0</v>
      </c>
      <c r="M686" t="n">
        <v>0</v>
      </c>
      <c r="N686" t="n">
        <v>0</v>
      </c>
      <c r="O686" t="n">
        <v>1</v>
      </c>
      <c r="P686" t="n">
        <v>1</v>
      </c>
      <c r="Q686" t="n">
        <v>1</v>
      </c>
      <c r="R686" s="2" t="inlineStr">
        <is>
          <t>Knärot</t>
        </is>
      </c>
      <c r="S686">
        <f>HYPERLINK("https://klasma.github.io/Logging_2161/artfynd/A 38152-2024 artfynd.xlsx", "A 38152-2024")</f>
        <v/>
      </c>
      <c r="T686">
        <f>HYPERLINK("https://klasma.github.io/Logging_2161/kartor/A 38152-2024 karta.png", "A 38152-2024")</f>
        <v/>
      </c>
      <c r="U686">
        <f>HYPERLINK("https://klasma.github.io/Logging_2161/knärot/A 38152-2024 karta knärot.png", "A 38152-2024")</f>
        <v/>
      </c>
      <c r="V686">
        <f>HYPERLINK("https://klasma.github.io/Logging_2161/klagomål/A 38152-2024 FSC-klagomål.docx", "A 38152-2024")</f>
        <v/>
      </c>
      <c r="W686">
        <f>HYPERLINK("https://klasma.github.io/Logging_2161/klagomålsmail/A 38152-2024 FSC-klagomål mail.docx", "A 38152-2024")</f>
        <v/>
      </c>
      <c r="X686">
        <f>HYPERLINK("https://klasma.github.io/Logging_2161/tillsyn/A 38152-2024 tillsynsbegäran.docx", "A 38152-2024")</f>
        <v/>
      </c>
      <c r="Y686">
        <f>HYPERLINK("https://klasma.github.io/Logging_2161/tillsynsmail/A 38152-2024 tillsynsbegäran mail.docx", "A 38152-2024")</f>
        <v/>
      </c>
    </row>
    <row r="687" ht="15" customHeight="1">
      <c r="A687" t="inlineStr">
        <is>
          <t>A 38960-2024</t>
        </is>
      </c>
      <c r="B687" s="1" t="n">
        <v>45548</v>
      </c>
      <c r="C687" s="1" t="n">
        <v>45668</v>
      </c>
      <c r="D687" t="inlineStr">
        <is>
          <t>GÄVLEBORGS LÄN</t>
        </is>
      </c>
      <c r="E687" t="inlineStr">
        <is>
          <t>SANDVIKEN</t>
        </is>
      </c>
      <c r="F687" t="inlineStr">
        <is>
          <t>Sveaskog</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HYPERLINK("https://klasma.github.io/Logging_2181/artfynd/A 38960-2024 artfynd.xlsx", "A 38960-2024")</f>
        <v/>
      </c>
      <c r="T687">
        <f>HYPERLINK("https://klasma.github.io/Logging_2181/kartor/A 38960-2024 karta.png", "A 38960-2024")</f>
        <v/>
      </c>
      <c r="U687">
        <f>HYPERLINK("https://klasma.github.io/Logging_2181/knärot/A 38960-2024 karta knärot.png", "A 38960-2024")</f>
        <v/>
      </c>
      <c r="V687">
        <f>HYPERLINK("https://klasma.github.io/Logging_2181/klagomål/A 38960-2024 FSC-klagomål.docx", "A 38960-2024")</f>
        <v/>
      </c>
      <c r="W687">
        <f>HYPERLINK("https://klasma.github.io/Logging_2181/klagomålsmail/A 38960-2024 FSC-klagomål mail.docx", "A 38960-2024")</f>
        <v/>
      </c>
      <c r="X687">
        <f>HYPERLINK("https://klasma.github.io/Logging_2181/tillsyn/A 38960-2024 tillsynsbegäran.docx", "A 38960-2024")</f>
        <v/>
      </c>
      <c r="Y687">
        <f>HYPERLINK("https://klasma.github.io/Logging_2181/tillsynsmail/A 38960-2024 tillsynsbegäran mail.docx", "A 38960-2024")</f>
        <v/>
      </c>
    </row>
    <row r="688" ht="15" customHeight="1">
      <c r="A688" t="inlineStr">
        <is>
          <t>A 38971-2024</t>
        </is>
      </c>
      <c r="B688" s="1" t="n">
        <v>45548</v>
      </c>
      <c r="C688" s="1" t="n">
        <v>45668</v>
      </c>
      <c r="D688" t="inlineStr">
        <is>
          <t>GÄVLEBORGS LÄN</t>
        </is>
      </c>
      <c r="E688" t="inlineStr">
        <is>
          <t>BOLLNÄS</t>
        </is>
      </c>
      <c r="F688" t="inlineStr">
        <is>
          <t>Sveaskog</t>
        </is>
      </c>
      <c r="G688" t="n">
        <v>5.7</v>
      </c>
      <c r="H688" t="n">
        <v>1</v>
      </c>
      <c r="I688" t="n">
        <v>0</v>
      </c>
      <c r="J688" t="n">
        <v>0</v>
      </c>
      <c r="K688" t="n">
        <v>0</v>
      </c>
      <c r="L688" t="n">
        <v>0</v>
      </c>
      <c r="M688" t="n">
        <v>0</v>
      </c>
      <c r="N688" t="n">
        <v>0</v>
      </c>
      <c r="O688" t="n">
        <v>0</v>
      </c>
      <c r="P688" t="n">
        <v>0</v>
      </c>
      <c r="Q688" t="n">
        <v>1</v>
      </c>
      <c r="R688" s="2" t="inlineStr">
        <is>
          <t>Lavskrika</t>
        </is>
      </c>
      <c r="S688">
        <f>HYPERLINK("https://klasma.github.io/Logging_2183/artfynd/A 38971-2024 artfynd.xlsx", "A 38971-2024")</f>
        <v/>
      </c>
      <c r="T688">
        <f>HYPERLINK("https://klasma.github.io/Logging_2183/kartor/A 38971-2024 karta.png", "A 38971-2024")</f>
        <v/>
      </c>
      <c r="V688">
        <f>HYPERLINK("https://klasma.github.io/Logging_2183/klagomål/A 38971-2024 FSC-klagomål.docx", "A 38971-2024")</f>
        <v/>
      </c>
      <c r="W688">
        <f>HYPERLINK("https://klasma.github.io/Logging_2183/klagomålsmail/A 38971-2024 FSC-klagomål mail.docx", "A 38971-2024")</f>
        <v/>
      </c>
      <c r="X688">
        <f>HYPERLINK("https://klasma.github.io/Logging_2183/tillsyn/A 38971-2024 tillsynsbegäran.docx", "A 38971-2024")</f>
        <v/>
      </c>
      <c r="Y688">
        <f>HYPERLINK("https://klasma.github.io/Logging_2183/tillsynsmail/A 38971-2024 tillsynsbegäran mail.docx", "A 38971-2024")</f>
        <v/>
      </c>
      <c r="Z688">
        <f>HYPERLINK("https://klasma.github.io/Logging_2183/fåglar/A 38971-2024 prioriterade fågelarter.docx", "A 38971-2024")</f>
        <v/>
      </c>
    </row>
    <row r="689" ht="15" customHeight="1">
      <c r="A689" t="inlineStr">
        <is>
          <t>A 39024-2024</t>
        </is>
      </c>
      <c r="B689" s="1" t="n">
        <v>45548</v>
      </c>
      <c r="C689" s="1" t="n">
        <v>45668</v>
      </c>
      <c r="D689" t="inlineStr">
        <is>
          <t>GÄVLEBORGS LÄN</t>
        </is>
      </c>
      <c r="E689" t="inlineStr">
        <is>
          <t>LJUSDAL</t>
        </is>
      </c>
      <c r="F689" t="inlineStr">
        <is>
          <t>Sveaskog</t>
        </is>
      </c>
      <c r="G689" t="n">
        <v>17</v>
      </c>
      <c r="H689" t="n">
        <v>0</v>
      </c>
      <c r="I689" t="n">
        <v>0</v>
      </c>
      <c r="J689" t="n">
        <v>1</v>
      </c>
      <c r="K689" t="n">
        <v>0</v>
      </c>
      <c r="L689" t="n">
        <v>0</v>
      </c>
      <c r="M689" t="n">
        <v>0</v>
      </c>
      <c r="N689" t="n">
        <v>0</v>
      </c>
      <c r="O689" t="n">
        <v>1</v>
      </c>
      <c r="P689" t="n">
        <v>0</v>
      </c>
      <c r="Q689" t="n">
        <v>1</v>
      </c>
      <c r="R689" s="2" t="inlineStr">
        <is>
          <t>Lunglav</t>
        </is>
      </c>
      <c r="S689">
        <f>HYPERLINK("https://klasma.github.io/Logging_2161/artfynd/A 39024-2024 artfynd.xlsx", "A 39024-2024")</f>
        <v/>
      </c>
      <c r="T689">
        <f>HYPERLINK("https://klasma.github.io/Logging_2161/kartor/A 39024-2024 karta.png", "A 39024-2024")</f>
        <v/>
      </c>
      <c r="V689">
        <f>HYPERLINK("https://klasma.github.io/Logging_2161/klagomål/A 39024-2024 FSC-klagomål.docx", "A 39024-2024")</f>
        <v/>
      </c>
      <c r="W689">
        <f>HYPERLINK("https://klasma.github.io/Logging_2161/klagomålsmail/A 39024-2024 FSC-klagomål mail.docx", "A 39024-2024")</f>
        <v/>
      </c>
      <c r="X689">
        <f>HYPERLINK("https://klasma.github.io/Logging_2161/tillsyn/A 39024-2024 tillsynsbegäran.docx", "A 39024-2024")</f>
        <v/>
      </c>
      <c r="Y689">
        <f>HYPERLINK("https://klasma.github.io/Logging_2161/tillsynsmail/A 39024-2024 tillsynsbegäran mail.docx", "A 39024-2024")</f>
        <v/>
      </c>
    </row>
    <row r="690" ht="15" customHeight="1">
      <c r="A690" t="inlineStr">
        <is>
          <t>A 39460-2024</t>
        </is>
      </c>
      <c r="B690" s="1" t="n">
        <v>45551</v>
      </c>
      <c r="C690" s="1" t="n">
        <v>45668</v>
      </c>
      <c r="D690" t="inlineStr">
        <is>
          <t>GÄVLEBORGS LÄN</t>
        </is>
      </c>
      <c r="E690" t="inlineStr">
        <is>
          <t>GÄVLE</t>
        </is>
      </c>
      <c r="F690" t="inlineStr">
        <is>
          <t>Bergvik skog väst AB</t>
        </is>
      </c>
      <c r="G690" t="n">
        <v>5.1</v>
      </c>
      <c r="H690" t="n">
        <v>1</v>
      </c>
      <c r="I690" t="n">
        <v>0</v>
      </c>
      <c r="J690" t="n">
        <v>0</v>
      </c>
      <c r="K690" t="n">
        <v>0</v>
      </c>
      <c r="L690" t="n">
        <v>0</v>
      </c>
      <c r="M690" t="n">
        <v>0</v>
      </c>
      <c r="N690" t="n">
        <v>0</v>
      </c>
      <c r="O690" t="n">
        <v>0</v>
      </c>
      <c r="P690" t="n">
        <v>0</v>
      </c>
      <c r="Q690" t="n">
        <v>1</v>
      </c>
      <c r="R690" s="2" t="inlineStr">
        <is>
          <t>Tjäder</t>
        </is>
      </c>
      <c r="S690">
        <f>HYPERLINK("https://klasma.github.io/Logging_2180/artfynd/A 39460-2024 artfynd.xlsx", "A 39460-2024")</f>
        <v/>
      </c>
      <c r="T690">
        <f>HYPERLINK("https://klasma.github.io/Logging_2180/kartor/A 39460-2024 karta.png", "A 39460-2024")</f>
        <v/>
      </c>
      <c r="V690">
        <f>HYPERLINK("https://klasma.github.io/Logging_2180/klagomål/A 39460-2024 FSC-klagomål.docx", "A 39460-2024")</f>
        <v/>
      </c>
      <c r="W690">
        <f>HYPERLINK("https://klasma.github.io/Logging_2180/klagomålsmail/A 39460-2024 FSC-klagomål mail.docx", "A 39460-2024")</f>
        <v/>
      </c>
      <c r="X690">
        <f>HYPERLINK("https://klasma.github.io/Logging_2180/tillsyn/A 39460-2024 tillsynsbegäran.docx", "A 39460-2024")</f>
        <v/>
      </c>
      <c r="Y690">
        <f>HYPERLINK("https://klasma.github.io/Logging_2180/tillsynsmail/A 39460-2024 tillsynsbegäran mail.docx", "A 39460-2024")</f>
        <v/>
      </c>
      <c r="Z690">
        <f>HYPERLINK("https://klasma.github.io/Logging_2180/fåglar/A 39460-2024 prioriterade fågelarter.docx", "A 39460-2024")</f>
        <v/>
      </c>
    </row>
    <row r="691" ht="15" customHeight="1">
      <c r="A691" t="inlineStr">
        <is>
          <t>A 39793-2024</t>
        </is>
      </c>
      <c r="B691" s="1" t="n">
        <v>45553</v>
      </c>
      <c r="C691" s="1" t="n">
        <v>45668</v>
      </c>
      <c r="D691" t="inlineStr">
        <is>
          <t>GÄVLEBORGS LÄN</t>
        </is>
      </c>
      <c r="E691" t="inlineStr">
        <is>
          <t>SANDVIKEN</t>
        </is>
      </c>
      <c r="F691" t="inlineStr">
        <is>
          <t>Sveaskog</t>
        </is>
      </c>
      <c r="G691" t="n">
        <v>1.3</v>
      </c>
      <c r="H691" t="n">
        <v>1</v>
      </c>
      <c r="I691" t="n">
        <v>1</v>
      </c>
      <c r="J691" t="n">
        <v>0</v>
      </c>
      <c r="K691" t="n">
        <v>0</v>
      </c>
      <c r="L691" t="n">
        <v>0</v>
      </c>
      <c r="M691" t="n">
        <v>0</v>
      </c>
      <c r="N691" t="n">
        <v>0</v>
      </c>
      <c r="O691" t="n">
        <v>0</v>
      </c>
      <c r="P691" t="n">
        <v>0</v>
      </c>
      <c r="Q691" t="n">
        <v>1</v>
      </c>
      <c r="R691" s="2" t="inlineStr">
        <is>
          <t>Tvåblad</t>
        </is>
      </c>
      <c r="S691">
        <f>HYPERLINK("https://klasma.github.io/Logging_2181/artfynd/A 39793-2024 artfynd.xlsx", "A 39793-2024")</f>
        <v/>
      </c>
      <c r="T691">
        <f>HYPERLINK("https://klasma.github.io/Logging_2181/kartor/A 39793-2024 karta.png", "A 39793-2024")</f>
        <v/>
      </c>
      <c r="V691">
        <f>HYPERLINK("https://klasma.github.io/Logging_2181/klagomål/A 39793-2024 FSC-klagomål.docx", "A 39793-2024")</f>
        <v/>
      </c>
      <c r="W691">
        <f>HYPERLINK("https://klasma.github.io/Logging_2181/klagomålsmail/A 39793-2024 FSC-klagomål mail.docx", "A 39793-2024")</f>
        <v/>
      </c>
      <c r="X691">
        <f>HYPERLINK("https://klasma.github.io/Logging_2181/tillsyn/A 39793-2024 tillsynsbegäran.docx", "A 39793-2024")</f>
        <v/>
      </c>
      <c r="Y691">
        <f>HYPERLINK("https://klasma.github.io/Logging_2181/tillsynsmail/A 39793-2024 tillsynsbegäran mail.docx", "A 39793-2024")</f>
        <v/>
      </c>
    </row>
    <row r="692" ht="15" customHeight="1">
      <c r="A692" t="inlineStr">
        <is>
          <t>A 39838-2024</t>
        </is>
      </c>
      <c r="B692" s="1" t="n">
        <v>45553</v>
      </c>
      <c r="C692" s="1" t="n">
        <v>45668</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39838-2024 artfynd.xlsx", "A 39838-2024")</f>
        <v/>
      </c>
      <c r="T692">
        <f>HYPERLINK("https://klasma.github.io/Logging_2161/kartor/A 39838-2024 karta.png", "A 39838-2024")</f>
        <v/>
      </c>
      <c r="U692">
        <f>HYPERLINK("https://klasma.github.io/Logging_2161/knärot/A 39838-2024 karta knärot.png", "A 39838-2024")</f>
        <v/>
      </c>
      <c r="V692">
        <f>HYPERLINK("https://klasma.github.io/Logging_2161/klagomål/A 39838-2024 FSC-klagomål.docx", "A 39838-2024")</f>
        <v/>
      </c>
      <c r="W692">
        <f>HYPERLINK("https://klasma.github.io/Logging_2161/klagomålsmail/A 39838-2024 FSC-klagomål mail.docx", "A 39838-2024")</f>
        <v/>
      </c>
      <c r="X692">
        <f>HYPERLINK("https://klasma.github.io/Logging_2161/tillsyn/A 39838-2024 tillsynsbegäran.docx", "A 39838-2024")</f>
        <v/>
      </c>
      <c r="Y692">
        <f>HYPERLINK("https://klasma.github.io/Logging_2161/tillsynsmail/A 39838-2024 tillsynsbegäran mail.docx", "A 39838-2024")</f>
        <v/>
      </c>
    </row>
    <row r="693" ht="15" customHeight="1">
      <c r="A693" t="inlineStr">
        <is>
          <t>A 40904-2024</t>
        </is>
      </c>
      <c r="B693" s="1" t="n">
        <v>45558</v>
      </c>
      <c r="C693" s="1" t="n">
        <v>45668</v>
      </c>
      <c r="D693" t="inlineStr">
        <is>
          <t>GÄVLEBORGS LÄN</t>
        </is>
      </c>
      <c r="E693" t="inlineStr">
        <is>
          <t>LJUSDAL</t>
        </is>
      </c>
      <c r="G693" t="n">
        <v>10.9</v>
      </c>
      <c r="H693" t="n">
        <v>1</v>
      </c>
      <c r="I693" t="n">
        <v>0</v>
      </c>
      <c r="J693" t="n">
        <v>0</v>
      </c>
      <c r="K693" t="n">
        <v>1</v>
      </c>
      <c r="L693" t="n">
        <v>0</v>
      </c>
      <c r="M693" t="n">
        <v>0</v>
      </c>
      <c r="N693" t="n">
        <v>0</v>
      </c>
      <c r="O693" t="n">
        <v>1</v>
      </c>
      <c r="P693" t="n">
        <v>1</v>
      </c>
      <c r="Q693" t="n">
        <v>1</v>
      </c>
      <c r="R693" s="2" t="inlineStr">
        <is>
          <t>Knärot</t>
        </is>
      </c>
      <c r="S693">
        <f>HYPERLINK("https://klasma.github.io/Logging_2161/artfynd/A 40904-2024 artfynd.xlsx", "A 40904-2024")</f>
        <v/>
      </c>
      <c r="T693">
        <f>HYPERLINK("https://klasma.github.io/Logging_2161/kartor/A 40904-2024 karta.png", "A 40904-2024")</f>
        <v/>
      </c>
      <c r="U693">
        <f>HYPERLINK("https://klasma.github.io/Logging_2161/knärot/A 40904-2024 karta knärot.png", "A 40904-2024")</f>
        <v/>
      </c>
      <c r="V693">
        <f>HYPERLINK("https://klasma.github.io/Logging_2161/klagomål/A 40904-2024 FSC-klagomål.docx", "A 40904-2024")</f>
        <v/>
      </c>
      <c r="W693">
        <f>HYPERLINK("https://klasma.github.io/Logging_2161/klagomålsmail/A 40904-2024 FSC-klagomål mail.docx", "A 40904-2024")</f>
        <v/>
      </c>
      <c r="X693">
        <f>HYPERLINK("https://klasma.github.io/Logging_2161/tillsyn/A 40904-2024 tillsynsbegäran.docx", "A 40904-2024")</f>
        <v/>
      </c>
      <c r="Y693">
        <f>HYPERLINK("https://klasma.github.io/Logging_2161/tillsynsmail/A 40904-2024 tillsynsbegäran mail.docx", "A 40904-2024")</f>
        <v/>
      </c>
    </row>
    <row r="694" ht="15" customHeight="1">
      <c r="A694" t="inlineStr">
        <is>
          <t>A 41494-2024</t>
        </is>
      </c>
      <c r="B694" s="1" t="n">
        <v>45560</v>
      </c>
      <c r="C694" s="1" t="n">
        <v>45668</v>
      </c>
      <c r="D694" t="inlineStr">
        <is>
          <t>GÄVLEBORGS LÄN</t>
        </is>
      </c>
      <c r="E694" t="inlineStr">
        <is>
          <t>HUDIKSVALL</t>
        </is>
      </c>
      <c r="F694" t="inlineStr">
        <is>
          <t>Holmen skog AB</t>
        </is>
      </c>
      <c r="G694" t="n">
        <v>20.9</v>
      </c>
      <c r="H694" t="n">
        <v>0</v>
      </c>
      <c r="I694" t="n">
        <v>0</v>
      </c>
      <c r="J694" t="n">
        <v>1</v>
      </c>
      <c r="K694" t="n">
        <v>0</v>
      </c>
      <c r="L694" t="n">
        <v>0</v>
      </c>
      <c r="M694" t="n">
        <v>0</v>
      </c>
      <c r="N694" t="n">
        <v>0</v>
      </c>
      <c r="O694" t="n">
        <v>1</v>
      </c>
      <c r="P694" t="n">
        <v>0</v>
      </c>
      <c r="Q694" t="n">
        <v>1</v>
      </c>
      <c r="R694" s="2" t="inlineStr">
        <is>
          <t>Lunglav</t>
        </is>
      </c>
      <c r="S694">
        <f>HYPERLINK("https://klasma.github.io/Logging_2184/artfynd/A 41494-2024 artfynd.xlsx", "A 41494-2024")</f>
        <v/>
      </c>
      <c r="T694">
        <f>HYPERLINK("https://klasma.github.io/Logging_2184/kartor/A 41494-2024 karta.png", "A 41494-2024")</f>
        <v/>
      </c>
      <c r="V694">
        <f>HYPERLINK("https://klasma.github.io/Logging_2184/klagomål/A 41494-2024 FSC-klagomål.docx", "A 41494-2024")</f>
        <v/>
      </c>
      <c r="W694">
        <f>HYPERLINK("https://klasma.github.io/Logging_2184/klagomålsmail/A 41494-2024 FSC-klagomål mail.docx", "A 41494-2024")</f>
        <v/>
      </c>
      <c r="X694">
        <f>HYPERLINK("https://klasma.github.io/Logging_2184/tillsyn/A 41494-2024 tillsynsbegäran.docx", "A 41494-2024")</f>
        <v/>
      </c>
      <c r="Y694">
        <f>HYPERLINK("https://klasma.github.io/Logging_2184/tillsynsmail/A 41494-2024 tillsynsbegäran mail.docx", "A 41494-2024")</f>
        <v/>
      </c>
    </row>
    <row r="695" ht="15" customHeight="1">
      <c r="A695" t="inlineStr">
        <is>
          <t>A 41388-2024</t>
        </is>
      </c>
      <c r="B695" s="1" t="n">
        <v>45560</v>
      </c>
      <c r="C695" s="1" t="n">
        <v>45668</v>
      </c>
      <c r="D695" t="inlineStr">
        <is>
          <t>GÄVLEBORGS LÄN</t>
        </is>
      </c>
      <c r="E695" t="inlineStr">
        <is>
          <t>LJUSDAL</t>
        </is>
      </c>
      <c r="F695" t="inlineStr">
        <is>
          <t>Holmen skog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HYPERLINK("https://klasma.github.io/Logging_2161/artfynd/A 41388-2024 artfynd.xlsx", "A 41388-2024")</f>
        <v/>
      </c>
      <c r="T695">
        <f>HYPERLINK("https://klasma.github.io/Logging_2161/kartor/A 41388-2024 karta.png", "A 41388-2024")</f>
        <v/>
      </c>
      <c r="V695">
        <f>HYPERLINK("https://klasma.github.io/Logging_2161/klagomål/A 41388-2024 FSC-klagomål.docx", "A 41388-2024")</f>
        <v/>
      </c>
      <c r="W695">
        <f>HYPERLINK("https://klasma.github.io/Logging_2161/klagomålsmail/A 41388-2024 FSC-klagomål mail.docx", "A 41388-2024")</f>
        <v/>
      </c>
      <c r="X695">
        <f>HYPERLINK("https://klasma.github.io/Logging_2161/tillsyn/A 41388-2024 tillsynsbegäran.docx", "A 41388-2024")</f>
        <v/>
      </c>
      <c r="Y695">
        <f>HYPERLINK("https://klasma.github.io/Logging_2161/tillsynsmail/A 41388-2024 tillsynsbegäran mail.docx", "A 41388-2024")</f>
        <v/>
      </c>
    </row>
    <row r="696" ht="15" customHeight="1">
      <c r="A696" t="inlineStr">
        <is>
          <t>A 44434-2024</t>
        </is>
      </c>
      <c r="B696" s="1" t="n">
        <v>45574</v>
      </c>
      <c r="C696" s="1" t="n">
        <v>45668</v>
      </c>
      <c r="D696" t="inlineStr">
        <is>
          <t>GÄVLEBORGS LÄN</t>
        </is>
      </c>
      <c r="E696" t="inlineStr">
        <is>
          <t>GÄVLE</t>
        </is>
      </c>
      <c r="G696" t="n">
        <v>6</v>
      </c>
      <c r="H696" t="n">
        <v>1</v>
      </c>
      <c r="I696" t="n">
        <v>0</v>
      </c>
      <c r="J696" t="n">
        <v>0</v>
      </c>
      <c r="K696" t="n">
        <v>0</v>
      </c>
      <c r="L696" t="n">
        <v>0</v>
      </c>
      <c r="M696" t="n">
        <v>0</v>
      </c>
      <c r="N696" t="n">
        <v>0</v>
      </c>
      <c r="O696" t="n">
        <v>0</v>
      </c>
      <c r="P696" t="n">
        <v>0</v>
      </c>
      <c r="Q696" t="n">
        <v>1</v>
      </c>
      <c r="R696" s="2" t="inlineStr">
        <is>
          <t>Fläcknycklar</t>
        </is>
      </c>
      <c r="S696">
        <f>HYPERLINK("https://klasma.github.io/Logging_2180/artfynd/A 44434-2024 artfynd.xlsx", "A 44434-2024")</f>
        <v/>
      </c>
      <c r="T696">
        <f>HYPERLINK("https://klasma.github.io/Logging_2180/kartor/A 44434-2024 karta.png", "A 44434-2024")</f>
        <v/>
      </c>
      <c r="V696">
        <f>HYPERLINK("https://klasma.github.io/Logging_2180/klagomål/A 44434-2024 FSC-klagomål.docx", "A 44434-2024")</f>
        <v/>
      </c>
      <c r="W696">
        <f>HYPERLINK("https://klasma.github.io/Logging_2180/klagomålsmail/A 44434-2024 FSC-klagomål mail.docx", "A 44434-2024")</f>
        <v/>
      </c>
      <c r="X696">
        <f>HYPERLINK("https://klasma.github.io/Logging_2180/tillsyn/A 44434-2024 tillsynsbegäran.docx", "A 44434-2024")</f>
        <v/>
      </c>
      <c r="Y696">
        <f>HYPERLINK("https://klasma.github.io/Logging_2180/tillsynsmail/A 44434-2024 tillsynsbegäran mail.docx", "A 44434-2024")</f>
        <v/>
      </c>
    </row>
    <row r="697" ht="15" customHeight="1">
      <c r="A697" t="inlineStr">
        <is>
          <t>A 46614-2024</t>
        </is>
      </c>
      <c r="B697" s="1" t="n">
        <v>45583</v>
      </c>
      <c r="C697" s="1" t="n">
        <v>45668</v>
      </c>
      <c r="D697" t="inlineStr">
        <is>
          <t>GÄVLEBORGS LÄN</t>
        </is>
      </c>
      <c r="E697" t="inlineStr">
        <is>
          <t>HUDIKSVALL</t>
        </is>
      </c>
      <c r="G697" t="n">
        <v>2</v>
      </c>
      <c r="H697" t="n">
        <v>0</v>
      </c>
      <c r="I697" t="n">
        <v>0</v>
      </c>
      <c r="J697" t="n">
        <v>1</v>
      </c>
      <c r="K697" t="n">
        <v>0</v>
      </c>
      <c r="L697" t="n">
        <v>0</v>
      </c>
      <c r="M697" t="n">
        <v>0</v>
      </c>
      <c r="N697" t="n">
        <v>0</v>
      </c>
      <c r="O697" t="n">
        <v>1</v>
      </c>
      <c r="P697" t="n">
        <v>0</v>
      </c>
      <c r="Q697" t="n">
        <v>1</v>
      </c>
      <c r="R697" s="2" t="inlineStr">
        <is>
          <t>Orange taggsvamp</t>
        </is>
      </c>
      <c r="S697">
        <f>HYPERLINK("https://klasma.github.io/Logging_2184/artfynd/A 46614-2024 artfynd.xlsx", "A 46614-2024")</f>
        <v/>
      </c>
      <c r="T697">
        <f>HYPERLINK("https://klasma.github.io/Logging_2184/kartor/A 46614-2024 karta.png", "A 46614-2024")</f>
        <v/>
      </c>
      <c r="V697">
        <f>HYPERLINK("https://klasma.github.io/Logging_2184/klagomål/A 46614-2024 FSC-klagomål.docx", "A 46614-2024")</f>
        <v/>
      </c>
      <c r="W697">
        <f>HYPERLINK("https://klasma.github.io/Logging_2184/klagomålsmail/A 46614-2024 FSC-klagomål mail.docx", "A 46614-2024")</f>
        <v/>
      </c>
      <c r="X697">
        <f>HYPERLINK("https://klasma.github.io/Logging_2184/tillsyn/A 46614-2024 tillsynsbegäran.docx", "A 46614-2024")</f>
        <v/>
      </c>
      <c r="Y697">
        <f>HYPERLINK("https://klasma.github.io/Logging_2184/tillsynsmail/A 46614-2024 tillsynsbegäran mail.docx", "A 46614-2024")</f>
        <v/>
      </c>
    </row>
    <row r="698" ht="15" customHeight="1">
      <c r="A698" t="inlineStr">
        <is>
          <t>A 47219-2024</t>
        </is>
      </c>
      <c r="B698" s="1" t="n">
        <v>45586</v>
      </c>
      <c r="C698" s="1" t="n">
        <v>45668</v>
      </c>
      <c r="D698" t="inlineStr">
        <is>
          <t>GÄVLEBORGS LÄN</t>
        </is>
      </c>
      <c r="E698" t="inlineStr">
        <is>
          <t>HOFORS</t>
        </is>
      </c>
      <c r="F698" t="inlineStr">
        <is>
          <t>Sveaskog</t>
        </is>
      </c>
      <c r="G698" t="n">
        <v>8.300000000000001</v>
      </c>
      <c r="H698" t="n">
        <v>0</v>
      </c>
      <c r="I698" t="n">
        <v>0</v>
      </c>
      <c r="J698" t="n">
        <v>1</v>
      </c>
      <c r="K698" t="n">
        <v>0</v>
      </c>
      <c r="L698" t="n">
        <v>0</v>
      </c>
      <c r="M698" t="n">
        <v>0</v>
      </c>
      <c r="N698" t="n">
        <v>0</v>
      </c>
      <c r="O698" t="n">
        <v>1</v>
      </c>
      <c r="P698" t="n">
        <v>0</v>
      </c>
      <c r="Q698" t="n">
        <v>1</v>
      </c>
      <c r="R698" s="2" t="inlineStr">
        <is>
          <t>Motaggsvamp</t>
        </is>
      </c>
      <c r="S698">
        <f>HYPERLINK("https://klasma.github.io/Logging_2104/artfynd/A 47219-2024 artfynd.xlsx", "A 47219-2024")</f>
        <v/>
      </c>
      <c r="T698">
        <f>HYPERLINK("https://klasma.github.io/Logging_2104/kartor/A 47219-2024 karta.png", "A 47219-2024")</f>
        <v/>
      </c>
      <c r="V698">
        <f>HYPERLINK("https://klasma.github.io/Logging_2104/klagomål/A 47219-2024 FSC-klagomål.docx", "A 47219-2024")</f>
        <v/>
      </c>
      <c r="W698">
        <f>HYPERLINK("https://klasma.github.io/Logging_2104/klagomålsmail/A 47219-2024 FSC-klagomål mail.docx", "A 47219-2024")</f>
        <v/>
      </c>
      <c r="X698">
        <f>HYPERLINK("https://klasma.github.io/Logging_2104/tillsyn/A 47219-2024 tillsynsbegäran.docx", "A 47219-2024")</f>
        <v/>
      </c>
      <c r="Y698">
        <f>HYPERLINK("https://klasma.github.io/Logging_2104/tillsynsmail/A 47219-2024 tillsynsbegäran mail.docx", "A 47219-2024")</f>
        <v/>
      </c>
    </row>
    <row r="699" ht="15" customHeight="1">
      <c r="A699" t="inlineStr">
        <is>
          <t>A 47355-2024</t>
        </is>
      </c>
      <c r="B699" s="1" t="n">
        <v>45587</v>
      </c>
      <c r="C699" s="1" t="n">
        <v>45668</v>
      </c>
      <c r="D699" t="inlineStr">
        <is>
          <t>GÄVLEBORGS LÄN</t>
        </is>
      </c>
      <c r="E699" t="inlineStr">
        <is>
          <t>NORDANSTIG</t>
        </is>
      </c>
      <c r="G699" t="n">
        <v>2.4</v>
      </c>
      <c r="H699" t="n">
        <v>1</v>
      </c>
      <c r="I699" t="n">
        <v>0</v>
      </c>
      <c r="J699" t="n">
        <v>0</v>
      </c>
      <c r="K699" t="n">
        <v>0</v>
      </c>
      <c r="L699" t="n">
        <v>0</v>
      </c>
      <c r="M699" t="n">
        <v>0</v>
      </c>
      <c r="N699" t="n">
        <v>0</v>
      </c>
      <c r="O699" t="n">
        <v>0</v>
      </c>
      <c r="P699" t="n">
        <v>0</v>
      </c>
      <c r="Q699" t="n">
        <v>1</v>
      </c>
      <c r="R699" s="2" t="inlineStr">
        <is>
          <t>Revlummer</t>
        </is>
      </c>
      <c r="S699">
        <f>HYPERLINK("https://klasma.github.io/Logging_2132/artfynd/A 47355-2024 artfynd.xlsx", "A 47355-2024")</f>
        <v/>
      </c>
      <c r="T699">
        <f>HYPERLINK("https://klasma.github.io/Logging_2132/kartor/A 47355-2024 karta.png", "A 47355-2024")</f>
        <v/>
      </c>
      <c r="V699">
        <f>HYPERLINK("https://klasma.github.io/Logging_2132/klagomål/A 47355-2024 FSC-klagomål.docx", "A 47355-2024")</f>
        <v/>
      </c>
      <c r="W699">
        <f>HYPERLINK("https://klasma.github.io/Logging_2132/klagomålsmail/A 47355-2024 FSC-klagomål mail.docx", "A 47355-2024")</f>
        <v/>
      </c>
      <c r="X699">
        <f>HYPERLINK("https://klasma.github.io/Logging_2132/tillsyn/A 47355-2024 tillsynsbegäran.docx", "A 47355-2024")</f>
        <v/>
      </c>
      <c r="Y699">
        <f>HYPERLINK("https://klasma.github.io/Logging_2132/tillsynsmail/A 47355-2024 tillsynsbegäran mail.docx", "A 47355-2024")</f>
        <v/>
      </c>
    </row>
    <row r="700" ht="15" customHeight="1">
      <c r="A700" t="inlineStr">
        <is>
          <t>A 47621-2024</t>
        </is>
      </c>
      <c r="B700" s="1" t="n">
        <v>45588</v>
      </c>
      <c r="C700" s="1" t="n">
        <v>45668</v>
      </c>
      <c r="D700" t="inlineStr">
        <is>
          <t>GÄVLEBORGS LÄN</t>
        </is>
      </c>
      <c r="E700" t="inlineStr">
        <is>
          <t>BOLLNÄS</t>
        </is>
      </c>
      <c r="G700" t="n">
        <v>7.6</v>
      </c>
      <c r="H700" t="n">
        <v>0</v>
      </c>
      <c r="I700" t="n">
        <v>0</v>
      </c>
      <c r="J700" t="n">
        <v>0</v>
      </c>
      <c r="K700" t="n">
        <v>0</v>
      </c>
      <c r="L700" t="n">
        <v>1</v>
      </c>
      <c r="M700" t="n">
        <v>0</v>
      </c>
      <c r="N700" t="n">
        <v>0</v>
      </c>
      <c r="O700" t="n">
        <v>1</v>
      </c>
      <c r="P700" t="n">
        <v>1</v>
      </c>
      <c r="Q700" t="n">
        <v>1</v>
      </c>
      <c r="R700" s="2" t="inlineStr">
        <is>
          <t>Flodpärlmussla</t>
        </is>
      </c>
      <c r="S700">
        <f>HYPERLINK("https://klasma.github.io/Logging_2183/artfynd/A 47621-2024 artfynd.xlsx", "A 47621-2024")</f>
        <v/>
      </c>
      <c r="T700">
        <f>HYPERLINK("https://klasma.github.io/Logging_2183/kartor/A 47621-2024 karta.png", "A 47621-2024")</f>
        <v/>
      </c>
      <c r="V700">
        <f>HYPERLINK("https://klasma.github.io/Logging_2183/klagomål/A 47621-2024 FSC-klagomål.docx", "A 47621-2024")</f>
        <v/>
      </c>
      <c r="W700">
        <f>HYPERLINK("https://klasma.github.io/Logging_2183/klagomålsmail/A 47621-2024 FSC-klagomål mail.docx", "A 47621-2024")</f>
        <v/>
      </c>
      <c r="X700">
        <f>HYPERLINK("https://klasma.github.io/Logging_2183/tillsyn/A 47621-2024 tillsynsbegäran.docx", "A 47621-2024")</f>
        <v/>
      </c>
      <c r="Y700">
        <f>HYPERLINK("https://klasma.github.io/Logging_2183/tillsynsmail/A 47621-2024 tillsynsbegäran mail.docx", "A 47621-2024")</f>
        <v/>
      </c>
    </row>
    <row r="701" ht="15" customHeight="1">
      <c r="A701" t="inlineStr">
        <is>
          <t>A 47971-2024</t>
        </is>
      </c>
      <c r="B701" s="1" t="n">
        <v>45589</v>
      </c>
      <c r="C701" s="1" t="n">
        <v>45668</v>
      </c>
      <c r="D701" t="inlineStr">
        <is>
          <t>GÄVLEBORGS LÄN</t>
        </is>
      </c>
      <c r="E701" t="inlineStr">
        <is>
          <t>SANDVIKEN</t>
        </is>
      </c>
      <c r="F701" t="inlineStr">
        <is>
          <t>Bergvik skog väst AB</t>
        </is>
      </c>
      <c r="G701" t="n">
        <v>0.9</v>
      </c>
      <c r="H701" t="n">
        <v>0</v>
      </c>
      <c r="I701" t="n">
        <v>1</v>
      </c>
      <c r="J701" t="n">
        <v>0</v>
      </c>
      <c r="K701" t="n">
        <v>0</v>
      </c>
      <c r="L701" t="n">
        <v>0</v>
      </c>
      <c r="M701" t="n">
        <v>0</v>
      </c>
      <c r="N701" t="n">
        <v>0</v>
      </c>
      <c r="O701" t="n">
        <v>0</v>
      </c>
      <c r="P701" t="n">
        <v>0</v>
      </c>
      <c r="Q701" t="n">
        <v>1</v>
      </c>
      <c r="R701" s="2" t="inlineStr">
        <is>
          <t>Kamjordstjärna</t>
        </is>
      </c>
      <c r="S701">
        <f>HYPERLINK("https://klasma.github.io/Logging_2181/artfynd/A 47971-2024 artfynd.xlsx", "A 47971-2024")</f>
        <v/>
      </c>
      <c r="T701">
        <f>HYPERLINK("https://klasma.github.io/Logging_2181/kartor/A 47971-2024 karta.png", "A 47971-2024")</f>
        <v/>
      </c>
      <c r="V701">
        <f>HYPERLINK("https://klasma.github.io/Logging_2181/klagomål/A 47971-2024 FSC-klagomål.docx", "A 47971-2024")</f>
        <v/>
      </c>
      <c r="W701">
        <f>HYPERLINK("https://klasma.github.io/Logging_2181/klagomålsmail/A 47971-2024 FSC-klagomål mail.docx", "A 47971-2024")</f>
        <v/>
      </c>
      <c r="X701">
        <f>HYPERLINK("https://klasma.github.io/Logging_2181/tillsyn/A 47971-2024 tillsynsbegäran.docx", "A 47971-2024")</f>
        <v/>
      </c>
      <c r="Y701">
        <f>HYPERLINK("https://klasma.github.io/Logging_2181/tillsynsmail/A 47971-2024 tillsynsbegäran mail.docx", "A 47971-2024")</f>
        <v/>
      </c>
    </row>
    <row r="702" ht="15" customHeight="1">
      <c r="A702" t="inlineStr">
        <is>
          <t>A 48800-2024</t>
        </is>
      </c>
      <c r="B702" s="1" t="n">
        <v>45593</v>
      </c>
      <c r="C702" s="1" t="n">
        <v>45668</v>
      </c>
      <c r="D702" t="inlineStr">
        <is>
          <t>GÄVLEBORGS LÄN</t>
        </is>
      </c>
      <c r="E702" t="inlineStr">
        <is>
          <t>GÄVLE</t>
        </is>
      </c>
      <c r="G702" t="n">
        <v>15.3</v>
      </c>
      <c r="H702" t="n">
        <v>1</v>
      </c>
      <c r="I702" t="n">
        <v>0</v>
      </c>
      <c r="J702" t="n">
        <v>1</v>
      </c>
      <c r="K702" t="n">
        <v>0</v>
      </c>
      <c r="L702" t="n">
        <v>0</v>
      </c>
      <c r="M702" t="n">
        <v>0</v>
      </c>
      <c r="N702" t="n">
        <v>0</v>
      </c>
      <c r="O702" t="n">
        <v>1</v>
      </c>
      <c r="P702" t="n">
        <v>0</v>
      </c>
      <c r="Q702" t="n">
        <v>1</v>
      </c>
      <c r="R702" s="2" t="inlineStr">
        <is>
          <t>Järpe</t>
        </is>
      </c>
      <c r="S702">
        <f>HYPERLINK("https://klasma.github.io/Logging_2180/artfynd/A 48800-2024 artfynd.xlsx", "A 48800-2024")</f>
        <v/>
      </c>
      <c r="T702">
        <f>HYPERLINK("https://klasma.github.io/Logging_2180/kartor/A 48800-2024 karta.png", "A 48800-2024")</f>
        <v/>
      </c>
      <c r="V702">
        <f>HYPERLINK("https://klasma.github.io/Logging_2180/klagomål/A 48800-2024 FSC-klagomål.docx", "A 48800-2024")</f>
        <v/>
      </c>
      <c r="W702">
        <f>HYPERLINK("https://klasma.github.io/Logging_2180/klagomålsmail/A 48800-2024 FSC-klagomål mail.docx", "A 48800-2024")</f>
        <v/>
      </c>
      <c r="X702">
        <f>HYPERLINK("https://klasma.github.io/Logging_2180/tillsyn/A 48800-2024 tillsynsbegäran.docx", "A 48800-2024")</f>
        <v/>
      </c>
      <c r="Y702">
        <f>HYPERLINK("https://klasma.github.io/Logging_2180/tillsynsmail/A 48800-2024 tillsynsbegäran mail.docx", "A 48800-2024")</f>
        <v/>
      </c>
      <c r="Z702">
        <f>HYPERLINK("https://klasma.github.io/Logging_2180/fåglar/A 48800-2024 prioriterade fågelarter.docx", "A 48800-2024")</f>
        <v/>
      </c>
    </row>
    <row r="703" ht="15" customHeight="1">
      <c r="A703" t="inlineStr">
        <is>
          <t>A 49365-2024</t>
        </is>
      </c>
      <c r="B703" s="1" t="n">
        <v>45595</v>
      </c>
      <c r="C703" s="1" t="n">
        <v>45668</v>
      </c>
      <c r="D703" t="inlineStr">
        <is>
          <t>GÄVLEBORGS LÄN</t>
        </is>
      </c>
      <c r="E703" t="inlineStr">
        <is>
          <t>SANDVIKEN</t>
        </is>
      </c>
      <c r="G703" t="n">
        <v>4.2</v>
      </c>
      <c r="H703" t="n">
        <v>1</v>
      </c>
      <c r="I703" t="n">
        <v>0</v>
      </c>
      <c r="J703" t="n">
        <v>0</v>
      </c>
      <c r="K703" t="n">
        <v>1</v>
      </c>
      <c r="L703" t="n">
        <v>0</v>
      </c>
      <c r="M703" t="n">
        <v>0</v>
      </c>
      <c r="N703" t="n">
        <v>0</v>
      </c>
      <c r="O703" t="n">
        <v>1</v>
      </c>
      <c r="P703" t="n">
        <v>1</v>
      </c>
      <c r="Q703" t="n">
        <v>1</v>
      </c>
      <c r="R703" s="2" t="inlineStr">
        <is>
          <t>Knärot</t>
        </is>
      </c>
      <c r="S703">
        <f>HYPERLINK("https://klasma.github.io/Logging_2181/artfynd/A 49365-2024 artfynd.xlsx", "A 49365-2024")</f>
        <v/>
      </c>
      <c r="T703">
        <f>HYPERLINK("https://klasma.github.io/Logging_2181/kartor/A 49365-2024 karta.png", "A 49365-2024")</f>
        <v/>
      </c>
      <c r="U703">
        <f>HYPERLINK("https://klasma.github.io/Logging_2181/knärot/A 49365-2024 karta knärot.png", "A 49365-2024")</f>
        <v/>
      </c>
      <c r="V703">
        <f>HYPERLINK("https://klasma.github.io/Logging_2181/klagomål/A 49365-2024 FSC-klagomål.docx", "A 49365-2024")</f>
        <v/>
      </c>
      <c r="W703">
        <f>HYPERLINK("https://klasma.github.io/Logging_2181/klagomålsmail/A 49365-2024 FSC-klagomål mail.docx", "A 49365-2024")</f>
        <v/>
      </c>
      <c r="X703">
        <f>HYPERLINK("https://klasma.github.io/Logging_2181/tillsyn/A 49365-2024 tillsynsbegäran.docx", "A 49365-2024")</f>
        <v/>
      </c>
      <c r="Y703">
        <f>HYPERLINK("https://klasma.github.io/Logging_2181/tillsynsmail/A 49365-2024 tillsynsbegäran mail.docx", "A 49365-2024")</f>
        <v/>
      </c>
    </row>
    <row r="704" ht="15" customHeight="1">
      <c r="A704" t="inlineStr">
        <is>
          <t>A 49862-2024</t>
        </is>
      </c>
      <c r="B704" s="1" t="n">
        <v>45597</v>
      </c>
      <c r="C704" s="1" t="n">
        <v>45668</v>
      </c>
      <c r="D704" t="inlineStr">
        <is>
          <t>GÄVLEBORGS LÄN</t>
        </is>
      </c>
      <c r="E704" t="inlineStr">
        <is>
          <t>LJUSDAL</t>
        </is>
      </c>
      <c r="F704" t="inlineStr">
        <is>
          <t>Bergvik skog väst AB</t>
        </is>
      </c>
      <c r="G704" t="n">
        <v>8.800000000000001</v>
      </c>
      <c r="H704" t="n">
        <v>1</v>
      </c>
      <c r="I704" t="n">
        <v>0</v>
      </c>
      <c r="J704" t="n">
        <v>0</v>
      </c>
      <c r="K704" t="n">
        <v>0</v>
      </c>
      <c r="L704" t="n">
        <v>0</v>
      </c>
      <c r="M704" t="n">
        <v>0</v>
      </c>
      <c r="N704" t="n">
        <v>0</v>
      </c>
      <c r="O704" t="n">
        <v>0</v>
      </c>
      <c r="P704" t="n">
        <v>0</v>
      </c>
      <c r="Q704" t="n">
        <v>1</v>
      </c>
      <c r="R704" s="2" t="inlineStr">
        <is>
          <t>Mindre vattensalamander</t>
        </is>
      </c>
      <c r="S704">
        <f>HYPERLINK("https://klasma.github.io/Logging_2161/artfynd/A 49862-2024 artfynd.xlsx", "A 49862-2024")</f>
        <v/>
      </c>
      <c r="T704">
        <f>HYPERLINK("https://klasma.github.io/Logging_2161/kartor/A 49862-2024 karta.png", "A 49862-2024")</f>
        <v/>
      </c>
      <c r="V704">
        <f>HYPERLINK("https://klasma.github.io/Logging_2161/klagomål/A 49862-2024 FSC-klagomål.docx", "A 49862-2024")</f>
        <v/>
      </c>
      <c r="W704">
        <f>HYPERLINK("https://klasma.github.io/Logging_2161/klagomålsmail/A 49862-2024 FSC-klagomål mail.docx", "A 49862-2024")</f>
        <v/>
      </c>
      <c r="X704">
        <f>HYPERLINK("https://klasma.github.io/Logging_2161/tillsyn/A 49862-2024 tillsynsbegäran.docx", "A 49862-2024")</f>
        <v/>
      </c>
      <c r="Y704">
        <f>HYPERLINK("https://klasma.github.io/Logging_2161/tillsynsmail/A 49862-2024 tillsynsbegäran mail.docx", "A 49862-2024")</f>
        <v/>
      </c>
    </row>
    <row r="705" ht="15" customHeight="1">
      <c r="A705" t="inlineStr">
        <is>
          <t>A 49917-2024</t>
        </is>
      </c>
      <c r="B705" s="1" t="n">
        <v>45597</v>
      </c>
      <c r="C705" s="1" t="n">
        <v>45668</v>
      </c>
      <c r="D705" t="inlineStr">
        <is>
          <t>GÄVLEBORGS LÄN</t>
        </is>
      </c>
      <c r="E705" t="inlineStr">
        <is>
          <t>HOFORS</t>
        </is>
      </c>
      <c r="G705" t="n">
        <v>1</v>
      </c>
      <c r="H705" t="n">
        <v>0</v>
      </c>
      <c r="I705" t="n">
        <v>0</v>
      </c>
      <c r="J705" t="n">
        <v>1</v>
      </c>
      <c r="K705" t="n">
        <v>0</v>
      </c>
      <c r="L705" t="n">
        <v>0</v>
      </c>
      <c r="M705" t="n">
        <v>0</v>
      </c>
      <c r="N705" t="n">
        <v>0</v>
      </c>
      <c r="O705" t="n">
        <v>1</v>
      </c>
      <c r="P705" t="n">
        <v>0</v>
      </c>
      <c r="Q705" t="n">
        <v>1</v>
      </c>
      <c r="R705" s="2" t="inlineStr">
        <is>
          <t>Brunklöver</t>
        </is>
      </c>
      <c r="S705">
        <f>HYPERLINK("https://klasma.github.io/Logging_2104/artfynd/A 49917-2024 artfynd.xlsx", "A 49917-2024")</f>
        <v/>
      </c>
      <c r="T705">
        <f>HYPERLINK("https://klasma.github.io/Logging_2104/kartor/A 49917-2024 karta.png", "A 49917-2024")</f>
        <v/>
      </c>
      <c r="V705">
        <f>HYPERLINK("https://klasma.github.io/Logging_2104/klagomål/A 49917-2024 FSC-klagomål.docx", "A 49917-2024")</f>
        <v/>
      </c>
      <c r="W705">
        <f>HYPERLINK("https://klasma.github.io/Logging_2104/klagomålsmail/A 49917-2024 FSC-klagomål mail.docx", "A 49917-2024")</f>
        <v/>
      </c>
      <c r="X705">
        <f>HYPERLINK("https://klasma.github.io/Logging_2104/tillsyn/A 49917-2024 tillsynsbegäran.docx", "A 49917-2024")</f>
        <v/>
      </c>
      <c r="Y705">
        <f>HYPERLINK("https://klasma.github.io/Logging_2104/tillsynsmail/A 49917-2024 tillsynsbegäran mail.docx", "A 49917-2024")</f>
        <v/>
      </c>
    </row>
    <row r="706" ht="15" customHeight="1">
      <c r="A706" t="inlineStr">
        <is>
          <t>A 50164-2024</t>
        </is>
      </c>
      <c r="B706" s="1" t="n">
        <v>45600</v>
      </c>
      <c r="C706" s="1" t="n">
        <v>45668</v>
      </c>
      <c r="D706" t="inlineStr">
        <is>
          <t>GÄVLEBORGS LÄN</t>
        </is>
      </c>
      <c r="E706" t="inlineStr">
        <is>
          <t>LJUSDAL</t>
        </is>
      </c>
      <c r="F706" t="inlineStr">
        <is>
          <t>Sveaskog</t>
        </is>
      </c>
      <c r="G706" t="n">
        <v>6.5</v>
      </c>
      <c r="H706" t="n">
        <v>0</v>
      </c>
      <c r="I706" t="n">
        <v>0</v>
      </c>
      <c r="J706" t="n">
        <v>1</v>
      </c>
      <c r="K706" t="n">
        <v>0</v>
      </c>
      <c r="L706" t="n">
        <v>0</v>
      </c>
      <c r="M706" t="n">
        <v>0</v>
      </c>
      <c r="N706" t="n">
        <v>0</v>
      </c>
      <c r="O706" t="n">
        <v>1</v>
      </c>
      <c r="P706" t="n">
        <v>0</v>
      </c>
      <c r="Q706" t="n">
        <v>1</v>
      </c>
      <c r="R706" s="2" t="inlineStr">
        <is>
          <t>Lunglav</t>
        </is>
      </c>
      <c r="S706">
        <f>HYPERLINK("https://klasma.github.io/Logging_2161/artfynd/A 50164-2024 artfynd.xlsx", "A 50164-2024")</f>
        <v/>
      </c>
      <c r="T706">
        <f>HYPERLINK("https://klasma.github.io/Logging_2161/kartor/A 50164-2024 karta.png", "A 50164-2024")</f>
        <v/>
      </c>
      <c r="V706">
        <f>HYPERLINK("https://klasma.github.io/Logging_2161/klagomål/A 50164-2024 FSC-klagomål.docx", "A 50164-2024")</f>
        <v/>
      </c>
      <c r="W706">
        <f>HYPERLINK("https://klasma.github.io/Logging_2161/klagomålsmail/A 50164-2024 FSC-klagomål mail.docx", "A 50164-2024")</f>
        <v/>
      </c>
      <c r="X706">
        <f>HYPERLINK("https://klasma.github.io/Logging_2161/tillsyn/A 50164-2024 tillsynsbegäran.docx", "A 50164-2024")</f>
        <v/>
      </c>
      <c r="Y706">
        <f>HYPERLINK("https://klasma.github.io/Logging_2161/tillsynsmail/A 50164-2024 tillsynsbegäran mail.docx", "A 50164-2024")</f>
        <v/>
      </c>
    </row>
    <row r="707" ht="15" customHeight="1">
      <c r="A707" t="inlineStr">
        <is>
          <t>A 51508-2024</t>
        </is>
      </c>
      <c r="B707" s="1" t="n">
        <v>45604</v>
      </c>
      <c r="C707" s="1" t="n">
        <v>45668</v>
      </c>
      <c r="D707" t="inlineStr">
        <is>
          <t>GÄVLEBORGS LÄN</t>
        </is>
      </c>
      <c r="E707" t="inlineStr">
        <is>
          <t>GÄVLE</t>
        </is>
      </c>
      <c r="G707" t="n">
        <v>0.9</v>
      </c>
      <c r="H707" t="n">
        <v>0</v>
      </c>
      <c r="I707" t="n">
        <v>1</v>
      </c>
      <c r="J707" t="n">
        <v>0</v>
      </c>
      <c r="K707" t="n">
        <v>0</v>
      </c>
      <c r="L707" t="n">
        <v>0</v>
      </c>
      <c r="M707" t="n">
        <v>0</v>
      </c>
      <c r="N707" t="n">
        <v>0</v>
      </c>
      <c r="O707" t="n">
        <v>0</v>
      </c>
      <c r="P707" t="n">
        <v>0</v>
      </c>
      <c r="Q707" t="n">
        <v>1</v>
      </c>
      <c r="R707" s="2" t="inlineStr">
        <is>
          <t>Tibast</t>
        </is>
      </c>
      <c r="S707">
        <f>HYPERLINK("https://klasma.github.io/Logging_2180/artfynd/A 51508-2024 artfynd.xlsx", "A 51508-2024")</f>
        <v/>
      </c>
      <c r="T707">
        <f>HYPERLINK("https://klasma.github.io/Logging_2180/kartor/A 51508-2024 karta.png", "A 51508-2024")</f>
        <v/>
      </c>
      <c r="V707">
        <f>HYPERLINK("https://klasma.github.io/Logging_2180/klagomål/A 51508-2024 FSC-klagomål.docx", "A 51508-2024")</f>
        <v/>
      </c>
      <c r="W707">
        <f>HYPERLINK("https://klasma.github.io/Logging_2180/klagomålsmail/A 51508-2024 FSC-klagomål mail.docx", "A 51508-2024")</f>
        <v/>
      </c>
      <c r="X707">
        <f>HYPERLINK("https://klasma.github.io/Logging_2180/tillsyn/A 51508-2024 tillsynsbegäran.docx", "A 51508-2024")</f>
        <v/>
      </c>
      <c r="Y707">
        <f>HYPERLINK("https://klasma.github.io/Logging_2180/tillsynsmail/A 51508-2024 tillsynsbegäran mail.docx", "A 51508-2024")</f>
        <v/>
      </c>
    </row>
    <row r="708" ht="15" customHeight="1">
      <c r="A708" t="inlineStr">
        <is>
          <t>A 53508-2024</t>
        </is>
      </c>
      <c r="B708" s="1" t="n">
        <v>45614</v>
      </c>
      <c r="C708" s="1" t="n">
        <v>45668</v>
      </c>
      <c r="D708" t="inlineStr">
        <is>
          <t>GÄVLEBORGS LÄN</t>
        </is>
      </c>
      <c r="E708" t="inlineStr">
        <is>
          <t>LJUSDAL</t>
        </is>
      </c>
      <c r="G708" t="n">
        <v>2.4</v>
      </c>
      <c r="H708" t="n">
        <v>0</v>
      </c>
      <c r="I708" t="n">
        <v>0</v>
      </c>
      <c r="J708" t="n">
        <v>1</v>
      </c>
      <c r="K708" t="n">
        <v>0</v>
      </c>
      <c r="L708" t="n">
        <v>0</v>
      </c>
      <c r="M708" t="n">
        <v>0</v>
      </c>
      <c r="N708" t="n">
        <v>0</v>
      </c>
      <c r="O708" t="n">
        <v>1</v>
      </c>
      <c r="P708" t="n">
        <v>0</v>
      </c>
      <c r="Q708" t="n">
        <v>1</v>
      </c>
      <c r="R708" s="2" t="inlineStr">
        <is>
          <t>Lunglav</t>
        </is>
      </c>
      <c r="S708">
        <f>HYPERLINK("https://klasma.github.io/Logging_2161/artfynd/A 53508-2024 artfynd.xlsx", "A 53508-2024")</f>
        <v/>
      </c>
      <c r="T708">
        <f>HYPERLINK("https://klasma.github.io/Logging_2161/kartor/A 53508-2024 karta.png", "A 53508-2024")</f>
        <v/>
      </c>
      <c r="V708">
        <f>HYPERLINK("https://klasma.github.io/Logging_2161/klagomål/A 53508-2024 FSC-klagomål.docx", "A 53508-2024")</f>
        <v/>
      </c>
      <c r="W708">
        <f>HYPERLINK("https://klasma.github.io/Logging_2161/klagomålsmail/A 53508-2024 FSC-klagomål mail.docx", "A 53508-2024")</f>
        <v/>
      </c>
      <c r="X708">
        <f>HYPERLINK("https://klasma.github.io/Logging_2161/tillsyn/A 53508-2024 tillsynsbegäran.docx", "A 53508-2024")</f>
        <v/>
      </c>
      <c r="Y708">
        <f>HYPERLINK("https://klasma.github.io/Logging_2161/tillsynsmail/A 53508-2024 tillsynsbegäran mail.docx", "A 53508-2024")</f>
        <v/>
      </c>
    </row>
    <row r="709" ht="15" customHeight="1">
      <c r="A709" t="inlineStr">
        <is>
          <t>A 53571-2024</t>
        </is>
      </c>
      <c r="B709" s="1" t="n">
        <v>45614</v>
      </c>
      <c r="C709" s="1" t="n">
        <v>45668</v>
      </c>
      <c r="D709" t="inlineStr">
        <is>
          <t>GÄVLEBORGS LÄN</t>
        </is>
      </c>
      <c r="E709" t="inlineStr">
        <is>
          <t>GÄVLE</t>
        </is>
      </c>
      <c r="F709" t="inlineStr">
        <is>
          <t>Bergvik skog öst AB</t>
        </is>
      </c>
      <c r="G709" t="n">
        <v>4.9</v>
      </c>
      <c r="H709" t="n">
        <v>0</v>
      </c>
      <c r="I709" t="n">
        <v>1</v>
      </c>
      <c r="J709" t="n">
        <v>0</v>
      </c>
      <c r="K709" t="n">
        <v>0</v>
      </c>
      <c r="L709" t="n">
        <v>0</v>
      </c>
      <c r="M709" t="n">
        <v>0</v>
      </c>
      <c r="N709" t="n">
        <v>0</v>
      </c>
      <c r="O709" t="n">
        <v>0</v>
      </c>
      <c r="P709" t="n">
        <v>0</v>
      </c>
      <c r="Q709" t="n">
        <v>1</v>
      </c>
      <c r="R709" s="2" t="inlineStr">
        <is>
          <t>Svavelriska</t>
        </is>
      </c>
      <c r="S709">
        <f>HYPERLINK("https://klasma.github.io/Logging_2180/artfynd/A 53571-2024 artfynd.xlsx", "A 53571-2024")</f>
        <v/>
      </c>
      <c r="T709">
        <f>HYPERLINK("https://klasma.github.io/Logging_2180/kartor/A 53571-2024 karta.png", "A 53571-2024")</f>
        <v/>
      </c>
      <c r="V709">
        <f>HYPERLINK("https://klasma.github.io/Logging_2180/klagomål/A 53571-2024 FSC-klagomål.docx", "A 53571-2024")</f>
        <v/>
      </c>
      <c r="W709">
        <f>HYPERLINK("https://klasma.github.io/Logging_2180/klagomålsmail/A 53571-2024 FSC-klagomål mail.docx", "A 53571-2024")</f>
        <v/>
      </c>
      <c r="X709">
        <f>HYPERLINK("https://klasma.github.io/Logging_2180/tillsyn/A 53571-2024 tillsynsbegäran.docx", "A 53571-2024")</f>
        <v/>
      </c>
      <c r="Y709">
        <f>HYPERLINK("https://klasma.github.io/Logging_2180/tillsynsmail/A 53571-2024 tillsynsbegäran mail.docx", "A 53571-2024")</f>
        <v/>
      </c>
    </row>
    <row r="710" ht="15" customHeight="1">
      <c r="A710" t="inlineStr">
        <is>
          <t>A 53562-2024</t>
        </is>
      </c>
      <c r="B710" s="1" t="n">
        <v>45614</v>
      </c>
      <c r="C710" s="1" t="n">
        <v>45668</v>
      </c>
      <c r="D710" t="inlineStr">
        <is>
          <t>GÄVLEBORGS LÄN</t>
        </is>
      </c>
      <c r="E710" t="inlineStr">
        <is>
          <t>SÖDERHAMN</t>
        </is>
      </c>
      <c r="F710" t="inlineStr">
        <is>
          <t>Bergvik skog väst AB</t>
        </is>
      </c>
      <c r="G710" t="n">
        <v>3.6</v>
      </c>
      <c r="H710" t="n">
        <v>1</v>
      </c>
      <c r="I710" t="n">
        <v>0</v>
      </c>
      <c r="J710" t="n">
        <v>1</v>
      </c>
      <c r="K710" t="n">
        <v>0</v>
      </c>
      <c r="L710" t="n">
        <v>0</v>
      </c>
      <c r="M710" t="n">
        <v>0</v>
      </c>
      <c r="N710" t="n">
        <v>0</v>
      </c>
      <c r="O710" t="n">
        <v>1</v>
      </c>
      <c r="P710" t="n">
        <v>0</v>
      </c>
      <c r="Q710" t="n">
        <v>1</v>
      </c>
      <c r="R710" s="2" t="inlineStr">
        <is>
          <t>Havsörn</t>
        </is>
      </c>
      <c r="S710">
        <f>HYPERLINK("https://klasma.github.io/Logging_2182/artfynd/A 53562-2024 artfynd.xlsx", "A 53562-2024")</f>
        <v/>
      </c>
      <c r="T710">
        <f>HYPERLINK("https://klasma.github.io/Logging_2182/kartor/A 53562-2024 karta.png", "A 53562-2024")</f>
        <v/>
      </c>
      <c r="V710">
        <f>HYPERLINK("https://klasma.github.io/Logging_2182/klagomål/A 53562-2024 FSC-klagomål.docx", "A 53562-2024")</f>
        <v/>
      </c>
      <c r="W710">
        <f>HYPERLINK("https://klasma.github.io/Logging_2182/klagomålsmail/A 53562-2024 FSC-klagomål mail.docx", "A 53562-2024")</f>
        <v/>
      </c>
      <c r="X710">
        <f>HYPERLINK("https://klasma.github.io/Logging_2182/tillsyn/A 53562-2024 tillsynsbegäran.docx", "A 53562-2024")</f>
        <v/>
      </c>
      <c r="Y710">
        <f>HYPERLINK("https://klasma.github.io/Logging_2182/tillsynsmail/A 53562-2024 tillsynsbegäran mail.docx", "A 53562-2024")</f>
        <v/>
      </c>
      <c r="Z710">
        <f>HYPERLINK("https://klasma.github.io/Logging_2182/fåglar/A 53562-2024 prioriterade fågelarter.docx", "A 53562-2024")</f>
        <v/>
      </c>
    </row>
    <row r="711" ht="15" customHeight="1">
      <c r="A711" t="inlineStr">
        <is>
          <t>A 54335-2024</t>
        </is>
      </c>
      <c r="B711" s="1" t="n">
        <v>45617</v>
      </c>
      <c r="C711" s="1" t="n">
        <v>45668</v>
      </c>
      <c r="D711" t="inlineStr">
        <is>
          <t>GÄVLEBORGS LÄN</t>
        </is>
      </c>
      <c r="E711" t="inlineStr">
        <is>
          <t>SANDVIKEN</t>
        </is>
      </c>
      <c r="G711" t="n">
        <v>7</v>
      </c>
      <c r="H711" t="n">
        <v>1</v>
      </c>
      <c r="I711" t="n">
        <v>0</v>
      </c>
      <c r="J711" t="n">
        <v>0</v>
      </c>
      <c r="K711" t="n">
        <v>1</v>
      </c>
      <c r="L711" t="n">
        <v>0</v>
      </c>
      <c r="M711" t="n">
        <v>0</v>
      </c>
      <c r="N711" t="n">
        <v>0</v>
      </c>
      <c r="O711" t="n">
        <v>1</v>
      </c>
      <c r="P711" t="n">
        <v>1</v>
      </c>
      <c r="Q711" t="n">
        <v>1</v>
      </c>
      <c r="R711" s="2" t="inlineStr">
        <is>
          <t>Väddnätfjäril</t>
        </is>
      </c>
      <c r="S711">
        <f>HYPERLINK("https://klasma.github.io/Logging_2181/artfynd/A 54335-2024 artfynd.xlsx", "A 54335-2024")</f>
        <v/>
      </c>
      <c r="T711">
        <f>HYPERLINK("https://klasma.github.io/Logging_2181/kartor/A 54335-2024 karta.png", "A 54335-2024")</f>
        <v/>
      </c>
      <c r="V711">
        <f>HYPERLINK("https://klasma.github.io/Logging_2181/klagomål/A 54335-2024 FSC-klagomål.docx", "A 54335-2024")</f>
        <v/>
      </c>
      <c r="W711">
        <f>HYPERLINK("https://klasma.github.io/Logging_2181/klagomålsmail/A 54335-2024 FSC-klagomål mail.docx", "A 54335-2024")</f>
        <v/>
      </c>
      <c r="X711">
        <f>HYPERLINK("https://klasma.github.io/Logging_2181/tillsyn/A 54335-2024 tillsynsbegäran.docx", "A 54335-2024")</f>
        <v/>
      </c>
      <c r="Y711">
        <f>HYPERLINK("https://klasma.github.io/Logging_2181/tillsynsmail/A 54335-2024 tillsynsbegäran mail.docx", "A 54335-2024")</f>
        <v/>
      </c>
    </row>
    <row r="712" ht="15" customHeight="1">
      <c r="A712" t="inlineStr">
        <is>
          <t>A 54706-2024</t>
        </is>
      </c>
      <c r="B712" s="1" t="n">
        <v>45618</v>
      </c>
      <c r="C712" s="1" t="n">
        <v>45668</v>
      </c>
      <c r="D712" t="inlineStr">
        <is>
          <t>GÄVLEBORGS LÄN</t>
        </is>
      </c>
      <c r="E712" t="inlineStr">
        <is>
          <t>HOFORS</t>
        </is>
      </c>
      <c r="G712" t="n">
        <v>11</v>
      </c>
      <c r="H712" t="n">
        <v>1</v>
      </c>
      <c r="I712" t="n">
        <v>0</v>
      </c>
      <c r="J712" t="n">
        <v>0</v>
      </c>
      <c r="K712" t="n">
        <v>0</v>
      </c>
      <c r="L712" t="n">
        <v>0</v>
      </c>
      <c r="M712" t="n">
        <v>0</v>
      </c>
      <c r="N712" t="n">
        <v>0</v>
      </c>
      <c r="O712" t="n">
        <v>0</v>
      </c>
      <c r="P712" t="n">
        <v>0</v>
      </c>
      <c r="Q712" t="n">
        <v>1</v>
      </c>
      <c r="R712" s="2" t="inlineStr">
        <is>
          <t>Nattviol</t>
        </is>
      </c>
      <c r="S712">
        <f>HYPERLINK("https://klasma.github.io/Logging_2104/artfynd/A 54706-2024 artfynd.xlsx", "A 54706-2024")</f>
        <v/>
      </c>
      <c r="T712">
        <f>HYPERLINK("https://klasma.github.io/Logging_2104/kartor/A 54706-2024 karta.png", "A 54706-2024")</f>
        <v/>
      </c>
      <c r="V712">
        <f>HYPERLINK("https://klasma.github.io/Logging_2104/klagomål/A 54706-2024 FSC-klagomål.docx", "A 54706-2024")</f>
        <v/>
      </c>
      <c r="W712">
        <f>HYPERLINK("https://klasma.github.io/Logging_2104/klagomålsmail/A 54706-2024 FSC-klagomål mail.docx", "A 54706-2024")</f>
        <v/>
      </c>
      <c r="X712">
        <f>HYPERLINK("https://klasma.github.io/Logging_2104/tillsyn/A 54706-2024 tillsynsbegäran.docx", "A 54706-2024")</f>
        <v/>
      </c>
      <c r="Y712">
        <f>HYPERLINK("https://klasma.github.io/Logging_2104/tillsynsmail/A 54706-2024 tillsynsbegäran mail.docx", "A 54706-2024")</f>
        <v/>
      </c>
    </row>
    <row r="713" ht="15" customHeight="1">
      <c r="A713" t="inlineStr">
        <is>
          <t>A 55289-2024</t>
        </is>
      </c>
      <c r="B713" s="1" t="n">
        <v>45621</v>
      </c>
      <c r="C713" s="1" t="n">
        <v>45668</v>
      </c>
      <c r="D713" t="inlineStr">
        <is>
          <t>GÄVLEBORGS LÄN</t>
        </is>
      </c>
      <c r="E713" t="inlineStr">
        <is>
          <t>LJUSDAL</t>
        </is>
      </c>
      <c r="F713" t="inlineStr">
        <is>
          <t>Sveaskog</t>
        </is>
      </c>
      <c r="G713" t="n">
        <v>3.3</v>
      </c>
      <c r="H713" t="n">
        <v>0</v>
      </c>
      <c r="I713" t="n">
        <v>0</v>
      </c>
      <c r="J713" t="n">
        <v>1</v>
      </c>
      <c r="K713" t="n">
        <v>0</v>
      </c>
      <c r="L713" t="n">
        <v>0</v>
      </c>
      <c r="M713" t="n">
        <v>0</v>
      </c>
      <c r="N713" t="n">
        <v>0</v>
      </c>
      <c r="O713" t="n">
        <v>1</v>
      </c>
      <c r="P713" t="n">
        <v>0</v>
      </c>
      <c r="Q713" t="n">
        <v>1</v>
      </c>
      <c r="R713" s="2" t="inlineStr">
        <is>
          <t>Garnlav</t>
        </is>
      </c>
      <c r="S713">
        <f>HYPERLINK("https://klasma.github.io/Logging_2161/artfynd/A 55289-2024 artfynd.xlsx", "A 55289-2024")</f>
        <v/>
      </c>
      <c r="T713">
        <f>HYPERLINK("https://klasma.github.io/Logging_2161/kartor/A 55289-2024 karta.png", "A 55289-2024")</f>
        <v/>
      </c>
      <c r="V713">
        <f>HYPERLINK("https://klasma.github.io/Logging_2161/klagomål/A 55289-2024 FSC-klagomål.docx", "A 55289-2024")</f>
        <v/>
      </c>
      <c r="W713">
        <f>HYPERLINK("https://klasma.github.io/Logging_2161/klagomålsmail/A 55289-2024 FSC-klagomål mail.docx", "A 55289-2024")</f>
        <v/>
      </c>
      <c r="X713">
        <f>HYPERLINK("https://klasma.github.io/Logging_2161/tillsyn/A 55289-2024 tillsynsbegäran.docx", "A 55289-2024")</f>
        <v/>
      </c>
      <c r="Y713">
        <f>HYPERLINK("https://klasma.github.io/Logging_2161/tillsynsmail/A 55289-2024 tillsynsbegäran mail.docx", "A 55289-2024")</f>
        <v/>
      </c>
    </row>
    <row r="714" ht="15" customHeight="1">
      <c r="A714" t="inlineStr">
        <is>
          <t>A 55326-2024</t>
        </is>
      </c>
      <c r="B714" s="1" t="n">
        <v>45621</v>
      </c>
      <c r="C714" s="1" t="n">
        <v>45668</v>
      </c>
      <c r="D714" t="inlineStr">
        <is>
          <t>GÄVLEBORGS LÄN</t>
        </is>
      </c>
      <c r="E714" t="inlineStr">
        <is>
          <t>LJUSDAL</t>
        </is>
      </c>
      <c r="G714" t="n">
        <v>11.1</v>
      </c>
      <c r="H714" t="n">
        <v>0</v>
      </c>
      <c r="I714" t="n">
        <v>0</v>
      </c>
      <c r="J714" t="n">
        <v>1</v>
      </c>
      <c r="K714" t="n">
        <v>0</v>
      </c>
      <c r="L714" t="n">
        <v>0</v>
      </c>
      <c r="M714" t="n">
        <v>0</v>
      </c>
      <c r="N714" t="n">
        <v>0</v>
      </c>
      <c r="O714" t="n">
        <v>1</v>
      </c>
      <c r="P714" t="n">
        <v>0</v>
      </c>
      <c r="Q714" t="n">
        <v>1</v>
      </c>
      <c r="R714" s="2" t="inlineStr">
        <is>
          <t>Vedskivlav</t>
        </is>
      </c>
      <c r="S714">
        <f>HYPERLINK("https://klasma.github.io/Logging_2161/artfynd/A 55326-2024 artfynd.xlsx", "A 55326-2024")</f>
        <v/>
      </c>
      <c r="T714">
        <f>HYPERLINK("https://klasma.github.io/Logging_2161/kartor/A 55326-2024 karta.png", "A 55326-2024")</f>
        <v/>
      </c>
      <c r="U714">
        <f>HYPERLINK("https://klasma.github.io/Logging_2161/knärot/A 55326-2024 karta knärot.png", "A 55326-2024")</f>
        <v/>
      </c>
      <c r="V714">
        <f>HYPERLINK("https://klasma.github.io/Logging_2161/klagomål/A 55326-2024 FSC-klagomål.docx", "A 55326-2024")</f>
        <v/>
      </c>
      <c r="W714">
        <f>HYPERLINK("https://klasma.github.io/Logging_2161/klagomålsmail/A 55326-2024 FSC-klagomål mail.docx", "A 55326-2024")</f>
        <v/>
      </c>
      <c r="X714">
        <f>HYPERLINK("https://klasma.github.io/Logging_2161/tillsyn/A 55326-2024 tillsynsbegäran.docx", "A 55326-2024")</f>
        <v/>
      </c>
      <c r="Y714">
        <f>HYPERLINK("https://klasma.github.io/Logging_2161/tillsynsmail/A 55326-2024 tillsynsbegäran mail.docx", "A 55326-2024")</f>
        <v/>
      </c>
    </row>
    <row r="715" ht="15" customHeight="1">
      <c r="A715" t="inlineStr">
        <is>
          <t>A 58239-2024</t>
        </is>
      </c>
      <c r="B715" s="1" t="n">
        <v>45632</v>
      </c>
      <c r="C715" s="1" t="n">
        <v>45668</v>
      </c>
      <c r="D715" t="inlineStr">
        <is>
          <t>GÄVLEBORGS LÄN</t>
        </is>
      </c>
      <c r="E715" t="inlineStr">
        <is>
          <t>HUDIKSVALL</t>
        </is>
      </c>
      <c r="F715" t="inlineStr">
        <is>
          <t>Holmen skog AB</t>
        </is>
      </c>
      <c r="G715" t="n">
        <v>4.3</v>
      </c>
      <c r="H715" t="n">
        <v>1</v>
      </c>
      <c r="I715" t="n">
        <v>0</v>
      </c>
      <c r="J715" t="n">
        <v>1</v>
      </c>
      <c r="K715" t="n">
        <v>0</v>
      </c>
      <c r="L715" t="n">
        <v>0</v>
      </c>
      <c r="M715" t="n">
        <v>0</v>
      </c>
      <c r="N715" t="n">
        <v>0</v>
      </c>
      <c r="O715" t="n">
        <v>1</v>
      </c>
      <c r="P715" t="n">
        <v>0</v>
      </c>
      <c r="Q715" t="n">
        <v>1</v>
      </c>
      <c r="R715" s="2" t="inlineStr">
        <is>
          <t>Kungsörn</t>
        </is>
      </c>
      <c r="S715">
        <f>HYPERLINK("https://klasma.github.io/Logging_2184/artfynd/A 58239-2024 artfynd.xlsx", "A 58239-2024")</f>
        <v/>
      </c>
      <c r="T715">
        <f>HYPERLINK("https://klasma.github.io/Logging_2184/kartor/A 58239-2024 karta.png", "A 58239-2024")</f>
        <v/>
      </c>
      <c r="V715">
        <f>HYPERLINK("https://klasma.github.io/Logging_2184/klagomål/A 58239-2024 FSC-klagomål.docx", "A 58239-2024")</f>
        <v/>
      </c>
      <c r="W715">
        <f>HYPERLINK("https://klasma.github.io/Logging_2184/klagomålsmail/A 58239-2024 FSC-klagomål mail.docx", "A 58239-2024")</f>
        <v/>
      </c>
      <c r="X715">
        <f>HYPERLINK("https://klasma.github.io/Logging_2184/tillsyn/A 58239-2024 tillsynsbegäran.docx", "A 58239-2024")</f>
        <v/>
      </c>
      <c r="Y715">
        <f>HYPERLINK("https://klasma.github.io/Logging_2184/tillsynsmail/A 58239-2024 tillsynsbegäran mail.docx", "A 58239-2024")</f>
        <v/>
      </c>
      <c r="Z715">
        <f>HYPERLINK("https://klasma.github.io/Logging_2184/fåglar/A 58239-2024 prioriterade fågelarter.docx", "A 58239-2024")</f>
        <v/>
      </c>
    </row>
    <row r="716" ht="15" customHeight="1">
      <c r="A716" t="inlineStr">
        <is>
          <t>A 58332-2024</t>
        </is>
      </c>
      <c r="B716" s="1" t="n">
        <v>45632</v>
      </c>
      <c r="C716" s="1" t="n">
        <v>45668</v>
      </c>
      <c r="D716" t="inlineStr">
        <is>
          <t>GÄVLEBORGS LÄN</t>
        </is>
      </c>
      <c r="E716" t="inlineStr">
        <is>
          <t>HUDIKSVALL</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HYPERLINK("https://klasma.github.io/Logging_2184/artfynd/A 58332-2024 artfynd.xlsx", "A 58332-2024")</f>
        <v/>
      </c>
      <c r="T716">
        <f>HYPERLINK("https://klasma.github.io/Logging_2184/kartor/A 58332-2024 karta.png", "A 58332-2024")</f>
        <v/>
      </c>
      <c r="V716">
        <f>HYPERLINK("https://klasma.github.io/Logging_2184/klagomål/A 58332-2024 FSC-klagomål.docx", "A 58332-2024")</f>
        <v/>
      </c>
      <c r="W716">
        <f>HYPERLINK("https://klasma.github.io/Logging_2184/klagomålsmail/A 58332-2024 FSC-klagomål mail.docx", "A 58332-2024")</f>
        <v/>
      </c>
      <c r="X716">
        <f>HYPERLINK("https://klasma.github.io/Logging_2184/tillsyn/A 58332-2024 tillsynsbegäran.docx", "A 58332-2024")</f>
        <v/>
      </c>
      <c r="Y716">
        <f>HYPERLINK("https://klasma.github.io/Logging_2184/tillsynsmail/A 58332-2024 tillsynsbegäran mail.docx", "A 58332-2024")</f>
        <v/>
      </c>
    </row>
    <row r="717" ht="15" customHeight="1">
      <c r="A717" t="inlineStr">
        <is>
          <t>A 58575-2024</t>
        </is>
      </c>
      <c r="B717" s="1" t="n">
        <v>45635</v>
      </c>
      <c r="C717" s="1" t="n">
        <v>45668</v>
      </c>
      <c r="D717" t="inlineStr">
        <is>
          <t>GÄVLEBORGS LÄN</t>
        </is>
      </c>
      <c r="E717" t="inlineStr">
        <is>
          <t>LJUSDAL</t>
        </is>
      </c>
      <c r="F717" t="inlineStr">
        <is>
          <t>Allmännings- och besparingsskogar</t>
        </is>
      </c>
      <c r="G717" t="n">
        <v>9.4</v>
      </c>
      <c r="H717" t="n">
        <v>1</v>
      </c>
      <c r="I717" t="n">
        <v>0</v>
      </c>
      <c r="J717" t="n">
        <v>1</v>
      </c>
      <c r="K717" t="n">
        <v>0</v>
      </c>
      <c r="L717" t="n">
        <v>0</v>
      </c>
      <c r="M717" t="n">
        <v>0</v>
      </c>
      <c r="N717" t="n">
        <v>0</v>
      </c>
      <c r="O717" t="n">
        <v>1</v>
      </c>
      <c r="P717" t="n">
        <v>0</v>
      </c>
      <c r="Q717" t="n">
        <v>1</v>
      </c>
      <c r="R717" s="2" t="inlineStr">
        <is>
          <t>Kungsörn</t>
        </is>
      </c>
      <c r="S717">
        <f>HYPERLINK("https://klasma.github.io/Logging_2161/artfynd/A 58575-2024 artfynd.xlsx", "A 58575-2024")</f>
        <v/>
      </c>
      <c r="T717">
        <f>HYPERLINK("https://klasma.github.io/Logging_2161/kartor/A 58575-2024 karta.png", "A 58575-2024")</f>
        <v/>
      </c>
      <c r="V717">
        <f>HYPERLINK("https://klasma.github.io/Logging_2161/klagomål/A 58575-2024 FSC-klagomål.docx", "A 58575-2024")</f>
        <v/>
      </c>
      <c r="W717">
        <f>HYPERLINK("https://klasma.github.io/Logging_2161/klagomålsmail/A 58575-2024 FSC-klagomål mail.docx", "A 58575-2024")</f>
        <v/>
      </c>
      <c r="X717">
        <f>HYPERLINK("https://klasma.github.io/Logging_2161/tillsyn/A 58575-2024 tillsynsbegäran.docx", "A 58575-2024")</f>
        <v/>
      </c>
      <c r="Y717">
        <f>HYPERLINK("https://klasma.github.io/Logging_2161/tillsynsmail/A 58575-2024 tillsynsbegäran mail.docx", "A 58575-2024")</f>
        <v/>
      </c>
      <c r="Z717">
        <f>HYPERLINK("https://klasma.github.io/Logging_2161/fåglar/A 58575-2024 prioriterade fågelarter.docx", "A 58575-2024")</f>
        <v/>
      </c>
    </row>
    <row r="718" ht="15" customHeight="1">
      <c r="A718" t="inlineStr">
        <is>
          <t>A 59385-2024</t>
        </is>
      </c>
      <c r="B718" s="1" t="n">
        <v>45638</v>
      </c>
      <c r="C718" s="1" t="n">
        <v>45668</v>
      </c>
      <c r="D718" t="inlineStr">
        <is>
          <t>GÄVLEBORGS LÄN</t>
        </is>
      </c>
      <c r="E718" t="inlineStr">
        <is>
          <t>GÄVLE</t>
        </is>
      </c>
      <c r="F718" t="inlineStr">
        <is>
          <t>Bergvik skog öst AB</t>
        </is>
      </c>
      <c r="G718" t="n">
        <v>16.3</v>
      </c>
      <c r="H718" t="n">
        <v>0</v>
      </c>
      <c r="I718" t="n">
        <v>1</v>
      </c>
      <c r="J718" t="n">
        <v>0</v>
      </c>
      <c r="K718" t="n">
        <v>0</v>
      </c>
      <c r="L718" t="n">
        <v>0</v>
      </c>
      <c r="M718" t="n">
        <v>0</v>
      </c>
      <c r="N718" t="n">
        <v>0</v>
      </c>
      <c r="O718" t="n">
        <v>0</v>
      </c>
      <c r="P718" t="n">
        <v>0</v>
      </c>
      <c r="Q718" t="n">
        <v>1</v>
      </c>
      <c r="R718" s="2" t="inlineStr">
        <is>
          <t>Rödgul trumpetsvamp</t>
        </is>
      </c>
      <c r="S718">
        <f>HYPERLINK("https://klasma.github.io/Logging_2180/artfynd/A 59385-2024 artfynd.xlsx", "A 59385-2024")</f>
        <v/>
      </c>
      <c r="T718">
        <f>HYPERLINK("https://klasma.github.io/Logging_2180/kartor/A 59385-2024 karta.png", "A 59385-2024")</f>
        <v/>
      </c>
      <c r="V718">
        <f>HYPERLINK("https://klasma.github.io/Logging_2180/klagomål/A 59385-2024 FSC-klagomål.docx", "A 59385-2024")</f>
        <v/>
      </c>
      <c r="W718">
        <f>HYPERLINK("https://klasma.github.io/Logging_2180/klagomålsmail/A 59385-2024 FSC-klagomål mail.docx", "A 59385-2024")</f>
        <v/>
      </c>
      <c r="X718">
        <f>HYPERLINK("https://klasma.github.io/Logging_2180/tillsyn/A 59385-2024 tillsynsbegäran.docx", "A 59385-2024")</f>
        <v/>
      </c>
      <c r="Y718">
        <f>HYPERLINK("https://klasma.github.io/Logging_2180/tillsynsmail/A 59385-2024 tillsynsbegäran mail.docx", "A 59385-2024")</f>
        <v/>
      </c>
    </row>
    <row r="719" ht="15" customHeight="1">
      <c r="A719" t="inlineStr">
        <is>
          <t>A 60375-2024</t>
        </is>
      </c>
      <c r="B719" s="1" t="n">
        <v>45643</v>
      </c>
      <c r="C719" s="1" t="n">
        <v>45668</v>
      </c>
      <c r="D719" t="inlineStr">
        <is>
          <t>GÄVLEBORGS LÄN</t>
        </is>
      </c>
      <c r="E719" t="inlineStr">
        <is>
          <t>HOFORS</t>
        </is>
      </c>
      <c r="G719" t="n">
        <v>4.5</v>
      </c>
      <c r="H719" t="n">
        <v>0</v>
      </c>
      <c r="I719" t="n">
        <v>0</v>
      </c>
      <c r="J719" t="n">
        <v>1</v>
      </c>
      <c r="K719" t="n">
        <v>0</v>
      </c>
      <c r="L719" t="n">
        <v>0</v>
      </c>
      <c r="M719" t="n">
        <v>0</v>
      </c>
      <c r="N719" t="n">
        <v>0</v>
      </c>
      <c r="O719" t="n">
        <v>1</v>
      </c>
      <c r="P719" t="n">
        <v>0</v>
      </c>
      <c r="Q719" t="n">
        <v>1</v>
      </c>
      <c r="R719" s="2" t="inlineStr">
        <is>
          <t>Luddfingersvamp</t>
        </is>
      </c>
      <c r="S719">
        <f>HYPERLINK("https://klasma.github.io/Logging_2104/artfynd/A 60375-2024 artfynd.xlsx", "A 60375-2024")</f>
        <v/>
      </c>
      <c r="T719">
        <f>HYPERLINK("https://klasma.github.io/Logging_2104/kartor/A 60375-2024 karta.png", "A 60375-2024")</f>
        <v/>
      </c>
      <c r="V719">
        <f>HYPERLINK("https://klasma.github.io/Logging_2104/klagomål/A 60375-2024 FSC-klagomål.docx", "A 60375-2024")</f>
        <v/>
      </c>
      <c r="W719">
        <f>HYPERLINK("https://klasma.github.io/Logging_2104/klagomålsmail/A 60375-2024 FSC-klagomål mail.docx", "A 60375-2024")</f>
        <v/>
      </c>
      <c r="X719">
        <f>HYPERLINK("https://klasma.github.io/Logging_2104/tillsyn/A 60375-2024 tillsynsbegäran.docx", "A 60375-2024")</f>
        <v/>
      </c>
      <c r="Y719">
        <f>HYPERLINK("https://klasma.github.io/Logging_2104/tillsynsmail/A 60375-2024 tillsynsbegäran mail.docx", "A 60375-2024")</f>
        <v/>
      </c>
    </row>
    <row r="720" ht="15" customHeight="1">
      <c r="A720" t="inlineStr">
        <is>
          <t>A 990-2025</t>
        </is>
      </c>
      <c r="B720" s="1" t="n">
        <v>45666</v>
      </c>
      <c r="C720" s="1" t="n">
        <v>45668</v>
      </c>
      <c r="D720" t="inlineStr">
        <is>
          <t>GÄVLEBORGS LÄN</t>
        </is>
      </c>
      <c r="E720" t="inlineStr">
        <is>
          <t>LJUSDAL</t>
        </is>
      </c>
      <c r="F720" t="inlineStr">
        <is>
          <t>Sveaskog</t>
        </is>
      </c>
      <c r="G720" t="n">
        <v>2.1</v>
      </c>
      <c r="H720" t="n">
        <v>0</v>
      </c>
      <c r="I720" t="n">
        <v>0</v>
      </c>
      <c r="J720" t="n">
        <v>1</v>
      </c>
      <c r="K720" t="n">
        <v>0</v>
      </c>
      <c r="L720" t="n">
        <v>0</v>
      </c>
      <c r="M720" t="n">
        <v>0</v>
      </c>
      <c r="N720" t="n">
        <v>0</v>
      </c>
      <c r="O720" t="n">
        <v>1</v>
      </c>
      <c r="P720" t="n">
        <v>0</v>
      </c>
      <c r="Q720" t="n">
        <v>1</v>
      </c>
      <c r="R720" s="2" t="inlineStr">
        <is>
          <t>Lunglav</t>
        </is>
      </c>
      <c r="S720">
        <f>HYPERLINK("https://klasma.github.io/Logging_2161/artfynd/A 990-2025 artfynd.xlsx", "A 990-2025")</f>
        <v/>
      </c>
      <c r="T720">
        <f>HYPERLINK("https://klasma.github.io/Logging_2161/kartor/A 990-2025 karta.png", "A 990-2025")</f>
        <v/>
      </c>
      <c r="V720">
        <f>HYPERLINK("https://klasma.github.io/Logging_2161/klagomål/A 990-2025 FSC-klagomål.docx", "A 990-2025")</f>
        <v/>
      </c>
      <c r="W720">
        <f>HYPERLINK("https://klasma.github.io/Logging_2161/klagomålsmail/A 990-2025 FSC-klagomål mail.docx", "A 990-2025")</f>
        <v/>
      </c>
      <c r="X720">
        <f>HYPERLINK("https://klasma.github.io/Logging_2161/tillsyn/A 990-2025 tillsynsbegäran.docx", "A 990-2025")</f>
        <v/>
      </c>
      <c r="Y720">
        <f>HYPERLINK("https://klasma.github.io/Logging_2161/tillsynsmail/A 990-2025 tillsynsbegäran mail.docx", "A 990-2025")</f>
        <v/>
      </c>
    </row>
    <row r="721" ht="15" customHeight="1">
      <c r="A721" t="inlineStr">
        <is>
          <t>A 17688-2019</t>
        </is>
      </c>
      <c r="B721" s="1" t="n">
        <v>43556</v>
      </c>
      <c r="C721" s="1" t="n">
        <v>45668</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45668</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45668</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45668</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45668</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45668</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45668</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45668</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45668</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45668</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45668</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45668</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45668</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45668</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45668</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45668</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45668</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45668</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45668</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45668</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45668</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45668</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45668</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45668</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45668</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45668</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45668</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45668</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45668</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45668</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45668</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45668</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45668</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45668</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45668</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45668</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45668</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45668</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45668</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45668</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45668</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45668</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45668</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45668</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45668</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45668</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45668</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45668</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45668</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45668</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45668</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45668</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45668</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45668</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45668</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45668</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45668</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45668</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45668</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45668</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45668</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45668</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45668</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45668</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45668</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45668</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45668</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45668</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45668</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45668</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45668</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45668</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45668</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45668</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45668</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45668</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45668</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45668</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45668</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45668</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45668</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45668</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45668</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45668</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45668</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45668</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45668</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45668</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45668</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45668</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45668</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45668</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45668</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45668</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45668</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45668</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45668</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45668</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45668</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45668</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45668</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45668</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45668</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45668</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45668</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45668</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45668</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45668</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45668</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45668</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45668</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45668</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45668</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45668</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45668</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45668</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45668</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45668</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45668</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45668</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45668</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45668</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45668</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45668</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45668</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45668</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45668</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45668</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45668</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45668</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45668</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45668</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45668</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45668</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45668</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45668</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45668</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45668</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45668</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45668</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45668</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45668</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45668</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45668</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45668</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45668</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45668</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45668</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45668</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45668</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45668</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45668</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45668</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45668</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45668</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45668</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45668</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45668</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45668</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45668</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45668</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45668</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45668</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45668</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45668</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45668</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45668</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45668</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45668</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45668</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45668</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45668</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45668</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45668</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45668</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45668</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45668</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45668</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45668</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45668</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45668</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45668</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45668</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45668</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45668</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45668</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45668</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45668</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45668</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45668</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45668</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45668</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45668</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45668</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45668</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45668</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45668</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45668</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45668</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45668</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45668</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45668</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45668</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45668</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45668</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45668</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45668</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45668</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45668</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45668</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45668</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45668</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45668</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45668</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45668</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45668</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45668</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45668</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45668</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45668</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45668</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45668</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45668</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45668</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45668</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45668</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45668</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45668</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45668</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45668</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45668</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45668</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45668</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45668</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45668</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45668</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45668</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45668</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45668</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45668</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45668</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45668</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45668</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45668</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45668</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45668</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45668</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45668</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45668</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45668</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45668</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45668</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45668</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45668</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45668</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45668</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45668</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45668</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45668</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45668</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45668</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45668</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45668</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45668</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45668</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45668</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45668</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45668</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45668</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45668</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45668</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45668</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45668</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45668</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45668</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45668</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45668</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45668</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45668</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45668</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45668</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45668</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45668</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45668</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45668</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45668</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45668</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45668</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45668</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45668</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45668</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45668</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45668</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45668</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45668</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45668</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45668</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45668</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45668</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45668</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45668</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45668</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45668</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45668</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45668</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45668</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45668</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45668</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45668</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45668</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45668</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45668</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45668</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45668</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45668</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45668</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45668</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45668</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45668</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45668</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45668</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45668</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45668</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45668</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45668</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45668</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45668</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45668</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45668</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45668</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45668</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45668</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45668</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45668</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45668</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45668</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45668</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45668</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45668</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45668</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45668</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45668</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45668</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45668</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45668</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45668</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45668</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45668</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45668</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45668</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45668</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45668</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45668</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45668</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45668</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45668</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45668</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45668</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45668</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45668</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45668</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45668</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45668</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45668</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45668</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45668</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45668</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45668</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45668</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45668</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45668</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45668</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45668</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45668</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45668</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45668</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45668</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45668</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45668</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45668</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45668</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45668</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45668</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45668</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45668</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45668</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45668</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45668</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45668</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45668</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45668</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45668</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45668</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45668</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45668</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45668</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45668</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45668</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45668</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45668</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45668</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45668</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45668</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45668</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45668</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45668</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45668</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45668</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45668</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45668</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45668</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45668</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45668</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45668</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45668</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45668</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45668</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45668</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45668</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45668</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45668</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45668</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45668</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45668</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45668</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45668</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45668</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45668</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45668</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45668</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45668</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45668</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45668</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45668</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45668</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45668</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45668</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45668</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45668</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45668</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45668</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45668</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45668</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45668</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45668</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45668</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45668</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45668</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45668</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45668</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45668</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45668</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45668</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45668</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45668</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45668</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45668</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45668</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45668</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45668</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45668</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45668</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45668</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45668</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45668</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45668</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45668</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45668</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45668</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45668</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45668</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45668</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45668</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45668</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45668</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45668</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45668</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45668</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45668</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45668</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45668</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45668</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45668</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45668</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45668</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45668</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45668</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45668</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45668</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45668</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45668</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45668</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45668</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45668</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45668</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45668</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45668</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45668</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45668</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45668</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45668</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45668</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45668</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45668</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45668</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45668</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45668</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45668</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45668</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45668</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45668</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45668</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45668</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45668</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45668</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45668</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45668</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45668</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45668</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45668</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45668</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45668</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45668</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45668</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45668</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45668</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45668</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45668</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45668</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45668</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45668</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45668</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45668</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45668</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45668</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45668</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45668</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45668</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45668</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45668</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45668</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45668</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45668</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45668</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45668</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45668</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45668</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45668</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45668</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45668</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45668</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45668</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45668</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45668</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45668</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45668</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45668</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45668</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45668</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45668</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45668</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45668</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45668</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45668</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45668</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45668</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45668</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45668</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45668</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45668</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45668</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45668</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45668</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45668</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45668</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45668</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45668</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45668</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45668</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45668</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45668</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45668</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45668</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45668</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45668</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45668</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45668</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45668</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45668</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45668</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45668</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45668</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45668</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45668</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45668</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45668</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45668</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45668</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45668</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45668</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45668</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45668</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45668</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45668</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45668</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45668</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45668</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45668</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45668</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45668</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45668</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45668</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45668</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45668</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45668</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45668</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45668</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45668</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45668</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45668</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45668</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45668</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45668</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45668</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45668</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45668</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45668</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45668</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45668</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45668</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45668</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45668</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45668</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45668</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45668</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45668</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45668</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45668</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45668</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45668</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45668</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45668</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45668</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45668</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45668</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45668</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45668</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45668</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45668</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45668</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45668</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45668</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45668</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45668</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45668</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45668</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45668</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45668</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45668</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45668</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45668</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45668</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45668</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45668</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45668</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45668</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45668</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45668</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45668</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45668</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45668</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45668</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45668</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45668</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45668</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45668</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45668</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45668</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45668</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45668</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45668</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45668</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45668</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45668</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45668</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45668</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45668</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45668</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45668</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45668</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45668</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45668</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45668</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45668</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45668</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45668</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45668</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45668</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45668</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45668</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45668</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45668</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45668</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45668</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45668</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45668</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45668</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45668</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45668</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45668</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45668</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45668</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45668</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45668</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45668</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45668</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45668</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45668</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45668</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45668</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45668</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45668</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45668</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45668</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45668</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45668</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45668</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45668</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45668</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45668</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45668</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45668</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45668</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45668</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45668</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45668</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45668</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45668</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45668</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45668</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45668</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45668</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45668</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45668</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45668</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45668</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45668</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45668</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45668</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45668</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45668</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45668</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45668</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45668</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45668</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45668</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45668</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45668</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45668</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45668</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45668</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45668</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45668</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45668</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45668</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45668</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45668</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45668</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45668</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45668</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45668</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45668</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45668</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45668</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45668</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45668</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45668</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45668</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45668</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45668</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45668</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45668</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45668</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45668</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45668</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45668</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45668</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45668</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45668</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45668</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45668</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45668</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45668</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45668</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45668</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45668</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45668</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45668</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45668</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45668</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45668</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45668</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45668</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45668</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45668</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45668</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45668</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45668</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45668</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45668</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45668</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45668</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45668</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45668</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45668</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45668</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45668</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45668</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45668</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45668</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45668</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45668</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45668</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45668</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45668</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45668</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45668</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45668</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45668</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45668</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45668</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45668</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45668</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45668</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45668</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45668</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45668</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45668</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45668</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45668</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45668</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45668</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45668</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45668</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45668</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45668</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45668</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45668</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45668</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45668</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45668</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45668</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45668</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45668</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45668</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45668</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45668</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45668</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45668</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45668</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45668</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45668</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45668</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45668</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45668</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45668</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45668</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45668</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45668</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45668</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45668</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45668</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45668</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45668</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45668</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45668</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45668</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45668</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45668</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45668</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45668</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45668</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45668</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45668</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45668</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45668</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45668</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45668</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45668</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45668</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45668</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45668</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45668</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45668</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45668</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45668</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45668</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45668</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45668</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45668</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45668</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45668</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45668</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45668</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45668</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45668</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45668</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45668</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45668</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45668</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45668</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45668</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45668</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45668</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45668</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45668</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45668</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45668</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45668</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45668</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45668</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45668</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45668</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45668</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45668</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45668</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45668</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45668</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45668</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45668</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45668</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45668</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45668</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45668</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45668</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45668</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45668</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45668</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45668</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45668</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45668</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45668</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45668</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45668</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45668</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45668</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45668</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45668</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45668</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45668</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45668</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45668</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45668</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45668</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45668</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45668</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45668</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45668</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45668</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45668</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45668</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45668</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45668</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45668</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45668</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45668</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45668</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45668</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45668</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45668</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45668</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45668</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45668</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45668</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45668</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45668</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45668</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45668</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45668</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45668</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45668</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45668</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45668</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45668</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45668</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45668</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45668</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45668</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45668</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45668</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45668</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45668</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45668</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45668</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45668</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45668</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45668</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45668</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45668</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45668</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45668</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45668</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45668</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45668</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45668</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45668</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45668</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45668</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45668</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45668</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45668</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45668</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45668</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45668</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45668</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45668</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45668</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45668</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45668</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45668</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45668</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45668</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45668</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45668</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45668</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45668</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45668</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45668</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45668</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45668</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45668</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45668</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45668</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45668</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45668</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45668</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45668</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45668</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45668</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45668</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45668</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45668</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45668</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45668</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45668</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45668</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45668</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45668</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45668</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45668</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45668</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45668</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45668</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45668</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45668</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45668</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45668</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45668</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45668</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45668</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45668</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45668</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45668</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45668</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45668</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45668</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45668</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45668</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45668</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45668</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45668</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45668</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45668</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45668</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45668</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45668</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45668</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45668</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45668</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45668</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45668</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45668</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45668</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45668</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45668</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45668</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45668</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45668</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45668</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45668</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45668</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45668</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45668</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45668</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45668</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45668</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45668</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45668</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45668</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45668</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45668</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45668</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45668</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45668</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45668</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45668</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45668</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45668</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45668</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45668</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45668</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45668</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45668</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45668</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45668</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45668</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45668</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45668</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45668</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45668</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45668</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45668</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45668</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45668</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45668</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45668</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45668</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45668</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45668</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45668</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45668</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45668</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45668</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45668</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45668</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45668</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45668</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45668</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45668</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45668</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45668</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45668</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45668</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45668</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45668</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45668</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45668</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45668</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45668</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45668</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45668</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45668</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45668</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45668</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45668</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45668</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45668</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45668</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45668</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45668</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45668</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45668</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45668</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45668</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45668</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45668</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45668</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45668</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45668</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45668</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45668</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45668</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45668</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45668</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45668</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45668</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45668</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45668</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45668</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45668</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45668</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45668</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45668</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45668</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45668</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45668</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45668</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45668</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45668</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45668</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45668</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45668</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45668</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45668</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45668</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45668</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45668</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45668</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45668</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45668</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45668</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45668</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45668</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45668</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45668</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45668</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45668</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45668</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45668</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45668</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45668</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45668</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45668</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45668</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45668</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45668</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45668</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45668</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45668</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45668</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45668</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45668</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45668</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45668</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45668</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45668</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45668</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45668</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45668</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45668</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45668</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45668</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45668</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45668</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45668</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45668</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45668</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45668</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45668</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45668</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45668</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45668</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45668</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45668</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45668</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45668</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45668</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45668</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45668</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45668</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45668</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45668</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45668</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45668</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45668</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45668</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45668</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45668</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45668</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45668</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45668</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45668</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45668</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45668</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45668</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45668</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45668</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45668</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45668</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45668</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45668</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45668</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45668</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45668</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45668</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45668</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45668</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45668</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45668</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45668</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45668</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45668</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45668</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45668</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45668</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45668</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45668</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45668</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45668</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45668</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45668</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45668</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45668</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45668</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45668</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45668</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45668</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45668</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45668</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45668</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45668</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45668</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45668</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45668</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45668</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45668</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45668</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45668</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45668</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45668</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45668</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45668</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45668</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45668</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45668</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45668</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45668</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45668</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45668</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45668</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45668</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45668</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45668</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45668</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45668</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45668</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45668</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45668</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45668</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45668</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45668</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45668</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45668</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45668</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45668</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45668</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45668</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45668</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45668</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45668</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45668</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45668</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45668</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45668</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45668</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45668</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45668</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45668</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45668</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45668</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45668</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45668</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45668</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45668</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45668</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45668</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45668</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45668</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45668</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45668</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45668</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45668</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45668</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45668</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45668</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45668</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45668</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45668</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45668</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45668</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45668</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45668</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45668</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45668</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45668</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45668</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45668</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45668</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45668</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45668</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45668</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45668</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45668</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45668</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45668</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45668</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45668</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45668</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45668</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45668</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45668</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45668</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45668</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45668</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45668</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45668</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45668</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45668</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45668</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45668</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45668</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45668</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45668</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45668</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45668</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45668</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45668</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45668</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45668</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45668</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45668</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45668</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45668</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45668</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45668</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45668</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45668</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45668</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45668</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45668</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45668</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45668</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45668</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45668</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45668</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45668</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45668</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45668</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45668</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45668</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45668</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45668</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45668</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45668</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45668</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45668</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45668</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45668</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45668</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45668</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45668</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45668</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45668</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45668</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45668</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45668</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45668</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45668</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45668</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45668</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45668</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45668</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45668</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45668</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45668</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45668</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45668</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45668</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45668</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45668</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45668</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45668</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45668</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45668</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45668</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45668</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45668</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45668</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45668</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45668</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45668</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45668</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45668</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45668</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45668</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45668</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45668</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45668</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45668</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45668</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45668</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45668</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45668</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45668</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45668</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45668</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45668</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45668</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45668</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45668</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45668</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45668</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45668</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45668</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45668</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45668</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45668</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45668</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45668</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45668</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45668</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45668</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45668</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45668</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45668</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45668</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45668</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45668</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45668</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45668</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45668</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45668</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45668</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45668</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45668</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45668</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45668</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45668</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45668</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45668</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45668</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45668</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45668</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45668</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45668</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45668</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45668</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45668</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45668</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45668</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45668</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45668</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45668</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45668</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45668</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45668</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45668</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45668</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45668</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45668</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45668</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45668</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45668</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45668</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45668</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45668</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45668</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45668</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45668</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45668</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45668</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45668</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45668</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45668</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45668</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45668</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45668</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45668</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45668</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45668</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45668</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45668</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45668</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45668</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45668</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45668</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45668</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45668</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45668</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45668</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45668</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45668</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45668</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45668</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45668</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45668</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45668</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45668</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45668</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45668</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45668</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45668</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45668</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45668</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45668</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45668</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45668</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45668</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45668</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45668</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45668</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45668</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45668</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45668</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45668</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45668</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45668</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45668</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45668</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45668</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45668</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45668</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45668</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45668</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45668</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45668</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45668</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45668</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45668</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45668</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45668</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45668</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45668</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45668</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45668</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45668</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45668</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45668</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45668</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45668</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45668</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45668</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45668</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45668</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45668</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45668</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45668</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45668</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45668</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45668</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45668</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45668</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45668</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45668</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45668</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45668</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45668</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45668</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45668</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45668</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45668</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45668</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45668</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45668</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45668</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45668</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45668</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45668</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45668</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45668</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45668</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45668</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45668</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45668</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45668</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45668</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45668</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45668</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45668</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45668</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45668</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45668</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45668</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45668</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45668</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45668</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45668</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45668</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45668</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45668</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45668</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45668</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45668</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45668</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45668</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45668</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45668</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45668</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45668</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45668</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45668</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45668</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45668</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45668</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45668</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45668</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45668</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45668</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45668</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45668</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45668</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45668</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45668</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45668</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45668</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45668</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45668</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45668</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45668</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45668</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45668</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45668</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45668</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45668</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45668</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45668</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45668</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45668</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45668</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45668</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45668</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45668</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45668</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45668</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45668</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45668</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45668</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45668</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45668</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45668</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45668</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45668</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45668</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45668</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45668</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45668</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45668</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45668</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45668</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45668</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45668</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45668</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45668</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45668</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45668</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45668</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45668</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45668</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45668</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45668</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45668</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45668</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45668</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45668</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45668</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45668</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45668</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45668</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45668</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45668</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45668</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45668</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45668</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45668</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45668</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45668</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45668</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45668</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45668</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45668</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45668</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45668</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45668</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45668</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45668</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45668</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45668</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45668</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45668</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45668</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45668</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45668</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45668</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45668</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45668</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45668</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45668</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45668</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45668</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45668</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45668</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45668</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45668</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45668</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45668</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45668</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45668</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45668</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45668</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45668</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45668</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45668</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45668</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45668</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45668</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45668</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45668</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45668</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45668</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45668</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45668</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45668</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45668</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45668</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45668</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45668</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45668</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45668</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45668</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45668</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45668</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45668</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45668</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45668</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45668</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45668</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45668</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45668</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45668</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45668</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45668</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45668</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45668</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45668</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45668</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45668</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45668</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45668</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45668</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45668</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45668</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45668</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45668</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45668</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45668</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45668</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45668</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45668</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45668</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45668</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45668</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45668</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45668</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45668</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45668</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45668</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45668</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45668</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45668</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45668</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45668</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45668</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45668</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45668</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45668</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45668</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45668</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45668</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45668</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45668</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45668</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45668</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45668</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45668</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45668</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45668</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45668</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45668</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45668</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45668</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45668</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45668</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45668</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45668</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45668</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45668</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45668</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45668</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45668</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45668</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45668</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45668</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45668</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45668</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45668</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45668</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45668</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45668</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45668</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45668</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45668</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45668</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45668</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45668</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45668</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45668</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45668</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45668</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45668</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45668</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45668</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45668</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45668</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45668</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45668</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45668</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45668</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45668</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45668</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45668</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45668</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45668</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45668</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45668</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45668</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45668</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45668</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45668</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45668</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45668</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45668</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45668</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45668</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45668</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45668</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45668</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45668</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45668</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45668</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45668</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45668</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45668</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45668</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45668</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45668</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45668</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45668</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45668</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45668</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45668</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45668</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45668</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45668</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45668</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45668</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45668</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45668</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45668</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45668</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45668</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45668</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45668</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45668</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45668</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45668</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45668</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45668</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45668</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45668</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45668</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45668</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45668</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45668</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45668</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45668</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45668</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45668</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45668</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45668</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45668</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45668</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45668</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45668</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45668</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45668</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45668</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45668</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45668</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45668</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45668</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45668</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45668</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45668</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45668</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45668</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45668</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45668</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45668</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45668</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45668</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45668</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45668</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45668</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45668</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45668</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45668</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45668</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45668</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45668</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45668</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45668</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45668</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45668</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45668</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45668</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45668</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45668</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45668</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45668</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45668</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45668</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45668</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45668</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45668</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45668</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45668</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45668</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45668</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45668</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45668</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45668</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45668</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45668</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45668</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45668</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45668</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45668</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45668</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45668</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45668</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45668</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45668</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45668</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45668</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45668</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45668</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45668</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45668</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45668</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45668</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45668</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45668</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45668</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45668</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45668</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45668</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45668</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45668</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45668</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45668</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45668</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45668</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45668</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45668</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45668</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45668</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45668</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45668</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45668</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45668</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45668</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45668</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45668</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45668</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45668</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45668</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45668</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45668</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45668</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45668</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45668</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45668</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45668</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45668</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45668</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45668</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45668</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45668</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45668</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45668</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45668</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45668</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45668</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45668</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45668</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45668</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45668</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45668</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45668</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45668</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45668</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45668</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45668</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45668</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45668</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45668</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45668</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45668</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45668</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45668</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45668</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45668</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45668</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45668</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45668</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45668</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45668</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45668</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45668</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45668</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45668</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45668</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45668</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45668</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45668</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45668</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45668</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45668</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45668</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45668</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45668</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45668</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45668</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45668</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45668</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45668</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45668</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45668</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45668</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45668</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45668</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45668</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45668</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45668</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45668</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45668</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45668</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45668</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45668</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45668</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45668</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45668</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45668</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45668</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45668</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45668</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45668</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45668</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45668</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45668</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45668</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45668</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45668</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45668</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45668</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45668</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45668</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45668</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45668</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45668</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45668</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45668</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45668</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45668</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45668</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45668</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45668</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45668</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45668</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45668</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45668</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45668</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45668</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45668</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45668</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45668</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45668</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45668</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45668</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45668</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45668</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45668</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45668</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45668</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45668</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45668</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45668</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45668</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45668</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45668</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45668</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45668</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45668</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45668</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45668</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45668</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45668</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45668</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45668</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45668</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45668</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45668</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45668</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45668</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45668</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45668</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45668</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45668</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45668</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45668</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45668</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45668</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45668</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45668</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45668</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45668</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45668</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45668</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45668</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45668</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45668</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45668</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45668</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45668</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45668</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45668</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45668</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45668</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45668</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45668</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45668</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45668</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45668</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45668</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45668</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45668</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45668</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45668</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45668</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45668</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45668</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45668</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45668</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45668</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45668</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45668</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45668</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45668</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45668</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45668</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45668</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45668</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45668</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45668</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45668</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45668</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45668</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45668</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45668</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45668</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45668</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45668</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45668</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45668</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45668</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45668</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45668</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45668</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45668</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45668</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45668</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45668</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45668</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45668</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45668</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45668</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45668</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45668</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45668</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45668</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45668</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45668</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45668</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45668</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45668</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45668</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45668</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45668</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45668</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45668</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45668</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45668</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45668</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45668</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45668</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45668</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45668</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45668</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45668</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45668</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45668</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45668</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45668</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45668</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45668</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45668</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45668</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45668</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45668</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45668</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45668</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45668</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45668</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45668</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45668</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45668</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45668</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45668</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45668</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45668</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45668</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45668</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45668</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45668</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45668</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45668</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45668</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45668</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45668</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45668</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45668</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45668</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45668</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45668</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45668</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45668</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45668</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45668</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45668</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45668</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45668</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45668</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45668</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45668</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45668</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45668</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45668</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45668</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45668</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45668</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45668</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45668</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45668</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45668</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45668</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45668</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45668</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45668</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45668</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45668</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45668</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45668</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45668</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45668</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45668</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45668</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45668</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45668</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45668</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45668</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45668</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45668</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45668</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45668</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45668</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45668</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45668</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45668</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45668</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45668</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45668</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45668</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45668</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45668</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45668</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45668</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45668</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45668</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45668</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45668</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45668</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45668</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45668</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45668</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45668</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45668</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45668</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45668</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45668</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45668</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45668</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45668</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45668</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45668</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45668</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45668</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45668</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45668</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45668</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45668</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45668</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45668</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45668</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45668</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45668</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45668</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45668</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45668</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45668</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45668</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45668</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45668</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45668</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45668</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45668</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45668</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45668</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45668</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45668</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45668</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45668</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45668</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45668</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45668</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45668</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45668</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45668</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45668</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45668</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45668</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45668</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45668</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45668</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45668</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45668</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45668</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45668</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45668</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45668</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45668</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45668</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45668</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45668</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45668</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45668</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45668</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45668</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45668</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45668</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45668</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45668</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45668</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45668</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45668</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45668</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45668</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45668</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45668</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45668</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45668</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45668</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45668</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45668</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45668</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45668</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45668</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45668</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45668</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45668</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45668</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45668</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45668</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45668</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45668</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45668</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45668</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45668</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45668</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45668</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45668</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45668</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45668</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45668</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45668</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45668</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45668</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45668</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45668</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45668</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45668</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45668</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45668</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45668</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45668</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45668</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45668</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45668</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45668</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45668</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45668</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45668</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45668</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45668</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45668</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45668</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45668</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45668</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45668</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45668</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45668</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45668</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45668</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45668</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45668</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45668</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45668</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45668</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45668</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45668</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45668</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45668</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45668</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45668</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45668</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45668</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45668</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45668</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45668</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45668</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45668</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45668</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45668</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45668</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45668</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45668</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45668</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45668</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45668</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45668</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45668</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45668</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45668</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45668</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45668</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45668</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45668</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45668</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45668</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45668</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45668</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45668</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45668</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45668</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45668</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45668</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45668</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45668</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45668</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45668</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45668</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45668</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45668</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45668</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45668</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45668</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45668</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45668</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45668</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45668</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45668</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45668</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45668</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45668</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45668</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45668</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45668</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45668</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45668</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45668</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45668</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45668</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45668</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45668</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45668</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45668</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45668</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45668</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45668</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45668</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45668</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45668</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45668</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45668</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45668</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45668</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45668</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45668</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45668</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45668</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45668</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45668</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45668</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45668</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45668</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45668</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45668</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45668</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45668</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45668</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45668</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45668</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45668</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45668</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45668</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45668</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45668</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45668</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45668</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45668</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45668</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45668</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45668</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45668</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45668</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45668</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45668</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45668</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45668</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45668</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45668</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45668</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45668</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45668</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45668</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45668</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45668</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45668</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45668</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45668</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45668</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45668</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45668</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45668</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45668</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45668</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45668</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45668</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45668</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45668</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45668</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45668</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45668</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45668</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45668</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45668</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45668</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45668</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45668</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45668</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45668</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45668</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45668</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45668</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45668</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45668</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45668</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45668</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45668</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45668</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45668</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45668</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45668</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45668</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45668</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45668</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45668</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45668</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45668</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45668</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45668</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45668</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45668</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45668</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45668</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45668</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45668</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45668</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45668</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45668</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45668</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45668</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45668</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45668</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45668</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45668</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45668</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45668</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45668</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45668</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45668</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45668</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45668</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45668</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45668</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45668</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45668</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45668</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45668</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45668</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45668</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45668</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45668</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45668</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45668</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45668</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45668</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45668</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45668</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45668</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45668</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45668</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45668</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45668</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45668</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45668</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45668</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45668</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45668</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45668</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45668</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45668</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45668</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45668</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45668</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45668</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45668</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45668</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45668</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45668</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45668</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45668</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45668</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45668</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45668</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45668</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45668</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45668</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45668</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45668</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45668</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45668</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45668</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45668</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45668</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45668</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45668</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45668</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45668</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45668</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45668</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45668</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45668</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45668</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45668</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45668</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45668</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45668</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45668</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45668</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45668</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45668</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45668</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45668</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45668</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45668</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45668</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45668</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45668</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45668</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45668</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45668</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45668</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45668</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45668</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45668</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45668</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45668</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45668</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45668</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45668</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45668</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45668</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45668</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45668</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45668</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45668</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45668</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45668</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45668</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45668</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45668</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45668</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45668</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45668</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45668</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45668</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45668</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45668</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45668</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45668</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45668</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45668</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45668</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45668</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45668</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45668</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45668</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45668</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45668</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45668</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45668</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45668</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45668</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45668</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45668</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45668</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45668</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45668</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45668</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45668</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45668</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45668</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45668</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45668</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45668</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45668</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45668</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45668</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45668</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45668</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45668</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45668</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45668</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45668</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45668</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45668</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45668</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45668</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45668</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45668</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45668</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45668</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45668</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45668</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45668</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45668</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45668</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45668</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45668</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45668</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45668</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45668</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45668</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45668</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45668</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45668</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45668</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45668</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45668</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45668</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45668</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45668</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45668</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45668</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45668</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45668</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45668</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45668</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45668</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45668</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45668</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45668</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45668</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45668</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45668</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45668</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45668</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45668</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45668</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45668</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45668</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45668</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45668</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45668</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45668</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45668</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45668</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45668</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45668</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45668</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45668</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45668</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45668</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45668</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45668</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45668</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45668</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45668</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45668</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45668</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45668</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45668</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45668</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45668</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45668</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45668</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45668</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45668</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45668</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45668</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45668</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45668</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45668</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45668</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45668</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45668</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45668</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45668</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45668</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45668</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45668</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45668</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45668</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45668</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45668</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45668</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45668</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45668</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45668</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45668</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45668</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45668</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45668</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45668</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45668</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45668</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45668</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45668</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45668</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45668</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45668</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45668</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45668</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45668</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45668</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45668</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45668</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45668</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45668</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45668</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45668</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45668</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45668</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45668</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45668</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45668</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45668</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45668</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45668</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45668</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45668</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45668</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45668</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45668</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45668</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45668</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45668</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45668</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45668</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45668</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45668</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45668</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45668</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45668</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45668</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45668</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45668</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45668</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45668</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45668</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45668</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45668</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45668</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45668</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45668</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45668</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45668</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45668</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45668</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45668</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45668</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45668</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45668</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45668</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45668</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45668</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45668</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45668</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45668</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45668</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45668</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45668</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45668</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45668</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45668</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45668</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45668</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45668</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45668</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45668</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45668</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45668</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45668</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45668</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45668</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45668</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45668</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45668</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45668</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45668</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45668</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45668</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45668</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45668</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45668</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45668</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45668</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45668</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45668</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45668</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45668</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45668</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45668</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45668</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45668</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45668</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45668</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45668</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45668</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45668</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45668</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45668</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45668</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45668</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45668</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45668</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45668</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45668</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45668</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45668</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45668</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45668</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45668</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45668</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45668</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45668</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45668</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45668</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45668</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45668</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45668</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45668</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45668</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45668</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45668</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45668</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45668</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45668</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45668</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45668</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45668</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45668</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45668</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45668</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45668</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45668</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45668</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45668</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45668</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45668</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45668</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45668</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45668</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45668</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45668</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45668</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45668</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45668</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45668</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45668</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45668</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45668</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45668</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45668</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45668</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45668</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45668</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45668</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45668</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45668</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45668</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45668</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45668</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45668</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45668</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45668</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45668</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45668</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45668</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45668</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45668</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45668</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45668</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45668</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45668</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45668</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45668</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45668</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45668</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45668</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45668</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45668</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45668</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45668</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45668</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45668</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45668</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45668</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45668</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45668</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45668</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45668</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45668</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45668</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45668</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45668</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45668</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45668</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45668</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45668</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45668</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45668</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45668</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45668</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45668</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45668</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45668</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45668</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45668</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45668</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45668</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45668</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45668</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45668</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45668</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45668</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45668</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45668</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45668</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45668</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45668</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45668</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45668</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45668</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45668</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45668</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45668</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45668</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45668</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45668</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45668</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45668</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45668</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45668</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45668</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45668</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45668</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45668</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45668</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45668</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45668</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45668</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45668</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45668</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45668</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45668</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45668</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45668</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45668</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45668</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45668</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45668</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45668</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45668</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45668</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45668</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45668</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45668</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45668</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45668</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45668</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45668</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45668</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45668</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45668</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45668</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45668</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45668</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45668</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45668</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45668</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45668</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45668</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45668</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45668</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45668</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45668</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45668</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45668</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45668</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45668</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45668</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45668</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45668</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45668</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45668</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45668</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45668</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45668</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45668</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45668</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45668</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45668</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45668</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45668</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45668</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45668</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45668</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45668</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45668</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45668</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45668</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45668</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45668</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45668</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45668</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45668</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45668</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45668</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45668</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45668</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45668</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45668</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45668</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45668</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45668</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45668</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45668</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45668</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45668</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45668</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45668</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45668</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45668</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45668</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45668</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45668</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45668</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45668</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45668</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45668</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45668</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45668</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45668</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45668</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45668</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45668</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45668</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45668</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45668</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45668</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45668</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45668</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45668</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45668</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45668</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45668</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45668</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45668</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45668</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45668</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45668</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45668</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45668</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45668</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45668</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45668</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45668</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45668</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45668</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45668</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45668</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45668</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45668</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45668</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45668</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45668</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45668</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45668</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45668</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45668</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45668</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45668</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45668</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45668</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45668</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45668</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45668</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45668</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45668</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45668</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45668</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45668</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45668</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45668</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45668</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45668</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45668</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45668</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45668</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45668</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45668</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45668</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45668</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45668</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45668</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45668</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45668</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45668</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45668</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45668</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45668</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45668</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45668</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45668</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45668</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45668</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45668</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45668</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45668</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45668</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45668</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45668</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45668</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45668</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45668</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45668</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45668</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45668</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45668</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45668</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45668</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45668</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45668</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45668</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45668</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45668</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45668</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45668</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45668</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45668</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45668</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45668</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45668</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45668</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45668</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45668</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45668</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45668</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45668</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45668</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45668</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45668</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45668</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45668</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45668</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45668</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45668</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45668</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45668</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45668</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45668</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45668</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45668</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45668</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45668</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45668</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45668</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45668</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45668</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45668</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45668</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45668</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45668</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45668</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45668</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45668</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45668</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45668</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45668</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45668</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45668</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45668</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45668</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45668</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45668</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45668</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45668</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45668</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45668</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45668</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45668</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45668</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45668</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45668</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45668</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45668</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45668</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45668</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45668</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45668</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45668</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45668</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45668</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45668</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45668</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45668</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45668</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45668</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45668</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45668</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45668</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45668</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45668</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45668</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45668</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45668</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45668</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45668</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45668</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45668</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45668</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45668</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45668</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45668</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45668</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45668</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45668</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45668</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45668</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45668</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45668</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45668</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45668</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45668</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45668</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45668</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45668</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45668</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45668</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45668</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45668</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45668</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45668</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45668</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45668</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45668</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45668</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45668</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45668</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45668</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45668</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45668</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45668</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45668</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45668</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45668</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45668</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45668</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45668</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45668</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45668</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45668</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45668</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45668</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45668</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45668</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45668</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45668</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45668</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45668</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45668</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45668</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45668</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45668</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45668</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45668</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45668</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45668</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45668</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45668</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45668</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45668</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45668</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45668</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45668</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45668</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45668</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45668</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45668</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45668</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45668</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45668</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45668</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45668</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45668</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45668</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45668</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45668</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45668</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45668</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45668</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45668</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45668</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45668</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45668</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45668</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45668</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45668</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45668</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45668</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45668</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45668</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45668</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45668</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45668</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45668</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45668</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45668</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45668</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45668</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45668</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45668</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45668</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45668</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45668</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45668</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45668</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45668</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45668</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45668</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45668</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45668</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45668</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45668</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45668</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45668</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45668</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45668</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45668</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45668</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45668</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45668</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45668</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45668</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45668</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45668</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45668</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45668</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45668</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45668</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45668</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45668</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45668</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45668</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45668</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45668</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45668</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45668</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45668</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45668</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45668</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45668</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45668</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45668</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45668</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45668</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45668</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45668</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45668</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45668</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45668</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45668</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45668</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45668</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45668</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45668</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45668</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45668</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45668</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45668</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45668</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45668</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45668</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45668</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45668</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45668</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45668</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45668</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45668</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45668</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45668</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45668</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45668</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45668</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45668</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45668</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45668</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45668</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45668</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45668</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45668</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45668</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45668</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45668</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45668</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45668</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45668</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45668</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45668</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45668</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45668</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45668</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45668</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45668</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45668</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45668</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45668</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45668</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45668</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45668</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45668</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45668</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45668</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45668</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45668</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45668</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45668</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45668</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45668</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45668</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45668</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45668</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45668</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45668</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45668</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45668</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45668</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45668</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45668</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45668</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45668</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45668</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45668</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45668</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45668</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45668</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45668</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45668</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45668</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45668</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45668</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45668</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45668</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45668</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45668</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45668</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45668</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45668</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45668</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45668</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45668</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45668</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45668</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45668</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45668</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45668</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45668</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45668</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45668</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45668</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45668</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45668</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45668</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45668</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45668</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45668</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45668</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45668</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45668</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45668</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45668</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45668</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45668</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45668</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45668</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45668</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45668</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45668</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45668</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45668</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45668</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45668</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45668</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45668</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45668</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45668</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45668</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45668</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45668</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45668</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45668</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45668</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45668</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45668</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45668</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45668</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45668</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45668</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45668</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45668</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45668</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45668</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45668</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45668</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45668</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45668</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45668</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45668</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45668</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45668</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45668</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45668</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45668</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45668</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45668</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45668</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45668</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45668</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45668</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45668</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45668</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45668</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45668</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45668</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45668</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45668</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45668</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45668</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45668</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45668</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45668</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45668</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45668</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45668</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45668</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45668</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45668</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45668</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45668</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45668</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45668</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45668</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45668</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45668</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45668</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45668</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45668</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45668</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45668</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45668</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45668</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45668</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45668</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45668</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45668</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45668</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45668</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45668</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45668</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45668</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45668</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45668</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45668</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45668</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45668</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45668</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45668</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45668</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45668</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45668</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45668</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45668</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45668</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45668</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45668</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45668</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45668</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45668</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45668</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45668</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45668</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45668</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45668</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45668</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45668</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45668</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45668</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45668</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45668</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45668</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45668</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45668</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45668</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45668</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45668</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45668</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45668</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45668</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45668</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45668</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45668</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45668</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45668</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45668</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45668</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45668</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45668</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45668</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45668</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45668</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45668</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45668</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45668</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45668</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45668</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45668</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45668</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45668</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45668</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45668</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45668</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45668</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45668</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45668</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45668</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45668</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45668</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45668</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45668</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45668</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45668</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45668</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45668</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45668</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45668</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45668</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45668</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45668</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45668</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45668</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45668</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45668</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45668</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45668</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45668</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45668</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45668</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45668</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45668</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45668</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45668</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45668</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45668</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45668</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45668</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45668</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45668</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45668</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45668</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45668</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45668</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45668</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45668</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45668</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45668</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45668</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45668</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45668</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45668</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45668</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45668</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45668</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45668</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45668</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45668</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45668</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45668</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45668</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45668</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45668</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45668</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45668</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45668</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45668</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45668</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45668</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45668</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45668</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45668</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45668</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45668</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45668</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45668</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45668</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45668</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45668</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45668</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45668</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45668</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45668</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45668</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45668</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45668</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45668</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45668</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45668</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45668</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45668</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45668</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45668</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45668</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45668</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45668</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45668</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45668</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45668</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45668</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45668</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45668</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45668</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45668</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45668</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45668</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45668</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45668</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45668</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45668</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45668</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45668</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45668</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45668</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45668</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45668</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45668</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45668</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45668</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45668</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45668</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45668</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45668</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45668</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45668</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45668</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45668</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45668</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45668</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45668</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45668</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45668</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45668</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45668</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45668</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45668</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45668</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45668</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45668</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45668</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45668</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45668</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45668</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45668</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45668</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45668</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45668</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45668</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45668</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45668</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45668</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45668</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45668</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45668</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45668</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45668</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45668</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45668</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45668</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45668</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45668</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45668</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45668</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45668</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45668</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45668</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45668</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45668</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45668</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45668</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45668</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45668</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45668</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45668</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45668</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45668</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45668</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45668</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45668</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45668</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45668</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45668</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45668</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45668</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45668</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45668</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45668</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45668</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45668</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45668</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45668</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45668</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45668</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45668</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45668</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45668</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45668</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45668</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45668</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45668</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45668</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45668</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45668</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45668</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45668</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45668</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45668</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45668</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45668</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45668</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45668</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45668</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45668</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45668</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45668</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45668</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45668</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45668</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45668</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45668</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45668</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45668</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45668</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45668</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45668</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45668</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45668</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45668</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45668</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45668</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45668</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45668</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45668</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45668</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45668</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45668</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45668</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45668</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45668</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45668</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45668</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45668</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45668</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45668</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45668</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45668</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45668</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45668</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45668</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45668</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45668</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45668</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45668</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45668</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45668</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45668</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45668</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45668</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45668</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45668</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45668</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45668</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45668</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45668</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45668</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45668</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45668</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45668</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45668</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45668</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45668</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45668</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45668</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45668</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45668</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45668</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45668</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45668</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45668</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45668</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45668</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45668</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45668</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45668</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45668</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45668</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45668</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45668</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45668</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45668</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45668</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45668</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45668</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45668</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45668</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45668</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45668</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45668</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45668</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45668</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45668</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45668</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45668</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45668</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45668</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45668</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45668</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45668</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45668</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45668</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45668</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45668</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45668</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45668</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45668</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45668</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45668</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45668</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45668</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45668</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45668</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45668</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45668</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45668</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45668</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45668</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45668</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45668</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45668</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45668</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45668</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45668</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45668</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45668</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45668</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45668</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45668</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45668</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45668</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45668</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45668</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45668</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45668</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45668</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45668</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45668</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45668</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45668</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45668</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45668</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45668</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45668</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45668</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45668</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45668</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45668</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45668</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45668</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45668</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45668</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45668</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45668</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45668</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45668</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45668</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45668</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45668</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45668</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45668</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45668</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45668</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45668</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45668</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45668</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45668</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45668</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45668</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45668</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45668</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45668</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45668</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45668</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45668</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45668</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45668</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45668</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45668</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45668</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45668</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45668</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45668</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45668</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45668</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45668</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45668</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45668</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45668</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45668</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45668</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45668</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45668</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45668</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45668</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45668</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45668</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45668</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45668</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45668</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45668</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45668</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45668</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45668</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45668</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45668</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45668</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45668</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45668</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45668</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45668</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45668</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45668</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45668</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45668</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45668</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45668</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45668</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45668</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45668</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45668</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45668</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45668</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45668</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45668</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45668</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45668</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45668</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45668</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45668</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45668</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45668</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45668</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45668</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45668</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45668</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45668</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45668</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45668</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45668</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45668</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45668</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45668</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45668</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45668</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45668</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45668</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45668</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45668</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45668</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45668</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45668</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45668</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45668</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45668</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45668</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45668</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45668</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45668</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45668</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45668</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45668</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45668</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45668</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45668</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45668</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45668</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45668</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45668</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45668</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45668</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45668</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45668</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45668</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45668</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45668</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45668</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45668</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45668</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45668</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45668</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45668</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45668</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45668</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45668</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45668</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45668</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45668</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45668</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45668</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45668</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45668</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45668</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45668</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45668</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45668</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45668</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45668</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45668</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45668</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45668</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45668</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45668</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45668</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45668</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45668</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45668</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45668</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45668</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45668</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45668</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45668</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45668</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45668</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45668</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45668</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45668</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45668</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45668</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45668</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45668</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45668</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45668</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45668</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45668</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45668</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45668</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45668</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45668</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45668</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45668</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45668</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45668</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45668</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45668</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45668</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45668</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45668</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45668</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45668</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45668</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45668</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45668</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45668</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45668</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45668</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45668</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45668</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45668</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45668</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45668</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45668</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45668</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45668</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45668</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45668</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45668</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45668</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45668</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45668</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45668</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45668</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45668</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45668</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45668</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45668</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45668</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45668</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45668</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45668</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45668</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45668</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45668</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45668</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45668</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45668</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45668</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45668</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45668</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45668</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45668</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45668</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45668</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45668</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45668</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45668</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45668</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45668</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45668</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45668</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45668</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45668</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45668</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45668</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45668</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45668</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45668</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45668</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45668</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45668</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45668</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45668</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45668</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45668</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45668</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45668</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45668</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45668</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45668</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45668</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45668</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45668</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45668</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45668</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45668</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45668</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45668</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45668</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45668</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45668</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45668</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45668</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45668</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45668</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45668</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45668</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45668</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45668</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45668</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45668</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45668</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45668</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45668</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45668</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45668</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45668</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45668</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45668</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45668</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45668</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45668</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45668</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45668</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45668</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45668</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45668</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45668</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45668</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45668</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45668</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45668</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45668</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45668</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45668</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45668</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45668</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45668</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45668</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45668</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45668</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45668</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45668</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45668</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45668</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45668</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45668</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45668</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45668</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45668</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45668</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45668</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45668</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45668</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45668</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45668</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45668</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45668</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45668</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45668</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45668</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45668</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45668</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45668</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45668</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45668</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45668</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45668</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45668</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45668</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45668</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45668</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45668</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45668</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45668</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45668</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45668</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45668</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45668</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45668</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45668</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45668</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45668</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45668</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45668</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45668</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45668</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45668</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45668</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45668</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45668</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45668</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45668</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45668</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45668</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45668</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45668</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45668</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45668</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45668</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45668</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45668</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45668</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45668</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45668</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45668</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45668</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45668</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45668</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45668</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45668</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45668</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45668</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45668</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45668</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45668</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45668</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45668</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45668</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45668</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45668</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45668</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45668</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45668</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45668</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45668</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45668</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45668</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45668</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45668</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45668</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45668</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45668</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45668</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45668</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45668</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45668</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45668</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45668</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45668</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45668</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45668</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45668</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45668</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45668</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45668</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45668</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45668</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45668</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45668</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45668</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45668</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45668</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45668</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45668</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45668</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45668</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45668</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45668</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45668</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45668</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45668</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45668</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45668</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45668</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45668</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45668</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45668</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45668</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45668</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45668</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45668</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45668</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45668</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45668</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45668</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45668</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45668</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45668</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45668</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45668</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45668</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45668</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45668</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45668</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45668</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45668</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45668</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45668</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45668</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45668</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45668</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45668</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45668</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45668</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45668</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45668</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45668</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45668</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45668</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45668</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45668</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45668</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45668</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45668</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45668</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45668</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45668</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45668</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45668</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45668</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45668</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45668</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45668</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45668</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45668</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45668</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45668</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45668</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45668</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45668</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45668</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45668</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45668</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45668</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45668</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45668</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45668</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45668</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45668</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45668</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45668</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45668</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45668</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45668</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45668</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45668</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45668</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45668</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45668</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45668</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45668</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45668</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45668</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45668</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45668</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45668</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45668</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45668</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45668</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45668</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45668</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45668</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45668</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45668</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45668</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45668</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45668</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45668</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45668</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45668</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45668</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45668</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45668</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45668</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45668</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45668</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45668</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45668</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45668</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45668</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45668</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45668</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45668</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45668</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45668</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45668</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45668</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45668</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45668</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45668</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45668</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45668</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45668</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45668</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45668</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45668</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45668</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45668</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45668</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45668</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45668</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45668</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45668</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45668</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45668</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45668</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45668</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45668</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45668</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45668</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45668</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45668</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45668</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45668</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45668</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45668</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45668</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45668</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45668</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45668</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45668</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45668</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45668</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45668</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45668</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45668</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45668</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45668</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45668</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45668</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45668</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45668</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45668</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45668</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45668</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45668</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45668</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45668</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45668</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45668</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45668</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45668</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45668</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45668</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45668</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45668</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45668</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45668</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45668</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45668</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45668</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45668</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45668</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45668</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45668</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45668</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45668</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45668</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45668</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45668</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45668</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45668</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45668</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45668</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45668</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45668</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45668</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45668</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45668</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45668</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45668</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45668</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45668</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45668</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45668</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45668</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45668</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45668</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45668</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45668</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45668</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45668</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45668</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45668</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45668</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45668</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45668</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45668</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45668</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45668</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45668</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45668</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45668</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45668</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45668</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45668</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45668</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45668</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45668</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45668</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45668</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45668</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45668</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45668</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45668</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45668</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45668</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45668</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45668</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45668</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45668</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45668</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45668</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45668</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45668</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45668</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45668</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45668</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45668</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45668</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45668</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45668</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45668</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45668</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45668</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45668</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45668</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45668</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45668</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45668</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45668</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45668</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45668</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45668</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45668</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45668</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45668</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45668</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45668</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45668</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45668</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45668</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45668</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45668</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45668</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45668</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45668</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45668</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45668</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45668</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45668</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45668</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45668</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45668</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45668</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45668</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45668</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45668</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45668</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45668</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45668</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45668</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45668</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45668</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45668</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45668</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45668</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45668</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45668</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45668</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45668</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45668</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45668</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45668</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45668</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45668</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45668</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45668</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45668</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45668</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45668</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45668</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45668</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45668</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45668</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45668</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45668</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45668</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45668</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45668</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45668</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45668</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45668</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45668</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45668</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45668</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45668</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45668</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45668</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45668</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45668</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45668</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45668</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45668</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45668</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45668</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45668</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45668</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45668</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45668</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45668</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45668</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45668</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45668</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45668</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45668</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45668</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45668</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45668</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45668</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45668</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45668</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45668</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45668</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45668</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45668</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45668</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45668</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45668</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45668</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45668</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45668</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45668</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45668</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45668</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45668</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45668</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45668</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45668</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45668</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45668</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45668</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45668</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45668</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45668</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45668</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45668</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45668</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45668</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45668</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45668</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45668</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45668</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45668</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45668</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45668</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45668</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45668</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45668</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45668</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45668</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45668</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45668</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45668</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45668</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45668</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45668</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45668</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45668</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45668</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45668</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45668</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45668</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45668</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45668</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45668</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45668</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45668</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45668</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45668</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45668</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45668</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45668</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45668</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45668</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45668</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45668</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45668</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45668</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45668</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45668</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45668</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45668</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45668</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45668</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45668</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45668</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45668</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45668</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45668</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45668</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45668</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45668</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45668</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45668</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45668</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45668</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45668</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45668</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45668</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45668</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45668</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45668</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45668</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45668</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45668</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45668</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45668</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45668</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45668</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45668</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45668</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45668</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45668</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45668</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45668</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45668</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45668</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45668</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45668</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45668</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45668</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45668</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45668</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45668</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45668</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45668</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45668</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45668</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45668</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45668</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45668</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45668</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45668</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45668</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45668</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45668</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45668</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45668</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45668</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45668</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45668</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45668</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45668</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45668</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45668</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45668</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45668</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45668</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45668</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45668</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45668</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45668</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45668</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45668</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45668</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45668</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45668</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45668</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45668</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45668</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45668</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45668</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45668</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45668</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45668</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45668</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45668</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45668</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45668</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45668</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45668</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45668</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45668</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45668</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45668</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45668</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45668</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45668</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45668</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45668</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45668</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45668</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45668</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45668</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45668</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45668</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45668</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45668</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45668</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45668</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45668</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45668</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45668</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45668</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45668</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45668</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45668</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45668</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45668</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45668</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45668</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45668</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45668</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45668</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45668</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45668</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45668</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45668</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45668</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45668</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45668</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45668</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45668</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45668</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45668</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45668</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45668</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45668</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45668</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45668</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45668</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45668</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45668</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45668</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45668</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45668</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45668</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45668</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45668</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45668</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45668</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45668</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45668</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45668</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45668</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45668</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45668</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45668</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45668</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45668</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45668</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45668</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45668</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45668</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45668</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45668</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45668</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45668</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45668</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45668</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45668</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45668</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45668</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45668</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45668</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45668</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45668</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45668</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45668</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45668</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45668</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45668</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45668</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45668</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45668</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45668</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45668</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45668</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45668</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45668</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45668</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45668</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45668</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45668</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45668</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45668</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45668</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45668</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45668</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45668</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45668</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45668</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45668</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45668</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45668</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45668</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45668</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45668</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45668</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45668</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45668</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45668</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45668</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45668</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45668</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45668</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45668</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45668</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45668</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45668</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45668</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45668</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45668</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45668</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45668</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45668</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45668</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45668</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45668</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45668</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45668</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45668</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45668</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45668</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45668</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45668</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45668</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45668</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45668</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45668</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45668</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45668</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45668</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45668</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45668</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45668</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45668</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45668</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45668</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45668</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45668</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45668</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45668</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45668</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45668</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45668</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45668</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45668</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45668</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45668</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45668</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45668</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45668</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45668</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45668</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45668</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45668</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45668</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45668</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45668</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45668</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45668</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45668</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45668</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45668</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45668</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45668</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45668</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45668</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45668</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45668</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45668</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45668</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45668</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45668</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45668</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45668</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45668</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45668</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45668</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45668</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45668</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45668</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45668</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45668</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45668</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45668</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45668</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45668</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45668</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45668</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45668</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45668</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45668</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45668</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45668</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45668</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45668</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45668</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45668</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45668</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45668</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45668</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45668</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45668</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45668</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45668</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45668</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45668</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45668</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45668</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45668</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45668</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45668</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45668</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45668</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45668</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45668</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45668</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45668</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45668</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45668</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45668</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45668</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45668</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45668</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45668</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45668</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45668</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45668</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45668</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45668</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45668</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45668</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45668</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45668</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45668</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45668</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45668</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45668</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45668</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45668</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45668</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45668</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45668</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45668</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45668</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45668</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45668</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45668</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45668</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45668</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45668</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45668</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45668</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45668</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45668</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45668</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45668</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45668</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45668</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45668</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45668</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45668</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45668</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45668</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45668</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45668</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45668</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45668</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45668</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45668</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45668</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45668</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45668</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45668</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45668</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45668</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45668</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45668</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45668</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45668</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45668</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45668</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45668</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45668</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45668</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45668</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45668</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45668</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45668</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45668</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45668</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45668</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45668</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45668</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45668</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45668</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45668</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45668</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45668</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45668</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45668</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45668</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45668</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45668</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45668</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45668</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45668</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45668</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45668</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45668</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45668</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45668</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45668</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45668</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45668</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45668</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45668</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45668</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45668</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45668</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45668</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45668</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45668</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45668</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45668</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45668</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45668</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45668</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45668</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45668</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45668</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45668</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45668</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45668</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45668</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45668</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45668</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45668</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45668</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45668</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45668</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45668</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45668</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45668</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45668</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45668</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45668</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45668</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45668</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45668</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45668</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45668</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45668</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45668</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45668</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45668</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45668</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45668</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45668</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45668</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45668</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45668</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45668</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45668</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45668</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45668</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45668</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45668</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45668</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45668</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45668</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45668</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45668</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45668</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45668</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45668</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45668</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45668</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45668</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45668</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45668</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45668</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45668</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45668</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45668</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45668</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45668</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45668</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45668</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45668</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45668</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45668</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45668</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45668</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45668</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45668</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45668</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45668</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45668</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45668</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45668</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45668</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45668</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45668</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45668</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45668</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45668</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45668</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45668</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45668</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45668</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45668</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45668</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45668</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45668</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45668</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45668</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45668</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45668</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45668</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45668</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45668</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45668</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45668</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45668</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45668</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45668</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45668</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45668</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45668</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45668</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45668</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45668</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45668</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45668</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45668</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45668</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45668</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45668</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45668</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45668</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45668</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45668</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45668</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45668</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45668</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45668</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45668</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45668</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45668</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45668</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45668</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45668</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45668</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45668</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45668</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45668</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45668</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45668</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45668</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45668</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45668</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45668</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45668</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45668</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45668</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45668</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45668</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45668</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45668</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45668</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45668</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45668</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45668</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45668</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45668</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45668</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45668</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45668</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45668</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45668</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45668</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45668</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45668</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45668</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45668</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45668</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45668</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45668</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45668</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45668</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45668</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45668</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45668</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45668</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45668</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45668</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45668</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45668</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45668</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45668</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45668</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45668</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45668</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45668</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45668</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45668</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45668</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45668</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45668</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45668</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45668</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45668</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45668</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45668</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45668</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45668</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45668</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45668</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45668</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45668</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45668</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45668</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45668</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45668</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45668</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45668</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45668</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45668</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45668</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45668</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45668</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45668</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45668</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45668</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45668</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45668</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45668</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45668</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45668</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45668</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45668</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45668</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45668</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45668</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45668</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45668</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45668</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45668</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45668</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45668</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45668</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45668</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45668</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45668</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45668</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45668</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45668</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45668</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45668</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45668</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45668</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45668</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45668</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45668</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45668</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45668</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45668</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45668</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45668</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45668</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45668</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45668</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45668</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45668</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45668</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45668</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45668</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45668</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45668</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45668</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45668</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45668</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45668</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45668</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45668</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45668</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45668</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45668</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45668</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45668</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45668</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45668</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45668</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45668</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45668</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45668</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45668</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45668</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45668</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45668</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45668</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45668</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45668</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45668</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45668</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45668</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45668</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45668</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45668</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45668</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45668</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45668</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45668</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45668</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45668</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45668</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45668</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45668</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45668</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45668</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45668</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45668</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45668</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45668</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45668</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45668</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45668</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45668</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45668</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45668</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45668</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45668</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45668</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45668</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45668</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45668</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45668</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45668</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45668</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45668</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45668</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45668</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45668</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45668</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45668</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45668</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45668</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45668</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45668</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45668</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45668</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45668</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45668</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45668</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45668</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45668</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45668</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45668</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45668</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45668</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45668</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45668</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45668</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45668</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45668</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45668</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45668</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45668</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45668</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45668</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45668</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45668</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45668</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45668</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45668</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45668</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45668</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45668</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45668</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45668</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45668</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45668</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45668</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45668</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45668</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45668</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45668</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45668</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45668</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45668</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45668</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45668</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45668</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45668</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45668</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45668</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45668</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45668</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45668</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45668</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45668</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45668</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45668</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45668</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45668</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45668</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45668</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45668</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45668</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45668</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45668</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45668</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45668</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45668</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45668</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45668</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45668</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45668</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45668</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45668</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45668</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45668</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45668</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45668</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45668</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45668</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45668</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45668</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45668</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45668</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45668</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45668</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45668</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45668</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45668</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45668</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45668</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45668</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45668</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45668</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45668</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45668</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45668</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45668</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45668</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45668</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45668</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45668</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45668</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45668</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45668</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45668</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45668</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45668</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45668</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45668</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45668</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45668</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45668</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45668</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45668</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45668</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45668</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45668</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45668</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45668</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45668</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45668</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45668</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45668</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45668</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45668</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45668</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45668</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45668</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45668</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45668</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45668</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45668</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45668</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45668</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45668</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45668</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45668</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45668</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45668</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45668</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45668</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45668</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45668</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45668</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45668</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45668</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45668</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45668</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45668</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45668</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45668</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45668</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45668</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45668</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45668</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45668</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45668</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45668</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45668</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45668</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45668</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45668</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45668</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45668</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45668</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45668</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45668</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45668</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45668</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45668</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45668</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45668</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45668</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45668</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45668</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45668</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45668</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45668</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45668</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45668</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45668</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45668</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45668</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45668</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45668</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45668</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45668</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45668</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45668</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45668</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45668</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45668</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45668</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45668</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45668</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45668</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45668</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45668</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45668</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45668</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45668</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45668</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45668</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45668</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45668</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45668</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45668</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45668</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45668</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45668</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45668</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45668</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45668</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45668</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45668</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45668</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45668</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45668</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45668</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45668</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45668</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45668</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45668</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45668</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45668</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45668</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45668</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45668</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45668</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45668</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45668</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45668</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45668</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45668</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45668</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45668</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45668</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45668</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45668</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45668</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45668</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45668</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45668</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45668</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45668</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45668</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45668</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45668</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45668</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45668</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45668</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45668</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45668</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45668</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45668</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45668</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45668</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45668</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45668</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45668</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45668</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45668</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45668</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45668</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45668</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45668</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45668</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45668</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45668</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45668</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45668</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45668</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45668</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45668</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45668</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45668</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45668</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45668</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45668</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45668</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45668</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45668</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45668</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45668</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45668</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45668</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45668</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45668</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45668</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45668</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45668</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45668</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45668</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45668</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45668</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45668</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45668</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45668</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45668</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45668</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45668</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45668</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45668</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45668</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45668</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45668</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45668</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45668</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45668</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45668</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45668</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45668</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45668</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45668</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45668</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45668</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45668</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45668</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45668</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45668</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45668</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45668</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45668</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45668</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45668</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45668</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45668</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45668</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45668</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45668</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45668</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45668</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45668</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45668</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45668</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45668</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45668</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45668</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45668</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45668</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45668</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45668</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45668</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45668</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45668</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45668</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45668</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45668</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45668</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45668</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45668</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45668</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45668</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45668</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45668</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45668</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45668</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45668</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45668</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45668</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45668</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45668</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45668</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45668</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45668</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45668</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45668</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45668</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45668</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45668</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45668</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45668</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45668</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45668</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45668</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45668</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45668</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45668</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45668</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45668</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45668</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45668</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45668</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45668</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45668</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45668</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45668</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45668</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45668</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45668</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45668</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45668</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45668</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45668</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45668</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45668</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45668</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45668</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45668</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45668</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45668</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45668</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45668</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45668</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45668</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45668</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45668</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45668</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45668</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45668</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45668</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45668</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45668</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45668</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45668</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45668</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45668</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45668</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45668</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45668</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45668</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45668</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45668</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45668</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45668</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45668</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45668</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45668</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45668</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45668</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45668</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45668</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45668</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45668</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45668</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45668</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45668</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45668</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45668</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45668</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45668</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45668</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45668</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45668</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45668</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45668</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45668</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45668</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45668</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45668</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45668</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45668</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45668</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45668</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45668</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45668</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45668</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45668</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45668</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45668</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45668</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45668</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45668</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45668</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45668</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45668</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45668</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45668</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45668</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45668</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45668</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45668</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45668</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45668</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45668</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45668</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45668</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45668</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45668</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45668</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45668</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45668</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45668</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45668</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45668</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45668</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45668</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45668</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45668</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45668</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45668</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45668</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45668</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45668</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45668</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45668</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45668</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45668</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45668</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45668</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45668</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45668</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45668</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45668</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45668</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45668</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45668</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45668</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45668</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45668</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45668</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45668</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45668</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45668</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45668</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45668</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45668</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45668</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45668</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45668</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45668</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45668</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45668</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45668</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45668</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45668</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45668</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45668</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45668</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45668</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45668</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45668</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45668</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45668</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45668</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45668</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45668</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45668</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45668</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45668</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45668</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45668</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45668</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45668</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45668</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45668</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45668</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45668</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45668</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45668</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45668</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45668</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45668</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45668</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45668</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45668</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45668</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45668</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45668</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45668</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45668</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45668</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45668</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45668</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45668</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45668</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45668</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45668</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45668</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45668</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45668</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45668</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45668</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45668</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45668</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45668</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45668</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45668</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45668</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45668</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45668</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45668</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45668</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45668</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45668</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45668</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45668</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45668</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45668</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45668</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45668</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45668</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45668</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45668</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45668</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45668</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45668</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45668</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45668</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45668</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45668</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45668</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45668</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45668</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45668</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45668</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45668</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45668</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45668</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45668</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45668</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45668</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45668</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45668</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45668</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45668</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45668</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45668</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45668</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45668</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45668</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45668</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45668</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45668</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45668</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45668</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45668</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45668</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45668</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45668</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45668</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45668</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45668</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45668</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45668</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45668</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45668</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45668</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45668</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45668</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45668</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45668</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45668</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45668</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45668</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45668</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45668</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45668</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45668</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45668</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45668</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45668</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45668</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45668</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45668</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45668</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45668</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45668</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45668</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45668</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45668</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45668</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45668</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45668</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45668</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45668</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45668</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45668</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45668</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45668</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45668</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45668</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45668</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45668</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45668</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45668</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45668</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45668</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45668</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45668</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45668</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45668</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45668</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45668</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45668</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45668</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45668</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45668</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45668</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45668</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45668</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45668</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45668</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45668</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45668</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45668</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45668</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45668</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45668</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45668</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45668</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45668</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45668</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45668</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45668</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45668</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45668</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45668</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45668</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45668</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45668</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45668</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45668</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45668</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45668</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45668</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45668</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45668</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45668</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45668</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45668</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45668</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45668</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45668</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45668</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45668</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45668</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45668</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45668</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45668</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45668</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45668</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45668</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45668</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45668</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45668</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45668</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45668</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45668</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45668</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45668</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45668</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45668</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45668</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45668</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45668</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45668</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45668</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45668</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45668</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45668</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45668</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45668</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45668</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45668</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45668</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45668</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45668</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45668</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45668</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45668</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45668</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45668</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45668</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45668</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45668</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45668</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45668</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45668</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45668</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45668</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45668</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45668</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45668</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45668</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45668</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45668</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45668</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45668</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45668</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45668</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45668</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45668</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45668</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45668</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45668</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45668</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45668</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45668</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45668</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45668</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45668</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45668</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45668</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45668</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45668</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45668</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45668</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45668</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45668</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45668</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45668</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45668</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45668</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45668</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45668</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45668</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45668</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45668</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45668</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45668</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45668</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45668</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45668</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45668</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45668</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45668</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45668</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45668</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45668</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45668</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45668</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45668</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45668</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45668</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45668</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45668</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45668</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45668</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45668</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45668</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45668</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45668</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45668</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45668</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45668</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45668</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45668</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45668</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45668</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45668</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45668</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45668</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45668</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45668</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45668</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45668</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45668</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45668</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45668</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45668</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45668</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45668</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45668</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45668</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45668</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45668</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45668</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45668</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45668</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45668</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45668</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45668</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45668</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45668</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45668</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45668</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45668</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45668</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45668</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45668</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45668</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45668</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45668</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45668</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45668</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45668</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45668</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45668</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45668</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45668</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45668</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45668</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45668</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45668</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45668</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45668</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45668</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45668</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45668</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45668</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45668</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45668</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45668</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45668</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45668</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45668</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45668</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45668</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45668</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45668</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45668</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45668</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45668</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45668</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45668</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45668</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45668</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45668</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45668</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45668</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45668</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45668</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45668</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45668</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45668</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45668</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45668</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45668</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45668</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45668</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45668</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45668</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45668</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45668</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45668</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45668</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45668</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45668</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45668</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45668</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45668</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45668</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45668</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45668</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45668</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45668</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45668</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45668</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45668</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45668</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45668</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45668</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45668</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45668</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45668</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45668</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45668</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45668</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45668</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45668</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45668</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45668</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45668</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45668</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45668</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45668</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45668</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45668</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45668</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45668</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45668</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45668</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45668</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45668</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45668</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45668</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45668</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45668</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45668</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45668</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45668</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45668</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45668</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45668</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45668</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45668</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45668</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45668</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45668</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45668</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45668</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45668</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45668</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45668</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45668</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45668</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45668</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45668</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45668</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45668</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45668</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45668</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45668</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45668</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45668</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45668</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45668</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45668</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45668</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45668</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45668</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45668</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45668</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45668</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45668</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45668</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45668</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45668</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45668</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45668</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45668</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45668</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45668</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45668</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45668</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45668</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45668</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45668</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45668</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45668</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45668</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45668</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45668</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45668</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45668</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45668</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45668</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45668</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45668</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45668</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45668</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45668</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45668</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45668</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45668</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45668</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45668</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45668</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45668</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45668</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45668</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45668</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45668</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45668</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45668</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45668</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45668</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45668</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45668</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45668</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45668</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45668</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45668</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45668</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45668</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45668</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45668</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45668</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45668</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45668</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45668</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45668</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45668</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45668</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45668</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45668</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45668</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45668</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45668</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45668</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45668</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45668</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45668</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45668</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45668</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45668</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45668</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45668</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45668</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45668</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45668</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45668</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45668</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45668</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45668</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45668</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45668</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45668</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45668</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45668</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45668</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45668</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45668</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45668</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45668</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45668</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45668</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45668</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45668</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45668</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45668</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45668</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45668</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45668</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45668</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45668</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45668</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45668</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45668</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45668</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45668</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45668</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45668</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45668</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45668</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45668</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45668</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45668</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45668</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45668</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45668</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45668</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45668</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45668</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45668</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45668</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45668</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45668</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45668</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45668</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45668</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45668</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45668</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45668</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45668</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45668</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45668</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45668</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45668</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45668</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45668</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45668</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45668</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45668</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45668</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45668</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45668</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45668</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45668</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45668</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45668</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45668</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45668</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45668</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45668</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45668</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45668</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45668</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45668</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45668</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45668</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45668</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45668</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45668</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45668</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45668</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45668</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45668</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45668</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45668</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45668</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45668</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45668</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45668</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45668</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45668</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45668</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45668</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45668</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45668</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45668</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45668</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45668</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45668</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45668</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45668</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45668</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45668</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45668</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45668</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45668</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45668</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45668</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45668</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45668</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45668</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45668</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45668</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45668</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45668</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45668</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45668</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45668</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45668</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45668</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45668</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45668</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45668</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45668</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45668</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45668</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45668</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45668</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45668</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45668</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45668</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45668</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45668</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45668</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45668</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45668</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45668</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45668</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45668</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45668</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45668</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45668</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45668</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45668</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45668</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45668</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45668</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45668</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45668</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45668</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45668</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45668</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45668</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45668</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45668</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45668</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45668</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45668</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45668</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45668</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45668</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45668</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45668</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45668</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45668</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45668</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45668</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45668</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45668</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45668</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45668</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45668</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45668</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45668</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45668</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45668</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45668</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45668</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45668</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45668</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45668</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45668</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45668</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45668</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45668</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45668</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45668</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45668</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45668</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45668</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45668</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45668</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45668</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45668</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45668</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45668</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45668</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45668</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45668</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45668</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45668</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45668</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45668</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45668</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45668</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45668</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45668</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45668</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45668</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45668</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45668</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45668</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45668</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45668</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45668</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45668</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45668</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45668</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45668</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45668</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45668</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45668</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45668</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45668</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45668</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45668</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45668</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45668</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45668</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45668</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45668</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45668</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45668</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45668</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45668</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45668</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45668</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45668</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45668</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45668</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45668</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45668</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45668</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45668</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45668</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45668</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45668</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45668</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45668</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45668</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45668</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45668</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45668</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45668</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45668</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45668</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45668</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45668</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45668</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45668</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45668</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45668</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45668</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45668</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45668</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45668</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45668</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45668</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45668</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45668</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45668</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45668</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45668</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45668</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45668</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45668</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45668</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45668</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45668</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45668</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45668</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45668</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45668</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45668</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45668</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45668</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45668</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45668</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45668</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45668</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45668</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45668</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45668</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45668</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45668</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45668</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45668</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45668</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45668</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45668</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45668</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45668</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45668</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45668</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45668</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45668</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45668</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45668</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45668</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45668</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45668</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45668</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45668</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45668</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45668</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45668</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45668</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45668</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45668</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45668</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45668</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45668</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45668</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45668</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45668</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45668</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45668</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45668</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45668</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45668</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45668</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45668</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45668</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45668</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45668</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45668</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45668</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45668</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45668</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45668</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45668</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45668</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45668</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45668</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45668</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45668</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45668</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45668</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45668</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45668</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45668</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45668</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45668</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45668</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45668</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45668</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45668</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45668</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45668</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45668</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45668</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45668</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45668</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45668</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45668</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45668</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45668</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45668</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45668</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45668</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45668</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45668</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45668</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45668</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45668</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45668</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45668</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45668</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45668</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45668</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45668</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45668</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45668</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45668</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45668</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45668</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45668</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45668</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45668</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45668</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45668</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45668</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45668</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45668</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45668</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45668</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45668</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45668</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45668</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45668</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45668</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45668</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45668</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45668</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45668</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45668</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45668</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45668</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45668</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45668</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45668</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45668</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45668</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45668</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45668</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45668</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45668</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45668</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45668</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45668</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45668</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45668</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45668</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45668</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45668</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45668</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45668</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45668</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45668</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45668</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45668</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45668</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45668</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45668</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45668</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45668</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45668</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45668</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45668</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45668</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45668</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45668</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45668</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45668</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45668</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45668</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45668</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45668</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45668</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45668</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45668</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45668</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45668</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45668</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45668</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45668</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45668</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45668</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45668</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45668</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45668</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45668</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45668</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45668</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45668</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45668</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45668</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45668</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45668</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45668</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45668</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45668</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45668</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45668</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45668</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45668</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45668</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45668</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45668</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45668</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45668</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45668</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45668</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45668</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45668</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45668</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45668</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45668</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45668</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45668</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45668</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45668</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45668</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45668</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45668</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45668</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45668</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45668</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45668</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45668</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45668</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45668</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45668</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45668</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45668</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45668</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45668</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45668</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45668</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45668</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45668</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45668</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45668</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45668</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45668</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45668</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45668</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45668</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45668</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45668</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45668</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45668</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45668</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45668</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45668</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45668</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45668</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45668</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45668</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45668</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45668</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45668</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45668</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45668</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45668</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45668</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45668</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45668</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45668</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45668</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45668</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45668</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45668</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45668</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45668</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45668</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45668</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45668</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45668</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45668</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45668</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45668</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45668</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45668</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45668</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45668</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45668</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45668</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45668</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45668</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45668</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45668</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45668</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45668</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45668</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45668</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45668</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45668</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45668</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45668</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45668</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45668</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45668</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45668</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45668</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45668</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45668</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45668</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45668</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45668</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45668</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45668</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45668</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45668</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45668</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45668</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45668</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45668</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45668</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45668</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45668</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45668</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45668</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45668</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45668</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45668</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45668</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45668</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45668</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45668</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45668</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45668</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45668</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45668</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45668</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45668</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45668</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45668</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45668</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45668</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45668</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45668</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45668</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45668</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45668</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45668</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45668</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45668</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45668</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45668</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45668</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45668</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45668</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45668</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45668</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45668</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45668</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45668</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45668</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45668</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45668</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45668</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45668</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45668</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45668</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45668</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45668</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45668</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45668</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45668</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45668</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45668</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45668</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45668</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45668</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45668</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45668</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45668</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45668</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45668</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45668</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45668</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45668</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45668</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45668</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45668</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45668</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45668</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45668</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45668</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45668</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45668</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45668</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45668</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45668</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45668</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45668</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45668</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45668</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45668</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45668</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45668</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45668</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45668</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45668</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45668</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45668</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45668</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45668</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45668</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45668</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45668</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45668</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45668</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45668</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45668</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45668</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45668</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45668</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45668</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45668</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45668</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45668</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45668</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45668</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45668</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45668</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45668</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45668</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45668</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45668</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45668</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45668</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45668</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45668</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45668</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45668</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45668</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45668</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45668</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45668</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45668</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45668</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45668</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45668</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45668</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45668</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45668</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45668</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45668</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45668</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45668</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45668</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45668</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45668</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45668</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45668</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45668</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45668</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45668</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45668</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45668</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45668</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45668</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45668</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45668</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45668</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45668</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45668</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45668</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45668</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45668</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45668</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45668</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45668</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45668</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45668</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45668</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45668</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45668</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45668</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45668</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45668</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45668</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45668</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45668</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45668</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45668</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45668</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45668</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45668</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45668</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45668</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45668</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45668</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45668</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45668</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45668</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45668</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45668</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45668</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45668</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45668</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45668</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45668</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45668</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45668</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45668</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45668</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45668</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45668</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45668</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45668</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45668</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45668</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45668</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45668</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45668</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45668</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45668</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45668</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45668</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45668</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45668</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45668</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45668</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45668</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45668</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45668</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45668</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45668</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45668</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45668</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45668</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45668</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45668</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45668</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45668</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45668</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45668</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45668</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45668</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45668</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45668</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45668</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45668</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45668</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45668</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45668</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45668</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45668</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45668</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45668</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45668</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45668</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45668</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45668</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45668</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45668</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45668</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45668</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45668</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45668</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45668</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45668</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45668</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45668</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45668</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45668</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45668</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45668</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45668</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45668</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45668</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45668</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45668</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45668</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45668</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45668</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45668</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45668</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45668</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45668</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45668</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45668</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45668</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45668</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45668</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45668</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45668</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45668</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45668</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45668</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45668</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45668</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45668</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45668</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45668</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45668</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45668</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45668</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45668</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45668</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45668</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45668</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45668</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45668</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45668</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45668</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45668</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45668</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45668</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45668</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45668</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45668</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45668</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45668</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45668</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45668</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45668</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45668</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45668</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45668</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45668</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45668</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45668</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45668</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45668</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45668</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45668</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45668</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45668</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45668</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45668</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45668</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45668</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45668</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45668</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45668</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45668</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45668</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45668</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45668</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45668</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45668</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45668</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45668</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45668</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45668</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45668</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45668</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45668</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45668</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45668</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45668</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45668</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45668</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45668</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45668</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45668</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45668</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45668</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45668</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45668</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45668</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45668</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45668</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45668</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45668</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45668</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45668</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45668</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45668</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45668</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45668</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45668</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45668</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45668</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45668</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45668</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45668</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45668</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45668</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45668</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45668</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45668</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45668</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45668</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45668</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45668</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45668</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45668</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45668</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45668</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45668</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45668</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45668</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45668</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45668</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45668</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45668</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45668</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45668</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45668</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45668</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45668</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45668</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45668</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45668</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45668</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45668</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45668</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45668</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45668</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45668</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45668</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45668</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45668</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45668</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45668</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45668</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45668</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45668</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45668</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45668</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45668</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45668</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45668</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45668</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45668</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45668</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45668</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45668</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45668</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45668</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45668</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45668</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45668</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45668</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45668</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45668</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45668</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45668</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45668</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45668</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45668</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45668</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45668</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45668</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45668</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45668</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45668</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45668</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45668</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45668</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45668</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45668</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45668</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45668</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45668</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45668</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45668</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45668</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45668</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45668</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45668</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45668</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45668</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45668</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45668</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45668</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45668</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45668</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45668</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45668</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45668</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45668</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45668</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45668</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45668</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45668</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45668</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45668</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45668</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45668</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45668</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45668</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45668</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45668</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45668</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45668</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45668</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45668</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45668</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45668</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45668</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45668</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45668</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45668</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45668</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45668</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45668</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45668</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45668</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45668</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45668</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45668</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45668</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45668</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45668</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45668</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45668</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45668</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45668</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45668</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45668</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45668</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45668</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45668</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45668</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45668</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45668</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45668</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45668</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45668</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45668</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45668</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45668</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45668</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45668</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45668</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45668</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45668</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45668</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45668</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45668</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45668</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45668</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45668</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45668</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45668</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45668</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45668</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45668</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45668</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45668</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45668</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45668</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45668</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45668</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45668</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45668</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45668</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45668</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45668</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45668</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45668</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45668</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45668</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45668</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45668</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45668</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45668</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45668</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45668</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45668</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45668</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45668</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45668</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45668</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45668</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45668</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45668</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45668</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45668</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45668</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45668</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45668</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45668</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45668</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45668</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45668</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45668</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45668</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45668</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45668</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45668</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45668</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45668</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45668</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45668</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45668</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45668</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45668</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45668</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45668</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45668</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45668</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45668</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45668</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45668</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45668</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45668</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45668</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45668</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45668</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45668</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45668</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45668</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45668</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45668</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45668</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45668</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45668</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45668</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45668</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45668</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45668</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45668</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45668</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45668</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45668</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45668</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45668</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45668</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45668</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45668</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45668</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45668</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45668</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45668</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45668</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45668</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45668</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45668</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45668</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45668</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45668</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45668</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45668</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45668</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45668</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45668</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45668</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45668</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45668</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45668</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45668</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45668</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45668</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45668</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45668</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45668</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45668</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45668</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45668</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45668</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45668</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45668</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45668</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45668</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45668</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45668</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45668</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45668</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45668</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45668</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45668</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45668</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45668</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45668</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45668</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45668</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45668</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45668</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45668</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45668</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45668</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45668</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45668</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45668</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45668</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45668</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45668</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45668</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45668</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45668</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45668</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45668</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45668</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45668</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45668</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45668</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45668</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45668</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45668</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45668</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45668</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45668</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45668</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45668</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45668</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45668</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45668</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45668</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45668</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45668</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45668</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45668</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45668</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45668</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45668</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45668</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45668</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45668</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45668</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45668</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45668</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45668</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45668</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45668</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45668</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45668</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45668</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45668</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45668</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45668</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45668</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45668</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45668</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45668</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45668</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45668</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45668</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45668</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45668</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45668</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45668</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45668</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45668</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45668</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45668</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45668</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45668</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45668</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45668</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45668</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45668</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45668</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45668</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45668</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45668</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45668</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45668</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45668</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45668</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45668</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45668</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45668</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45668</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45668</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45668</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45668</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45668</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45668</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45668</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45668</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45668</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45668</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45668</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45668</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45668</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45668</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45668</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45668</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45668</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45668</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45668</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45668</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45668</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45668</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45668</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45668</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45668</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45668</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45668</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45668</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45668</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45668</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45668</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45668</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45668</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45668</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45668</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45668</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45668</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45668</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45668</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45668</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45668</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45668</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45668</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45668</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45668</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45668</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45668</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45668</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45668</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45668</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45668</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45668</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45668</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45668</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45668</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45668</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45668</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45668</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45668</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45668</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45668</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45668</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45668</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45668</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45668</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45668</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45668</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45668</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45668</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45668</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45668</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45668</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45668</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45668</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45668</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45668</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45668</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45668</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45668</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45668</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45668</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45668</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45668</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45668</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45668</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45668</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45668</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45668</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45668</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45668</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45668</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45668</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45668</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45668</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45668</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45668</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45668</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45668</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45668</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45668</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45668</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45668</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45668</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45668</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45668</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45668</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45668</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45668</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45668</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45668</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45668</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45668</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45668</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45668</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45668</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45668</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45668</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45668</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45668</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45668</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45668</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45668</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45668</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45668</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45668</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45668</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45668</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45668</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45668</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45668</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45668</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45668</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45668</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45668</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45668</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45668</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45668</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45668</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45668</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45668</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45668</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45668</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45668</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45668</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45668</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45668</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45668</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45668</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45668</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45668</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45668</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45668</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45668</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45668</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45668</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45668</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45668</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45668</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45668</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45668</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45668</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45668</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45668</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45668</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45668</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45668</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45668</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45668</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45668</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45668</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45668</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45668</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45668</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45668</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45668</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45668</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45668</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45668</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45668</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45668</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45668</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45668</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45668</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45668</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45668</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45668</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45668</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45668</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45668</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45668</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45668</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45668</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45668</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45668</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45668</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45668</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45668</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45668</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45668</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45668</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45668</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45668</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45668</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45668</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45668</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45668</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45668</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45668</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45668</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45668</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45668</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45668</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45668</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45668</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45668</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45668</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45668</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45668</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45668</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45668</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45668</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45668</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45668</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45668</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45668</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45668</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45668</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45668</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45668</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45668</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45668</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45668</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45668</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45668</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45668</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45668</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45668</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45668</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45668</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45668</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45668</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45668</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45668</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45668</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45668</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45668</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45668</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45668</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45668</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45668</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45668</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45668</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45668</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45668</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45668</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45668</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45668</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45668</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45668</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45668</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45668</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45668</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45668</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45668</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45668</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45668</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45668</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45668</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45668</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45668</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45668</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45668</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45668</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45668</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45668</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45668</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45668</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45668</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45668</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45668</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45668</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45668</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45668</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45668</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45668</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45668</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45668</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45668</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45668</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45668</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45668</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45668</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45668</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45668</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45668</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45668</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45668</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45668</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45668</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45668</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45668</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45668</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45668</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45668</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45668</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45668</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45668</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45668</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45668</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45668</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45668</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45668</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45668</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45668</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45668</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45668</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45668</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45668</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45668</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45668</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45668</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45668</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45668</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45668</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45668</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45668</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45668</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45668</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45668</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45668</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45668</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45668</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45668</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45668</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45668</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45668</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45668</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45668</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45668</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45668</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45668</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45668</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45668</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45668</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45668</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45668</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45668</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45668</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45668</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45668</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45668</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45668</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45668</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45668</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45668</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45668</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45668</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45668</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45668</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45668</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45668</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45668</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45668</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45668</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45668</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45668</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45668</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45668</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45668</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45668</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45668</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45668</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45668</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45668</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45668</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45668</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45668</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45668</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45668</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45668</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45668</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45668</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45668</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45668</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45668</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45668</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45668</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45668</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45668</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45668</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45668</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45668</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45668</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45668</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45668</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45668</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45668</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45668</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45668</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45668</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45668</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45668</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45668</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45668</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45668</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45668</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45668</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45668</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45668</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45668</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45668</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45668</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45668</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45668</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45668</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45668</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45668</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45668</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45668</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45668</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45668</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45668</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45668</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45668</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45668</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45668</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45668</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45668</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45668</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45668</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45668</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45668</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45668</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45668</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45668</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45668</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45668</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45668</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45668</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45668</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45668</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45668</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45668</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45668</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45668</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45668</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45668</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45668</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45668</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45668</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45668</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45668</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45668</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45668</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45668</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45668</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45668</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45668</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45668</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45668</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45668</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45668</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45668</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45668</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45668</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45668</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45668</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45668</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45668</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45668</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45668</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45668</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45668</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45668</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45668</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45668</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45668</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45668</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45668</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45668</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45668</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45668</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45668</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45668</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45668</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45668</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45668</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45668</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45668</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45668</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45668</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45668</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45668</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45668</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45668</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45668</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45668</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45668</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45668</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45668</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45668</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45668</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45668</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45668</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45668</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45668</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45668</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45668</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45668</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45668</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45668</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45668</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45668</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45668</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45668</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45668</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45668</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45668</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45668</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45668</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45668</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45668</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45668</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45668</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45668</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45668</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45668</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45668</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45668</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45668</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45668</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45668</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45668</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45668</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45668</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45668</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45668</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45668</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45668</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45668</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45668</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45668</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45668</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45668</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45668</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45668</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45668</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45668</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45668</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45668</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45668</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45668</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45668</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45668</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45668</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45668</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45668</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45668</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45668</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45668</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45668</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45668</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45668</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45668</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45668</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45668</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45668</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45668</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45668</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45668</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45668</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45668</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45668</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45668</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45668</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45668</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45668</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45668</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45668</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45668</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45668</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45668</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45668</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45668</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45668</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45668</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45668</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45668</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45668</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45668</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45668</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45668</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45668</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45668</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45668</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45668</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45668</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45668</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45668</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45668</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45668</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45668</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45668</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45668</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45668</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45668</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45668</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45668</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45668</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45668</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45668</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45668</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45668</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45668</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45668</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45668</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45668</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45668</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45668</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45668</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45668</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45668</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45668</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45668</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45668</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45668</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45668</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45668</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45668</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45668</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45668</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45668</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45668</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45668</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45668</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45668</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45668</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45668</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45668</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45668</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45668</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45668</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45668</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45668</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45668</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45668</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45668</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45668</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45668</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45668</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45668</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45668</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45668</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45668</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45668</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45668</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45668</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45668</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45668</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45668</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45668</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45668</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45668</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45668</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45668</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45668</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45668</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45668</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45668</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45668</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45668</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45668</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45668</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45668</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45668</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45668</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45668</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45668</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45668</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45668</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45668</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45668</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45668</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45668</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45668</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45668</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45668</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45668</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45668</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45668</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45668</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45668</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45668</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45668</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45668</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45668</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45668</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45668</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45668</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45668</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45668</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45668</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45668</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45668</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45668</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45668</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45668</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45668</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45668</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45668</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45668</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45668</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45668</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45668</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45668</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45668</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45668</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45668</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45668</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45668</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45668</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45668</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45668</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45668</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45668</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45668</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45668</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45668</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45668</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45668</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45668</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45668</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45668</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45668</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45668</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45668</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45668</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45668</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45668</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45668</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45668</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45668</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45668</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45668</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45668</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45668</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45668</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45668</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45668</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45668</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45668</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45668</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45668</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45668</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45668</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45668</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45668</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45668</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45668</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45668</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45668</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45668</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45668</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45668</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45668</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45668</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45668</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45668</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45668</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45668</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45668</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45668</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45668</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45668</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45668</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45668</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45668</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45668</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45668</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45668</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45668</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45668</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45668</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45668</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45668</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45668</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45668</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45668</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45668</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45668</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45668</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45668</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45668</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45668</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45668</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45668</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45668</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45668</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45668</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45668</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45668</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45668</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45668</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45668</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45668</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45668</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45668</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45668</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45668</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45668</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45668</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45668</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45668</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45668</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45668</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45668</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45668</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45668</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45668</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45668</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45668</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45668</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45668</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45668</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45668</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45668</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45668</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45668</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45668</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45668</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45668</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45668</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45668</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45668</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45668</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45668</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45668</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45668</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45668</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45668</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45668</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45668</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45668</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45668</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45668</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45668</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45668</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45668</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45668</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45668</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45668</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45668</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45668</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45668</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45668</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45668</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45668</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45668</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45668</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45668</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45668</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45668</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45668</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45668</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45668</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45668</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45668</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45668</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45668</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45668</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45668</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45668</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45668</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45668</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45668</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45668</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45668</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45668</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45668</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45668</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45668</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45668</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45668</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45668</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45668</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45668</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45668</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45668</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45668</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45668</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45668</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45668</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45668</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45668</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45668</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45668</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45668</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45668</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45668</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45668</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45668</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45668</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45668</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45668</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45668</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45668</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45668</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45668</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45668</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45668</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45668</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45668</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45668</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45668</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45668</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45668</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45668</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45668</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45668</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45668</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45668</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45668</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45668</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45668</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45668</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45668</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45668</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45668</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45668</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45668</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45668</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45668</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45668</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45668</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45668</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45668</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45668</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45668</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45668</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45668</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45668</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45668</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45668</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45668</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45668</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45668</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45668</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45668</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45668</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45668</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45668</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45668</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45668</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45668</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45668</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45668</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45668</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45668</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45668</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45668</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45668</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45668</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45668</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45668</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45668</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45668</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45668</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45668</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45668</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45668</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45668</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45668</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45668</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45668</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45668</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45668</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45668</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45668</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45668</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45668</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45668</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45668</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45668</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45668</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45668</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45668</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45668</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45668</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45668</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45668</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45668</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45668</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45668</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45668</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45668</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45668</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45668</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45668</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45668</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45668</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45668</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45668</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45668</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45668</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45668</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45668</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45668</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45668</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45668</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45668</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45668</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45668</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45668</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45668</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45668</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45668</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45668</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45668</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45668</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45668</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45668</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45668</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45668</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45668</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45668</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45668</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45668</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45668</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45668</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45668</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45668</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45668</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45668</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45668</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45668</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45668</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45668</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45668</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45668</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45668</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45668</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45668</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45668</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45668</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45668</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45668</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45668</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45668</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45668</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45668</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45668</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45668</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45668</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45668</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45668</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45668</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45668</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45668</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45668</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45668</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45668</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45668</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45668</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45668</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45668</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45668</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45668</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45668</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45668</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45668</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45668</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45668</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45668</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45668</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45668</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45668</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45668</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45668</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45668</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45668</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45668</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45668</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45668</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45668</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45668</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45668</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45668</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45668</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45668</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45668</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45668</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45668</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45668</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45668</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45668</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45668</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45668</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45668</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45668</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45668</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45668</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45668</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45668</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45668</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45668</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45668</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45668</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45668</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45668</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45668</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45668</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45668</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45668</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45668</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45668</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45668</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45668</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45668</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45668</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45668</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45668</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45668</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45668</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45668</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45668</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45668</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45668</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45668</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45668</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45668</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45668</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45668</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45668</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45668</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45668</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45668</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45668</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45668</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45668</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45668</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45668</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45668</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45668</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45668</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45668</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45668</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45668</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45668</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45668</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45668</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45668</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45668</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45668</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45668</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45668</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45668</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45668</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45668</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45668</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45668</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45668</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45668</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45668</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45668</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45668</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45668</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45668</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45668</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45668</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45668</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45668</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45668</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45668</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45668</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45668</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45668</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45668</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45668</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45668</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45668</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45668</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45668</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45668</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45668</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45668</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45668</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45668</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45668</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45668</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45668</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45668</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45668</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45668</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45668</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45668</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45668</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45668</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45668</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45668</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45668</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45668</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45668</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45668</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45668</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45668</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45668</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45668</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45668</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45668</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45668</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45668</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45668</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45668</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45668</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45668</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45668</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45668</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45668</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45668</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45668</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45668</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45668</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45668</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45668</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45668</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45668</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45668</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45668</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45668</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45668</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45668</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45668</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45668</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45668</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45668</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45668</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45668</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45668</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45668</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45668</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45668</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45668</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45668</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45668</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45668</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45668</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45668</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45668</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45668</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45668</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45668</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45668</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45668</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45668</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45668</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45668</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45668</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45668</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45668</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45668</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45668</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45668</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45668</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45668</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45668</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45668</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45668</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45668</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45668</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45668</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45668</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45668</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45668</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45668</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45668</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45668</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45668</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45668</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45668</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45668</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45668</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45668</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45668</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45668</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45668</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45668</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45668</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45668</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45668</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45668</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45668</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45668</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45668</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45668</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45668</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45668</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45668</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45668</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45668</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45668</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45668</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45668</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45668</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45668</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45668</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45668</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45668</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45668</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45668</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45668</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45668</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45668</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45668</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45668</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45668</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45668</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45668</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45668</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45668</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45668</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45668</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45668</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45668</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45668</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45668</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45668</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45668</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45668</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45668</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45668</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45668</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45668</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45668</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45668</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45668</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45668</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45668</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45668</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45668</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45668</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45668</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45668</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45668</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45668</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45668</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45668</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45668</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45668</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45668</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45668</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45668</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45668</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45668</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45668</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45668</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45668</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45668</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45668</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45668</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45668</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45668</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45668</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45668</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45668</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45668</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45668</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45668</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45668</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45668</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45668</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45668</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45668</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45668</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45668</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45668</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45668</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45668</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45668</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45668</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45668</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45668</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45668</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45668</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45668</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45668</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45668</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45668</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45668</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45668</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45668</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45668</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45668</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45668</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45668</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45668</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45668</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45668</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45668</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45668</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45668</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45668</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45668</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45668</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45668</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45668</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45668</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45668</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45668</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45668</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45668</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45668</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45668</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45668</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45668</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45668</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45668</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45668</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45668</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45668</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45668</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45668</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45668</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45668</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45668</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45668</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45668</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45668</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45668</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45668</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45668</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45668</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45668</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45668</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45668</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45668</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45668</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45668</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45668</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45668</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45668</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45668</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45668</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45668</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45668</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45668</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45668</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45668</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45668</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45668</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45668</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45668</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45668</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45668</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45668</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45668</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45668</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45668</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45668</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45668</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45668</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45668</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45668</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45668</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45668</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45668</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45668</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45668</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45668</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45668</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45668</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45668</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45668</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45668</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45668</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45668</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45668</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45668</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45668</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45668</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45668</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45668</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45668</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45668</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45668</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45668</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45668</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45668</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45668</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45668</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45668</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45668</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45668</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45668</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45668</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45668</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45668</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45668</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45668</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45668</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45668</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45668</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45668</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45668</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45668</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45668</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45668</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45668</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45668</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45668</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45668</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45668</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45668</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45668</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45668</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45668</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45668</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45668</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45668</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45668</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45668</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45668</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45668</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45668</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45668</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45668</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45668</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45668</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45668</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45668</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45668</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45668</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45668</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45668</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45668</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45668</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45668</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45668</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45668</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45668</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45668</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45668</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45668</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45668</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45668</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45668</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45668</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45668</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45668</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45668</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45668</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45668</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45668</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45668</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45668</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45668</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45668</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45668</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45668</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45668</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45668</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45668</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45668</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45668</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45668</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45668</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45668</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45668</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45668</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45668</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45668</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45668</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45668</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45668</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45668</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45668</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45668</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45668</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45668</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45668</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45668</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45668</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45668</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45668</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45668</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45668</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45668</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45668</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45668</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45668</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45668</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45668</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45668</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45668</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45668</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45668</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45668</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45668</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45668</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45668</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45668</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45668</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45668</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45668</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45668</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45668</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45668</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45668</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45668</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45668</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45668</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45668</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45668</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45668</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45668</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45668</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45668</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45668</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45668</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45668</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45668</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45668</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45668</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45668</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45668</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45668</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45668</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45668</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45668</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45668</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45668</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45668</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45668</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45668</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45668</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45668</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45668</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45668</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45668</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45668</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45668</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45668</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45668</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45668</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45668</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45668</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45668</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45668</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45668</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45668</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45668</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45668</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45668</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45668</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45668</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45668</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45668</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45668</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45668</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45668</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45668</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45668</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45668</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45668</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45668</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45668</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45668</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45668</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45668</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45668</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45668</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45668</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45668</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45668</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45668</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45668</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45668</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45668</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45668</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45668</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45668</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45668</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45668</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45668</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45668</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45668</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45668</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45668</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45668</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45668</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45668</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45668</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45668</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45668</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45668</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45668</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45668</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45668</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45668</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45668</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45668</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45668</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45668</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45668</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45668</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45668</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45668</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45668</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45668</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45668</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45668</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45668</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45668</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45668</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45668</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45668</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45668</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45668</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45668</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45668</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45668</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45668</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45668</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45668</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45668</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45668</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45668</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45668</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45668</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45668</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45668</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45668</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45668</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45668</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45668</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45668</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45668</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45668</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45668</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45668</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45668</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45668</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45668</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45668</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45668</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45668</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45668</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45668</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45668</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45668</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45668</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45668</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45668</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45668</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45668</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45668</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45668</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45668</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45668</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45668</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45668</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45668</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45668</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45668</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45668</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45668</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45668</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45668</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45668</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45668</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45668</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45668</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45668</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45668</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45668</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45668</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45668</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45668</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45668</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45668</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45668</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45668</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45668</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45668</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45668</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45668</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45668</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45668</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45668</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45668</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45668</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45668</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45668</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45668</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45668</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45668</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45668</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45668</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45668</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45668</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45668</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45668</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45668</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45668</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45668</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45668</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45668</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45668</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45668</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45668</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45668</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45668</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45668</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45668</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45668</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45668</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45668</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45668</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45668</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45668</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45668</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45668</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45668</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45668</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45668</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45668</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45668</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45668</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45668</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45668</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45668</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45668</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45668</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45668</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45668</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45668</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45668</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45668</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45668</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45668</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45668</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45668</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45668</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45668</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45668</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45668</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45668</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45668</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45668</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45668</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45668</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45668</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45668</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45668</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45668</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45668</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45668</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45668</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45668</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45668</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45668</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45668</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45668</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45668</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45668</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45668</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45668</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45668</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45668</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45668</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45668</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45668</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45668</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45668</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45668</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45668</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45668</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45668</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45668</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45668</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45668</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45668</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45668</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45668</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45668</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45668</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45668</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45668</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45668</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45668</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45668</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45668</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45668</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45668</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45668</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45668</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45668</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45668</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45668</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45668</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45668</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45668</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45668</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45668</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45668</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45668</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45668</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45668</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45668</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45668</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45668</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45668</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45668</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45668</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45668</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45668</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45668</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45668</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45668</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45668</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45668</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45668</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45668</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45668</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45668</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45668</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45668</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45668</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45668</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45668</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45668</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45668</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45668</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45668</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45668</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45668</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45668</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45668</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45668</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45668</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45668</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45668</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45668</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45668</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45668</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45668</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45668</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45668</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45668</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45668</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45668</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45668</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45668</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45668</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45668</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45668</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45668</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45668</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45668</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45668</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45668</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45668</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45668</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45668</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45668</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45668</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45668</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45668</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45668</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45668</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45668</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45668</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45668</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45668</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45668</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45668</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45668</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45668</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45668</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45668</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45668</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45668</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45668</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45668</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45668</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45668</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45668</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45668</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45668</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45668</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45668</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45668</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45668</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45668</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45668</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45668</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45668</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45668</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45668</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45668</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45668</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45668</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45668</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45668</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45668</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45668</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45668</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45668</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45668</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45668</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45668</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45668</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45668</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45668</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45668</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45668</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45668</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45668</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45668</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45668</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45668</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45668</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45668</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45668</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45668</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45668</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45668</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45668</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45668</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45668</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45668</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45668</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45668</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45668</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45668</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45668</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45668</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45668</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45668</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45668</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45668</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45668</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45668</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45668</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45668</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45668</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45668</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45668</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45668</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45668</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45668</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45668</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45668</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45668</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45668</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45668</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45668</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45668</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45668</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45668</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45668</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45668</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45668</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45668</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45668</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45668</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45668</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45668</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45668</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45668</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45668</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45668</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45668</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45668</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45668</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45668</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45668</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45668</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45668</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45668</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45668</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45668</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45668</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45668</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45668</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45668</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45668</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45668</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45668</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45668</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45668</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45668</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45668</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45668</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45668</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45668</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45668</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45668</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45668</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45668</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45668</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45668</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45668</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45668</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45668</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45668</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45668</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45668</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45668</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45668</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45668</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45668</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45668</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45668</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45668</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45668</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45668</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45668</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45668</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45668</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45668</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45668</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45668</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45668</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45668</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45668</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45668</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45668</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45668</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45668</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45668</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45668</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45668</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45668</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45668</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45668</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45668</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45668</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45668</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45668</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45668</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45668</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45668</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45668</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45668</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45668</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45668</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45668</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45668</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45668</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45668</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45668</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45668</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45668</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45668</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45668</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45668</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45668</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45668</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45668</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45668</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45668</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45668</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45668</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45668</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45668</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45668</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45668</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45668</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45668</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45668</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45668</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45668</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45668</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45668</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45668</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45668</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45668</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45668</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45668</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45668</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45668</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45668</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45668</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45668</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45668</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45668</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45668</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45668</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45668</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45668</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45668</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45668</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45668</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45668</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45668</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45668</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45668</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45668</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45668</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45668</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45668</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45668</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45668</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45668</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45668</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45668</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45668</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45668</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45668</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45668</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45668</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45668</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45668</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45668</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45668</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45668</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45668</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45668</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45668</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45668</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45668</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45668</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45668</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45668</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45668</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45668</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45668</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45668</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45668</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45668</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45668</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45668</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45668</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45668</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45668</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45668</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45668</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45668</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45668</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45668</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45668</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45668</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45668</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45668</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45668</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45668</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45668</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45668</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45668</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45668</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45668</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45668</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45668</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45668</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45668</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45668</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45668</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45668</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45668</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45668</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45668</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45668</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45668</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45668</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45668</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45668</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45668</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45668</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45668</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45668</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45668</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45668</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45668</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45668</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45668</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45668</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45668</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45668</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45668</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45668</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45668</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45668</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45668</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45668</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45668</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45668</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45668</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45668</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45668</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45668</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45668</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45668</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45668</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45668</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45668</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45668</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45668</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45668</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45668</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45668</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45668</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45668</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45668</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45668</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45668</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45668</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45668</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45668</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45668</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45668</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45668</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45668</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45668</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45668</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45668</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45668</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45668</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45668</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45668</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45668</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45668</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45668</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45668</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45668</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45668</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45668</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45668</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45668</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45668</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45668</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45668</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45668</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45668</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45668</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45668</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45668</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45668</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45668</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45668</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45668</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45668</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45668</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45668</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45668</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45668</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45668</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45668</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45668</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45668</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45668</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45668</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45668</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45668</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45668</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45668</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45668</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45668</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45668</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45668</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45668</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45668</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45668</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45668</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45668</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45668</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45668</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45668</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45668</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45668</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45668</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45668</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45668</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45668</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45668</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45668</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45668</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45668</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45668</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45668</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45668</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45668</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45668</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45668</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45668</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45668</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45668</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45668</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45668</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45668</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45668</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45668</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45668</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45668</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45668</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45668</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45668</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45668</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45668</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45668</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45668</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45668</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45668</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45668</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45668</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45668</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45668</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45668</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45668</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45668</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45668</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45668</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45668</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45668</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45668</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45668</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45668</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45668</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45668</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45668</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45668</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45668</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45668</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45668</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45668</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45668</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45668</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45668</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45668</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45668</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45668</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45668</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45668</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45668</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45668</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45668</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45668</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45668</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45668</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45668</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45668</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45668</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45668</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45668</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45668</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45668</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45668</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45668</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45668</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45668</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45668</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45668</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45668</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45668</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45668</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45668</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45668</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45668</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45668</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45668</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45668</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45668</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45668</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45668</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45668</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45668</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45668</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45668</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45668</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45668</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45668</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45668</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45668</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45668</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45668</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45668</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45668</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45668</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45668</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45668</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45668</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45668</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45668</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45668</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45668</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45668</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45668</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45668</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45668</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45668</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45668</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45668</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45668</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45668</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45668</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45668</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45668</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45668</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45668</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45668</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45668</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45668</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45668</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45668</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45668</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45668</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45668</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45668</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45668</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45668</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45668</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45668</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45668</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45668</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45668</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45668</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45668</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45668</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45668</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45668</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45668</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45668</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45668</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45668</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45668</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45668</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45668</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45668</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45668</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45668</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45668</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45668</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45668</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45668</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45668</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45668</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45668</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45668</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45668</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45668</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45668</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45668</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45668</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45668</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45668</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45668</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45668</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45668</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45668</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45668</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45668</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45668</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45668</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45668</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45668</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45668</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45668</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45668</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45668</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45668</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45668</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45668</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45668</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45668</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45668</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45668</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45668</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45668</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45668</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45668</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45668</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45668</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45668</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45668</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45668</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45668</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45668</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45668</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45668</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45668</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45668</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45668</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45668</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45668</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45668</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45668</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45668</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45668</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45668</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45668</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45668</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45668</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45668</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45668</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45668</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45668</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45668</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45668</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45668</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45668</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45668</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45668</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45668</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45668</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45668</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45668</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45668</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45668</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45668</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45668</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45668</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45668</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45668</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45668</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45668</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45668</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45668</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45668</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45668</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45668</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45668</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45668</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45668</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45668</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45668</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45668</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45668</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45668</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45668</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45668</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45668</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45668</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45668</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45668</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45668</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45668</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45668</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45668</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45668</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45668</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45668</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45668</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45668</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45668</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45668</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45668</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45668</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45668</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45668</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45668</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45668</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45668</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45668</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45668</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45668</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45668</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45668</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45668</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45668</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45668</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45668</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45668</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45668</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45668</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45668</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45668</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45668</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45668</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45668</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45668</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45668</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45668</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45668</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45668</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45668</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45668</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45668</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45668</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45668</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45668</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45668</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45668</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45668</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45668</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45668</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45668</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45668</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45668</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45668</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45668</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45668</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45668</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45668</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45668</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45668</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45668</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45668</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45668</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45668</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45668</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45668</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45668</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45668</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45668</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45668</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45668</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45668</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45668</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45668</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45668</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45668</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45668</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45668</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45668</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45668</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45668</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45668</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45668</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45668</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45668</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45668</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45668</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45668</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45668</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45668</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45668</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45668</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45668</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45668</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45668</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45668</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45668</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45668</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45668</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45668</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45668</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45668</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45668</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45668</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45668</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45668</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45668</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45668</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45668</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45668</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45668</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45668</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45668</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45668</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45668</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45668</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45668</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45668</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45668</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45668</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45668</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45668</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45668</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45668</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45668</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45668</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45668</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45668</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45668</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45668</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45668</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45668</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45668</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45668</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45668</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45668</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45668</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45668</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45668</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45668</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45668</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45668</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45668</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45668</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45668</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45668</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45668</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45668</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45668</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45668</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45668</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45668</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45668</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45668</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45668</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45668</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45668</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45668</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45668</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45668</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45668</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45668</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45668</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45668</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45668</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45668</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45668</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45668</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45668</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45668</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45668</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45668</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45668</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45668</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45668</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45668</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45668</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45668</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45668</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45668</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45668</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45668</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45668</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45668</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45668</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45668</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45668</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45668</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45668</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45668</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45668</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45668</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45668</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45668</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45668</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45668</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45668</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45668</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45668</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45668</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45668</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45668</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45668</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45668</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45668</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45668</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45668</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45668</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45668</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45668</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45668</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45668</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45668</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45668</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45668</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45668</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45668</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45668</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45668</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45668</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45668</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45668</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45668</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45668</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45668</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45668</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45668</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45668</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45668</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45668</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45668</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45668</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45668</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45668</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45668</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45668</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45668</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45668</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45668</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45668</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45668</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45668</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45668</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45668</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45668</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45668</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45668</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45668</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45668</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45668</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45668</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45668</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45668</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45668</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45668</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45668</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45668</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45668</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45668</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45668</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45668</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45668</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45668</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45668</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45668</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45668</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45668</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45668</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45668</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45668</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45668</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45668</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45668</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45668</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45668</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45668</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45668</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45668</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45668</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45668</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45668</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45668</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45668</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45668</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45668</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45668</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45668</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45668</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45668</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45668</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45668</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45668</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45668</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45668</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45668</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45668</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45668</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45668</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45668</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45668</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45668</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45668</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45668</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45668</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45668</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45668</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45668</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45668</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45668</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45668</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45668</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45668</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45668</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45668</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45668</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45668</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45668</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45668</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45668</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45668</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45668</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45668</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45668</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45668</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45668</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45668</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45668</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45668</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45668</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45668</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45668</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45668</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45668</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45668</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45668</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45668</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45668</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45668</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45668</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45668</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45668</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45668</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45668</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45668</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45668</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45668</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45668</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45668</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45668</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45668</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45668</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45668</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45668</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45668</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45668</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45668</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45668</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45668</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45668</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45668</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45668</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45668</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45668</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45668</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45668</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45668</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45668</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45668</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45668</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45668</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45668</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45668</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45668</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45668</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45668</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45668</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45668</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45668</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45668</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45668</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45668</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45668</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45668</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45668</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45668</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45668</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45668</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45668</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45668</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45668</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45668</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45668</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45668</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45668</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45668</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45668</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45668</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45668</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45668</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45668</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45668</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45668</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45668</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45668</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45668</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45668</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45668</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45668</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45668</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45668</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45668</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45668</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45668</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45668</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45668</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45668</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45668</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45668</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45668</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45668</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45668</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45668</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45668</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45668</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45668</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45668</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45668</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45668</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45668</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45668</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45668</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45668</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45668</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45668</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45668</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45668</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45668</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45668</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45668</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45668</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45668</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45668</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45668</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45668</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45668</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45668</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45668</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45668</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45668</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45668</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45668</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45668</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45668</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45668</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45668</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45668</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45668</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45668</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45668</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45668</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45668</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45668</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45668</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45668</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45668</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45668</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45668</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45668</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45668</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45668</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45668</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45668</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45668</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45668</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45668</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45668</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45668</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45668</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45668</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45668</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45668</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45668</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45668</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45668</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45668</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45668</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45668</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45668</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45668</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45668</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45668</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45668</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45668</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45668</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45668</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45668</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45668</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45668</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45668</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45668</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45668</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45668</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45668</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45668</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45668</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45668</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45668</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45668</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45668</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45668</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45668</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45668</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45668</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45668</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45668</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45668</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45668</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45668</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45668</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45668</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45668</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45668</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45668</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45668</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45668</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45668</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45668</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45668</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45668</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45668</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45668</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45668</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45668</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45668</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45668</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45668</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45668</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45668</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45668</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45668</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45668</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45668</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45668</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45668</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45668</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45668</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45668</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45668</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45668</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45668</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45668</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45668</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45668</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45668</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45668</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45668</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45668</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45668</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45668</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45668</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45668</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45668</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45668</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45668</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45668</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45668</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45668</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45668</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45668</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45668</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45668</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45668</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45668</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45668</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45668</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45668</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45668</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45668</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45668</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45668</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45668</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45668</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45668</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45668</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45668</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45668</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45668</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45668</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45668</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45668</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45668</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45668</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45668</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45668</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45668</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45668</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45668</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45668</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45668</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45668</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45668</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45668</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45668</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45668</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45668</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45668</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45668</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45668</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45668</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45668</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45668</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45668</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45668</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45668</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45668</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45668</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45668</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45668</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45668</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45668</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45668</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45668</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45668</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45668</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45668</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45668</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45668</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45668</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45668</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45668</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45668</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45668</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45668</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45668</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45668</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45668</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45668</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45668</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45668</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45668</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45668</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45668</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45668</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45668</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45668</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45668</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45668</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45668</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45668</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45668</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45668</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45668</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45668</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45668</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45668</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45668</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45668</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45668</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45668</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45668</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45668</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45668</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45668</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45668</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45668</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45668</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45668</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45668</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45668</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45668</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45668</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45668</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45668</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45668</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45668</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45668</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45668</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45668</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45668</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45668</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45668</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45668</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45668</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45668</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45668</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45668</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45668</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45668</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45668</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45668</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45668</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45668</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45668</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45668</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45668</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45668</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45668</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45668</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45668</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45668</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45668</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45668</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45668</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45668</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45668</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45668</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45668</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45668</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45668</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45668</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45668</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45668</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45668</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45668</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45668</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45668</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45668</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45668</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45668</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45668</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45668</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45668</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45668</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45668</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45668</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45668</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45668</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45668</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45668</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45668</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45668</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45668</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45668</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45668</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45668</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45668</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45668</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45668</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45668</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45668</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45668</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45668</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45668</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45668</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45668</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45668</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45668</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45668</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45668</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45668</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45668</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45668</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45668</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45668</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45668</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45668</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45668</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45668</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45668</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45668</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45668</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45668</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45668</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45668</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45668</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45668</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45668</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45668</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45668</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45668</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45668</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45668</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45668</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45668</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45668</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45668</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45668</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45668</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45668</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45668</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45668</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45668</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45668</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45668</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45668</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45668</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45668</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45668</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45668</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45668</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45668</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45668</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45668</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45668</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45668</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45668</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45668</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45668</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45668</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45668</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45668</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45668</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45668</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45668</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45668</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45668</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45668</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45668</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45668</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45668</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45668</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45668</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45668</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45668</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45668</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45668</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45668</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45668</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45668</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45668</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45668</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45668</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45668</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45668</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45668</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45668</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45668</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45668</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45668</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45668</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45668</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45668</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45668</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45668</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45668</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45668</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45668</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45668</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45668</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45668</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45668</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45668</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45668</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45668</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45668</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45668</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45668</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45668</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45668</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45668</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45668</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45668</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45668</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45668</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45668</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45668</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45668</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45668</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45668</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45668</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45668</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45668</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45668</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45668</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45668</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45668</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45668</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45668</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45668</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45668</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45668</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45668</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45668</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45668</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45668</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45668</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45668</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45668</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45668</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45668</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45668</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45668</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45668</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45668</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45668</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45668</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45668</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45668</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45668</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45668</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45668</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45668</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45668</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45668</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45668</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45668</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45668</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45668</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45668</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45668</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45668</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45668</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45668</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45668</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45668</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45668</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45668</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45668</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45668</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45668</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45668</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45668</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45668</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45668</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45668</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45668</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45668</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45668</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45668</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45668</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45668</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45668</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45668</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45668</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45668</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45668</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45668</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45668</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45668</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45668</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45668</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45668</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45668</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45668</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45668</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45668</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45668</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45668</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45668</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45668</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45668</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45668</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45668</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45668</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45668</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45668</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45668</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45668</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45668</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45668</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45668</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45668</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45668</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45668</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45668</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45668</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45668</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45668</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45668</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45668</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45668</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45668</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45668</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45668</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45668</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45668</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45668</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45668</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45668</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45668</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45668</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45668</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45668</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45668</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45668</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45668</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45668</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45668</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45668</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45668</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45668</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45668</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45668</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45668</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45668</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45668</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45668</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45668</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45668</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45668</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45668</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45668</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45668</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45668</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45668</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45668</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45668</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45668</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45668</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45668</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45668</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45668</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45668</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45668</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45668</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45668</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45668</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45668</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45668</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45668</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45668</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45668</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45668</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45668</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45668</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45668</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45668</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45668</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45668</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45668</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45668</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45668</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45668</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45668</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45668</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45668</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45668</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45668</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45668</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45668</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45668</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45668</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45668</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45668</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45668</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45668</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45668</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45668</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45668</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45668</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45668</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45668</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45668</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45668</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45668</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45668</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45668</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45668</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45668</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45668</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45668</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45668</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45668</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45668</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45668</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45668</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45668</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45668</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45668</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45668</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45668</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45668</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45668</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45668</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45668</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45668</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45668</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45668</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45668</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45668</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45668</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45668</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45668</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45668</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45668</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45668</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45668</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45668</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45668</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45668</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45668</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45668</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45668</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45668</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45668</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45668</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45668</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45668</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45668</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45668</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45668</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45668</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45668</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45668</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45668</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45668</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45668</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45668</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45668</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45668</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45668</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45668</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45668</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45668</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45668</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45668</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45668</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45668</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45668</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45668</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45668</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45668</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45668</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45668</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45668</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45668</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45668</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45668</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45668</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45668</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45668</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45668</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45668</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45668</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45668</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45668</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45668</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45668</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45668</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45668</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45668</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45668</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45668</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45668</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45668</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45668</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45668</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45668</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45668</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45668</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45668</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45668</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45668</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45668</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45668</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45668</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45668</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45668</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45668</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45668</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45668</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45668</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45668</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45668</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45668</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45668</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45668</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45668</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45668</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45668</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45668</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45668</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45668</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45668</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45668</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45668</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45668</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45668</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45668</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45668</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45668</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45668</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45668</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45668</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45668</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45668</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45668</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45668</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45668</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45668</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45668</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45668</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45668</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45668</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45668</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45668</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45668</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45668</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45668</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45668</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45668</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45668</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45668</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45668</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45668</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45668</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45668</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45668</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45668</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45668</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45668</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45668</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45668</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45668</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45668</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45668</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45668</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45668</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45668</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45668</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45668</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45668</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45668</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45668</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45668</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45668</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45668</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45668</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45668</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45668</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45668</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45668</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45668</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45668</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45668</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45668</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45668</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45668</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45668</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45668</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45668</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45668</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45668</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45668</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45668</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45668</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45668</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45668</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45668</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45668</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45668</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45668</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45668</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45668</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45668</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45668</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45668</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45668</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45668</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45668</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45668</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45668</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45668</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45668</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45668</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45668</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45668</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45668</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45668</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45668</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45668</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45668</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45668</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45668</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45668</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45668</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45668</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45668</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45668</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45668</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45668</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45668</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45668</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45668</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45668</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45668</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45668</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45668</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45668</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45668</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45668</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45668</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45668</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45668</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45668</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45668</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45668</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45668</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45668</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45668</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45668</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45668</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45668</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45668</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45668</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45668</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45668</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45668</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45668</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45668</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45668</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45668</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45668</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45668</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45668</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45668</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45668</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45668</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45668</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45668</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45668</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45668</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45668</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45668</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45668</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45668</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45668</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45668</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45668</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45668</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45668</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45668</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45668</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45668</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45668</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45668</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45668</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45668</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45668</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45668</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45668</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45668</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45668</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45668</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45668</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45668</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45668</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45668</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45668</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45668</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45668</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45668</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45668</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45668</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45668</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45668</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45668</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45668</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45668</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45668</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45668</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45668</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45668</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45668</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45668</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45668</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45668</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45668</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45668</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45668</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45668</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45668</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45668</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45668</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45668</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45668</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45668</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45668</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45668</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45668</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45668</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45668</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45668</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45668</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45668</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45668</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45668</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45668</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45668</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45668</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45668</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45668</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45668</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45668</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45668</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45668</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45668</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45668</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45668</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45668</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45668</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45668</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45668</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45668</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45668</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45668</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45668</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45668</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45668</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45668</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45668</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45668</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45668</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45668</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45668</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45668</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45668</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45668</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45668</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45668</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45668</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45668</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45668</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45668</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45668</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45668</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45668</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45668</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45668</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45668</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45668</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45668</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45668</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45668</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45668</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45668</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45668</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45668</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45668</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45668</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45668</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45668</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45668</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45668</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45668</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45668</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45668</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45668</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45668</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45668</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45668</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45668</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45668</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45668</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45668</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45668</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45668</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45668</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45668</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45668</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45668</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45668</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45668</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45668</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45668</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45668</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45668</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45668</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45668</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45668</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45668</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45668</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45668</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45668</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45668</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45668</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45668</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45668</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45668</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45668</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45668</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45668</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45668</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45668</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45668</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45668</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45668</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45668</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45668</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45668</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45668</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45668</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45668</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45668</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45668</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45668</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45668</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45668</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45668</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45668</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45668</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45668</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45668</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45668</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45668</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45668</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45668</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45668</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45668</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45668</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45668</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45668</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45668</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45668</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45668</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45668</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45668</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45668</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45668</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45668</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45668</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45668</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45668</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45668</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45668</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45668</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45668</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45668</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45668</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45668</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45668</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45668</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45668</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45668</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45668</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45668</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45668</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45668</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45668</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45668</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45668</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45668</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45668</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45668</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45668</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45668</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45668</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45668</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45668</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45668</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45668</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45668</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45668</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45668</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45668</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45668</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45668</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45668</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45668</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45668</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45668</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45668</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45668</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45668</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45668</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45668</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45668</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45668</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45668</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45668</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45668</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45668</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45668</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45668</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45668</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45668</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45668</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45668</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45668</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45668</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45668</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45668</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45668</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45668</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45668</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45668</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45668</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45668</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45668</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45668</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45668</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45668</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45668</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45668</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45668</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45668</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45668</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45668</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45668</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45668</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45668</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45668</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45668</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45668</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45668</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45668</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45668</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45668</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45668</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45668</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45668</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45668</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45668</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45668</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45668</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45668</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45668</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45668</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45668</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45668</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45668</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45668</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45668</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45668</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45668</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45668</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45668</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45668</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45668</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45668</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45668</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45668</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45668</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45668</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45668</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45668</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45668</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45668</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45668</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45668</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45668</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45668</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45668</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45668</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45668</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45668</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45668</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45668</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45668</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45668</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45668</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45668</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45668</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45668</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45668</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45668</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45668</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45668</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45668</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45668</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45668</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45668</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45668</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45668</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45668</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45668</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45668</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45668</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45668</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45668</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45668</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45668</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45668</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45668</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45668</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45668</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45668</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45668</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45668</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45668</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45668</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45668</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45668</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45668</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45668</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45668</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45668</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45668</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45668</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45668</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45668</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45668</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45668</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45668</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45668</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45668</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45668</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45668</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45668</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45668</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45668</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45668</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45668</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45668</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45668</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45668</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45668</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45668</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45668</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45668</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45668</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45668</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45668</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45668</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45668</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45668</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45668</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45668</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45668</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45668</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45668</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45668</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45668</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45668</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45668</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45668</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45668</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45668</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45668</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45668</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45668</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45668</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45668</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45668</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45668</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45668</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45668</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45668</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45668</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45668</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45668</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45668</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45668</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45668</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45668</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45668</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45668</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45668</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45668</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45668</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45668</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45668</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45668</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45668</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45668</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45668</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45668</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45668</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45668</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45668</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45668</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45668</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45668</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45668</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45668</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45668</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45668</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45668</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45668</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45668</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45668</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45668</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45668</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45668</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45668</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45668</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45668</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45668</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45668</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45668</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45668</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45668</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45668</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45668</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45668</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45668</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45668</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45668</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45668</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45668</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45668</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45668</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45668</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45668</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45668</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45668</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45668</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45668</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45668</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45668</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45668</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45668</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45668</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45668</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45668</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45668</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45668</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45668</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45668</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45668</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45668</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45668</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45668</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45668</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45668</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45668</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45668</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45668</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45668</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45668</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45668</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45668</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45668</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45668</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45668</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45668</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45668</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45668</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45668</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45668</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45668</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45668</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45668</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45668</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45668</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45668</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45668</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45668</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45668</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45668</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45668</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45668</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45668</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45668</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45668</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45668</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45668</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45668</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45668</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45668</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45668</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45668</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45668</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45668</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45668</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45668</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45668</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45668</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45668</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45668</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45668</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45668</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45668</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45668</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45668</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45668</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45668</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45668</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45668</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45668</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45668</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45668</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45668</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45668</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45668</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45668</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45668</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45668</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45668</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45668</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45668</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45668</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45668</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45668</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45668</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45668</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45668</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45668</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45668</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45668</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45668</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45668</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45668</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45668</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45668</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45668</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45668</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45668</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45668</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45668</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45668</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45668</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45668</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45668</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45668</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45668</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45668</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45668</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45668</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45668</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45668</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45668</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45668</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45668</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45668</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45668</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45668</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45668</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45668</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45668</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45668</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45668</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59636-2024</t>
        </is>
      </c>
      <c r="B13529" s="1" t="n">
        <v>45639</v>
      </c>
      <c r="C13529" s="1" t="n">
        <v>45668</v>
      </c>
      <c r="D13529" t="inlineStr">
        <is>
          <t>GÄVLEBORGS LÄN</t>
        </is>
      </c>
      <c r="E13529" t="inlineStr">
        <is>
          <t>BOLLNÄS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45668</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59773-2024</t>
        </is>
      </c>
      <c r="B13531" s="1" t="n">
        <v>45639</v>
      </c>
      <c r="C13531" s="1" t="n">
        <v>45668</v>
      </c>
      <c r="D13531" t="inlineStr">
        <is>
          <t>GÄVLEBORGS LÄN</t>
        </is>
      </c>
      <c r="E13531" t="inlineStr">
        <is>
          <t>SÖDERHAMN</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59637-2024</t>
        </is>
      </c>
      <c r="B13532" s="1" t="n">
        <v>45639</v>
      </c>
      <c r="C13532" s="1" t="n">
        <v>45668</v>
      </c>
      <c r="D13532" t="inlineStr">
        <is>
          <t>GÄVLEBORGS LÄN</t>
        </is>
      </c>
      <c r="E13532" t="inlineStr">
        <is>
          <t>BOLLNÄS</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59661-2024</t>
        </is>
      </c>
      <c r="B13533" s="1" t="n">
        <v>45639</v>
      </c>
      <c r="C13533" s="1" t="n">
        <v>45668</v>
      </c>
      <c r="D13533" t="inlineStr">
        <is>
          <t>GÄVLEBORGS LÄN</t>
        </is>
      </c>
      <c r="E13533" t="inlineStr">
        <is>
          <t>SANDVIKEN</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59638-2024</t>
        </is>
      </c>
      <c r="B13534" s="1" t="n">
        <v>45639</v>
      </c>
      <c r="C13534" s="1" t="n">
        <v>45668</v>
      </c>
      <c r="D13534" t="inlineStr">
        <is>
          <t>GÄVLEBORGS LÄN</t>
        </is>
      </c>
      <c r="E13534" t="inlineStr">
        <is>
          <t>BOLLNÄS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45668</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45668</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59772-2024</t>
        </is>
      </c>
      <c r="B13537" s="1" t="n">
        <v>45639</v>
      </c>
      <c r="C13537" s="1" t="n">
        <v>45668</v>
      </c>
      <c r="D13537" t="inlineStr">
        <is>
          <t>GÄVLEBORGS LÄN</t>
        </is>
      </c>
      <c r="E13537" t="inlineStr">
        <is>
          <t>SÖDERHAMN</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59823-2024</t>
        </is>
      </c>
      <c r="B13538" s="1" t="n">
        <v>45639</v>
      </c>
      <c r="C13538" s="1" t="n">
        <v>45668</v>
      </c>
      <c r="D13538" t="inlineStr">
        <is>
          <t>GÄVLEBORGS LÄN</t>
        </is>
      </c>
      <c r="E13538" t="inlineStr">
        <is>
          <t>HUDIKSVALL</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59827-2024</t>
        </is>
      </c>
      <c r="B13539" s="1" t="n">
        <v>45639</v>
      </c>
      <c r="C13539" s="1" t="n">
        <v>45668</v>
      </c>
      <c r="D13539" t="inlineStr">
        <is>
          <t>GÄVLEBORGS LÄN</t>
        </is>
      </c>
      <c r="E13539" t="inlineStr">
        <is>
          <t>SÖDERHAMN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59851-2024</t>
        </is>
      </c>
      <c r="B13540" s="1" t="n">
        <v>45639</v>
      </c>
      <c r="C13540" s="1" t="n">
        <v>45668</v>
      </c>
      <c r="D13540" t="inlineStr">
        <is>
          <t>GÄVLEBORGS LÄN</t>
        </is>
      </c>
      <c r="E13540" t="inlineStr">
        <is>
          <t>NORDANSTIG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45668</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45668</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45668</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59929-2024</t>
        </is>
      </c>
      <c r="B13544" s="1" t="n">
        <v>45642</v>
      </c>
      <c r="C13544" s="1" t="n">
        <v>45668</v>
      </c>
      <c r="D13544" t="inlineStr">
        <is>
          <t>GÄVLEBORGS LÄN</t>
        </is>
      </c>
      <c r="E13544" t="inlineStr">
        <is>
          <t>OVANÅKER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59941-2024</t>
        </is>
      </c>
      <c r="B13545" s="1" t="n">
        <v>45642</v>
      </c>
      <c r="C13545" s="1" t="n">
        <v>45668</v>
      </c>
      <c r="D13545" t="inlineStr">
        <is>
          <t>GÄVLEBORGS LÄN</t>
        </is>
      </c>
      <c r="E13545" t="inlineStr">
        <is>
          <t>OCKELBO</t>
        </is>
      </c>
      <c r="F13545" t="inlineStr">
        <is>
          <t>Bergvik skog öst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59945-2024</t>
        </is>
      </c>
      <c r="B13546" s="1" t="n">
        <v>45642</v>
      </c>
      <c r="C13546" s="1" t="n">
        <v>45668</v>
      </c>
      <c r="D13546" t="inlineStr">
        <is>
          <t>GÄVLEBORGS LÄN</t>
        </is>
      </c>
      <c r="E13546" t="inlineStr">
        <is>
          <t>NORDANSTIG</t>
        </is>
      </c>
      <c r="F13546" t="inlineStr">
        <is>
          <t>Holmen skog AB</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59930-2024</t>
        </is>
      </c>
      <c r="B13547" s="1" t="n">
        <v>45642</v>
      </c>
      <c r="C13547" s="1" t="n">
        <v>45668</v>
      </c>
      <c r="D13547" t="inlineStr">
        <is>
          <t>GÄVLEBORGS LÄN</t>
        </is>
      </c>
      <c r="E13547" t="inlineStr">
        <is>
          <t>NORDANSTIG</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60055-2024</t>
        </is>
      </c>
      <c r="B13548" s="1" t="n">
        <v>45642</v>
      </c>
      <c r="C13548" s="1" t="n">
        <v>45668</v>
      </c>
      <c r="D13548" t="inlineStr">
        <is>
          <t>GÄVLEBORGS LÄN</t>
        </is>
      </c>
      <c r="E13548" t="inlineStr">
        <is>
          <t>BOLLNÄS</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60092-2024</t>
        </is>
      </c>
      <c r="B13549" s="1" t="n">
        <v>45642</v>
      </c>
      <c r="C13549" s="1" t="n">
        <v>45668</v>
      </c>
      <c r="D13549" t="inlineStr">
        <is>
          <t>GÄVLEBORGS LÄN</t>
        </is>
      </c>
      <c r="E13549" t="inlineStr">
        <is>
          <t>NORDANSTIG</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60186-2024</t>
        </is>
      </c>
      <c r="B13550" s="1" t="n">
        <v>45642</v>
      </c>
      <c r="C13550" s="1" t="n">
        <v>45668</v>
      </c>
      <c r="D13550" t="inlineStr">
        <is>
          <t>GÄVLEBORGS LÄN</t>
        </is>
      </c>
      <c r="E13550" t="inlineStr">
        <is>
          <t>HUDIKSVALL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59974-2024</t>
        </is>
      </c>
      <c r="B13551" s="1" t="n">
        <v>45642</v>
      </c>
      <c r="C13551" s="1" t="n">
        <v>45668</v>
      </c>
      <c r="D13551" t="inlineStr">
        <is>
          <t>GÄVLEBORGS LÄN</t>
        </is>
      </c>
      <c r="E13551" t="inlineStr">
        <is>
          <t>OVANÅKER</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60016-2024</t>
        </is>
      </c>
      <c r="B13552" s="1" t="n">
        <v>45642</v>
      </c>
      <c r="C13552" s="1" t="n">
        <v>45668</v>
      </c>
      <c r="D13552" t="inlineStr">
        <is>
          <t>GÄVLEBORGS LÄN</t>
        </is>
      </c>
      <c r="E13552" t="inlineStr">
        <is>
          <t>BOLLNÄS</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60032-2024</t>
        </is>
      </c>
      <c r="B13553" s="1" t="n">
        <v>45642</v>
      </c>
      <c r="C13553" s="1" t="n">
        <v>45668</v>
      </c>
      <c r="D13553" t="inlineStr">
        <is>
          <t>GÄVLEBORGS LÄN</t>
        </is>
      </c>
      <c r="E13553" t="inlineStr">
        <is>
          <t>BOLLNÄS</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60044-2024</t>
        </is>
      </c>
      <c r="B13554" s="1" t="n">
        <v>45642</v>
      </c>
      <c r="C13554" s="1" t="n">
        <v>45668</v>
      </c>
      <c r="D13554" t="inlineStr">
        <is>
          <t>GÄVLEBORGS LÄN</t>
        </is>
      </c>
      <c r="E13554" t="inlineStr">
        <is>
          <t>BOLLNÄS</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45668</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45668</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60257-2024</t>
        </is>
      </c>
      <c r="B13557" s="1" t="n">
        <v>45642</v>
      </c>
      <c r="C13557" s="1" t="n">
        <v>45668</v>
      </c>
      <c r="D13557" t="inlineStr">
        <is>
          <t>GÄVLEBORGS LÄN</t>
        </is>
      </c>
      <c r="E13557" t="inlineStr">
        <is>
          <t>LJUSDAL</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60102-2024</t>
        </is>
      </c>
      <c r="B13558" s="1" t="n">
        <v>45642</v>
      </c>
      <c r="C13558" s="1" t="n">
        <v>45668</v>
      </c>
      <c r="D13558" t="inlineStr">
        <is>
          <t>GÄVLEBORGS LÄN</t>
        </is>
      </c>
      <c r="E13558" t="inlineStr">
        <is>
          <t>NORDANSTIG</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45668</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60193-2024</t>
        </is>
      </c>
      <c r="B13560" s="1" t="n">
        <v>45642</v>
      </c>
      <c r="C13560" s="1" t="n">
        <v>45668</v>
      </c>
      <c r="D13560" t="inlineStr">
        <is>
          <t>GÄVLEBORGS LÄN</t>
        </is>
      </c>
      <c r="E13560" t="inlineStr">
        <is>
          <t>NORDANSTIG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60197-2024</t>
        </is>
      </c>
      <c r="B13561" s="1" t="n">
        <v>45642</v>
      </c>
      <c r="C13561" s="1" t="n">
        <v>45668</v>
      </c>
      <c r="D13561" t="inlineStr">
        <is>
          <t>GÄVLEBORGS LÄN</t>
        </is>
      </c>
      <c r="E13561" t="inlineStr">
        <is>
          <t>LJUSDAL</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45668</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60285-2024</t>
        </is>
      </c>
      <c r="B13563" s="1" t="n">
        <v>45642</v>
      </c>
      <c r="C13563" s="1" t="n">
        <v>45668</v>
      </c>
      <c r="D13563" t="inlineStr">
        <is>
          <t>GÄVLEBORGS LÄN</t>
        </is>
      </c>
      <c r="E13563" t="inlineStr">
        <is>
          <t>NORDANSTIG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60289-2024</t>
        </is>
      </c>
      <c r="B13564" s="1" t="n">
        <v>45643</v>
      </c>
      <c r="C13564" s="1" t="n">
        <v>45668</v>
      </c>
      <c r="D13564" t="inlineStr">
        <is>
          <t>GÄVLEBORGS LÄN</t>
        </is>
      </c>
      <c r="E13564" t="inlineStr">
        <is>
          <t>LJUSDAL</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60282-2024</t>
        </is>
      </c>
      <c r="B13565" s="1" t="n">
        <v>45642</v>
      </c>
      <c r="C13565" s="1" t="n">
        <v>45668</v>
      </c>
      <c r="D13565" t="inlineStr">
        <is>
          <t>GÄVLEBORGS LÄN</t>
        </is>
      </c>
      <c r="E13565" t="inlineStr">
        <is>
          <t>LJUSDAL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60292-2024</t>
        </is>
      </c>
      <c r="B13566" s="1" t="n">
        <v>45643</v>
      </c>
      <c r="C13566" s="1" t="n">
        <v>45668</v>
      </c>
      <c r="D13566" t="inlineStr">
        <is>
          <t>GÄVLEBORGS LÄN</t>
        </is>
      </c>
      <c r="E13566" t="inlineStr">
        <is>
          <t>SÖDERHAMN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45668</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60347-2024</t>
        </is>
      </c>
      <c r="B13568" s="1" t="n">
        <v>45643</v>
      </c>
      <c r="C13568" s="1" t="n">
        <v>45668</v>
      </c>
      <c r="D13568" t="inlineStr">
        <is>
          <t>GÄVLEBORGS LÄN</t>
        </is>
      </c>
      <c r="E13568" t="inlineStr">
        <is>
          <t>SÖDERHAMN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60359-2024</t>
        </is>
      </c>
      <c r="B13569" s="1" t="n">
        <v>45643</v>
      </c>
      <c r="C13569" s="1" t="n">
        <v>45668</v>
      </c>
      <c r="D13569" t="inlineStr">
        <is>
          <t>GÄVLEBORGS LÄN</t>
        </is>
      </c>
      <c r="E13569" t="inlineStr">
        <is>
          <t>HUDIKSVALL</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60307-2024</t>
        </is>
      </c>
      <c r="B13570" s="1" t="n">
        <v>45643</v>
      </c>
      <c r="C13570" s="1" t="n">
        <v>45668</v>
      </c>
      <c r="D13570" t="inlineStr">
        <is>
          <t>GÄVLEBORGS LÄN</t>
        </is>
      </c>
      <c r="E13570" t="inlineStr">
        <is>
          <t>GÄVLE</t>
        </is>
      </c>
      <c r="F13570" t="inlineStr">
        <is>
          <t>Kyrkan</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60426-2024</t>
        </is>
      </c>
      <c r="B13571" s="1" t="n">
        <v>45643</v>
      </c>
      <c r="C13571" s="1" t="n">
        <v>45668</v>
      </c>
      <c r="D13571" t="inlineStr">
        <is>
          <t>GÄVLEBORGS LÄN</t>
        </is>
      </c>
      <c r="E13571" t="inlineStr">
        <is>
          <t>BOLLNÄS</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60356-2024</t>
        </is>
      </c>
      <c r="B13572" s="1" t="n">
        <v>45643</v>
      </c>
      <c r="C13572" s="1" t="n">
        <v>45668</v>
      </c>
      <c r="D13572" t="inlineStr">
        <is>
          <t>GÄVLEBORGS LÄN</t>
        </is>
      </c>
      <c r="E13572" t="inlineStr">
        <is>
          <t>HUDIKSVALL</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60428-2024</t>
        </is>
      </c>
      <c r="B13573" s="1" t="n">
        <v>45643</v>
      </c>
      <c r="C13573" s="1" t="n">
        <v>45668</v>
      </c>
      <c r="D13573" t="inlineStr">
        <is>
          <t>GÄVLEBORGS LÄN</t>
        </is>
      </c>
      <c r="E13573" t="inlineStr">
        <is>
          <t>BOLLNÄS</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60403-2024</t>
        </is>
      </c>
      <c r="B13574" s="1" t="n">
        <v>45643</v>
      </c>
      <c r="C13574" s="1" t="n">
        <v>45668</v>
      </c>
      <c r="D13574" t="inlineStr">
        <is>
          <t>GÄVLEBORGS LÄN</t>
        </is>
      </c>
      <c r="E13574" t="inlineStr">
        <is>
          <t>OVANÅKER</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60464-2024</t>
        </is>
      </c>
      <c r="B13575" s="1" t="n">
        <v>45643</v>
      </c>
      <c r="C13575" s="1" t="n">
        <v>45668</v>
      </c>
      <c r="D13575" t="inlineStr">
        <is>
          <t>GÄVLEBORGS LÄN</t>
        </is>
      </c>
      <c r="E13575" t="inlineStr">
        <is>
          <t>LJUSDAL</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45668</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60563-2024</t>
        </is>
      </c>
      <c r="B13577" s="1" t="n">
        <v>45644</v>
      </c>
      <c r="C13577" s="1" t="n">
        <v>45668</v>
      </c>
      <c r="D13577" t="inlineStr">
        <is>
          <t>GÄVLEBORGS LÄN</t>
        </is>
      </c>
      <c r="E13577" t="inlineStr">
        <is>
          <t>OVANÅKER</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60592-2024</t>
        </is>
      </c>
      <c r="B13578" s="1" t="n">
        <v>45644</v>
      </c>
      <c r="C13578" s="1" t="n">
        <v>45668</v>
      </c>
      <c r="D13578" t="inlineStr">
        <is>
          <t>GÄVLEBORGS LÄN</t>
        </is>
      </c>
      <c r="E13578" t="inlineStr">
        <is>
          <t>SANDVIKEN</t>
        </is>
      </c>
      <c r="F13578" t="inlineStr">
        <is>
          <t>Bergvik skog öst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45668</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60602-2024</t>
        </is>
      </c>
      <c r="B13580" s="1" t="n">
        <v>45644</v>
      </c>
      <c r="C13580" s="1" t="n">
        <v>45668</v>
      </c>
      <c r="D13580" t="inlineStr">
        <is>
          <t>GÄVLEBORGS LÄN</t>
        </is>
      </c>
      <c r="E13580" t="inlineStr">
        <is>
          <t>GÄVLE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45668</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60594-2024</t>
        </is>
      </c>
      <c r="B13582" s="1" t="n">
        <v>45644</v>
      </c>
      <c r="C13582" s="1" t="n">
        <v>45668</v>
      </c>
      <c r="D13582" t="inlineStr">
        <is>
          <t>GÄVLEBORGS LÄN</t>
        </is>
      </c>
      <c r="E13582" t="inlineStr">
        <is>
          <t>HUDIKSVALL</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60675-2024</t>
        </is>
      </c>
      <c r="B13583" s="1" t="n">
        <v>45644</v>
      </c>
      <c r="C13583" s="1" t="n">
        <v>45668</v>
      </c>
      <c r="D13583" t="inlineStr">
        <is>
          <t>GÄVLEBORGS LÄN</t>
        </is>
      </c>
      <c r="E13583" t="inlineStr">
        <is>
          <t>NORDANSTIG</t>
        </is>
      </c>
      <c r="F13583" t="inlineStr">
        <is>
          <t>Holmen skog AB</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60689-2024</t>
        </is>
      </c>
      <c r="B13584" s="1" t="n">
        <v>45644</v>
      </c>
      <c r="C13584" s="1" t="n">
        <v>45668</v>
      </c>
      <c r="D13584" t="inlineStr">
        <is>
          <t>GÄVLEBORGS LÄN</t>
        </is>
      </c>
      <c r="E13584" t="inlineStr">
        <is>
          <t>BOLLNÄS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60699-2024</t>
        </is>
      </c>
      <c r="B13585" s="1" t="n">
        <v>45644</v>
      </c>
      <c r="C13585" s="1" t="n">
        <v>45668</v>
      </c>
      <c r="D13585" t="inlineStr">
        <is>
          <t>GÄVLEBORGS LÄN</t>
        </is>
      </c>
      <c r="E13585" t="inlineStr">
        <is>
          <t>OCKELBO</t>
        </is>
      </c>
      <c r="F13585" t="inlineStr">
        <is>
          <t>Bergvik skog väst AB</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60745-2024</t>
        </is>
      </c>
      <c r="B13586" s="1" t="n">
        <v>45644</v>
      </c>
      <c r="C13586" s="1" t="n">
        <v>45668</v>
      </c>
      <c r="D13586" t="inlineStr">
        <is>
          <t>GÄVLEBORGS LÄN</t>
        </is>
      </c>
      <c r="E13586" t="inlineStr">
        <is>
          <t>SANDVIKEN</t>
        </is>
      </c>
      <c r="G13586" t="n">
        <v>19.5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60759-2024</t>
        </is>
      </c>
      <c r="B13587" s="1" t="n">
        <v>45644</v>
      </c>
      <c r="C13587" s="1" t="n">
        <v>45668</v>
      </c>
      <c r="D13587" t="inlineStr">
        <is>
          <t>GÄVLEBORGS LÄN</t>
        </is>
      </c>
      <c r="E13587" t="inlineStr">
        <is>
          <t>BOLLNÄS</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60793-2024</t>
        </is>
      </c>
      <c r="B13588" s="1" t="n">
        <v>45644</v>
      </c>
      <c r="C13588" s="1" t="n">
        <v>45668</v>
      </c>
      <c r="D13588" t="inlineStr">
        <is>
          <t>GÄVLEBORGS LÄN</t>
        </is>
      </c>
      <c r="E13588" t="inlineStr">
        <is>
          <t>LJUSDAL</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60617-2024</t>
        </is>
      </c>
      <c r="B13589" s="1" t="n">
        <v>45644</v>
      </c>
      <c r="C13589" s="1" t="n">
        <v>45668</v>
      </c>
      <c r="D13589" t="inlineStr">
        <is>
          <t>GÄVLEBORGS LÄN</t>
        </is>
      </c>
      <c r="E13589" t="inlineStr">
        <is>
          <t>GÄVLE</t>
        </is>
      </c>
      <c r="F13589" t="inlineStr">
        <is>
          <t>Kyrkan</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60629-2024</t>
        </is>
      </c>
      <c r="B13590" s="1" t="n">
        <v>45644</v>
      </c>
      <c r="C13590" s="1" t="n">
        <v>45668</v>
      </c>
      <c r="D13590" t="inlineStr">
        <is>
          <t>GÄVLEBORGS LÄN</t>
        </is>
      </c>
      <c r="E13590" t="inlineStr">
        <is>
          <t>GÄVLE</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60872-2024</t>
        </is>
      </c>
      <c r="B13591" s="1" t="n">
        <v>45644</v>
      </c>
      <c r="C13591" s="1" t="n">
        <v>45668</v>
      </c>
      <c r="D13591" t="inlineStr">
        <is>
          <t>GÄVLEBORGS LÄN</t>
        </is>
      </c>
      <c r="E13591" t="inlineStr">
        <is>
          <t>HUDIKSVALL</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60743-2024</t>
        </is>
      </c>
      <c r="B13592" s="1" t="n">
        <v>45644</v>
      </c>
      <c r="C13592" s="1" t="n">
        <v>45668</v>
      </c>
      <c r="D13592" t="inlineStr">
        <is>
          <t>GÄVLEBORGS LÄN</t>
        </is>
      </c>
      <c r="E13592" t="inlineStr">
        <is>
          <t>BOLLNÄS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60753-2024</t>
        </is>
      </c>
      <c r="B13593" s="1" t="n">
        <v>45644</v>
      </c>
      <c r="C13593" s="1" t="n">
        <v>45668</v>
      </c>
      <c r="D13593" t="inlineStr">
        <is>
          <t>GÄVLEBORGS LÄN</t>
        </is>
      </c>
      <c r="E13593" t="inlineStr">
        <is>
          <t>BOLLNÄS</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60777-2024</t>
        </is>
      </c>
      <c r="B13594" s="1" t="n">
        <v>45644</v>
      </c>
      <c r="C13594" s="1" t="n">
        <v>45668</v>
      </c>
      <c r="D13594" t="inlineStr">
        <is>
          <t>GÄVLEBORGS LÄN</t>
        </is>
      </c>
      <c r="E13594" t="inlineStr">
        <is>
          <t>HUDIKSVALL</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60792-2024</t>
        </is>
      </c>
      <c r="B13595" s="1" t="n">
        <v>45644</v>
      </c>
      <c r="C13595" s="1" t="n">
        <v>45668</v>
      </c>
      <c r="D13595" t="inlineStr">
        <is>
          <t>GÄVLEBORGS LÄN</t>
        </is>
      </c>
      <c r="E13595" t="inlineStr">
        <is>
          <t>GÄVLE</t>
        </is>
      </c>
      <c r="F13595" t="inlineStr">
        <is>
          <t>Kyrkan</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60801-2024</t>
        </is>
      </c>
      <c r="B13596" s="1" t="n">
        <v>45644</v>
      </c>
      <c r="C13596" s="1" t="n">
        <v>45668</v>
      </c>
      <c r="D13596" t="inlineStr">
        <is>
          <t>GÄVLEBORGS LÄN</t>
        </is>
      </c>
      <c r="E13596" t="inlineStr">
        <is>
          <t>GÄVLE</t>
        </is>
      </c>
      <c r="F13596" t="inlineStr">
        <is>
          <t>Kyrkan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60835-2024</t>
        </is>
      </c>
      <c r="B13597" s="1" t="n">
        <v>45644</v>
      </c>
      <c r="C13597" s="1" t="n">
        <v>45668</v>
      </c>
      <c r="D13597" t="inlineStr">
        <is>
          <t>GÄVLEBORGS LÄN</t>
        </is>
      </c>
      <c r="E13597" t="inlineStr">
        <is>
          <t>HUDIKSVALL</t>
        </is>
      </c>
      <c r="F13597" t="inlineStr">
        <is>
          <t>Holmen skog AB</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45668</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45668</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60896-2024</t>
        </is>
      </c>
      <c r="B13600" s="1" t="n">
        <v>45645</v>
      </c>
      <c r="C13600" s="1" t="n">
        <v>45668</v>
      </c>
      <c r="D13600" t="inlineStr">
        <is>
          <t>GÄVLEBORGS LÄN</t>
        </is>
      </c>
      <c r="E13600" t="inlineStr">
        <is>
          <t>LJUSDAL</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60904-2024</t>
        </is>
      </c>
      <c r="B13601" s="1" t="n">
        <v>45645</v>
      </c>
      <c r="C13601" s="1" t="n">
        <v>45668</v>
      </c>
      <c r="D13601" t="inlineStr">
        <is>
          <t>GÄVLEBORGS LÄN</t>
        </is>
      </c>
      <c r="E13601" t="inlineStr">
        <is>
          <t>HUDIKSVALL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60914-2024</t>
        </is>
      </c>
      <c r="B13602" s="1" t="n">
        <v>45645</v>
      </c>
      <c r="C13602" s="1" t="n">
        <v>45668</v>
      </c>
      <c r="D13602" t="inlineStr">
        <is>
          <t>GÄVLEBORGS LÄN</t>
        </is>
      </c>
      <c r="E13602" t="inlineStr">
        <is>
          <t>LJUSDAL</t>
        </is>
      </c>
      <c r="G13602" t="n">
        <v>6.9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60919-2024</t>
        </is>
      </c>
      <c r="B13603" s="1" t="n">
        <v>45645</v>
      </c>
      <c r="C13603" s="1" t="n">
        <v>45668</v>
      </c>
      <c r="D13603" t="inlineStr">
        <is>
          <t>GÄVLEBORGS LÄN</t>
        </is>
      </c>
      <c r="E13603" t="inlineStr">
        <is>
          <t>SÖDERHAMN</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60927-2024</t>
        </is>
      </c>
      <c r="B13604" s="1" t="n">
        <v>45645</v>
      </c>
      <c r="C13604" s="1" t="n">
        <v>45668</v>
      </c>
      <c r="D13604" t="inlineStr">
        <is>
          <t>GÄVLEBORGS LÄN</t>
        </is>
      </c>
      <c r="E13604" t="inlineStr">
        <is>
          <t>OVANÅKER</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60944-2024</t>
        </is>
      </c>
      <c r="B13605" s="1" t="n">
        <v>45645</v>
      </c>
      <c r="C13605" s="1" t="n">
        <v>45668</v>
      </c>
      <c r="D13605" t="inlineStr">
        <is>
          <t>GÄVLEBORGS LÄN</t>
        </is>
      </c>
      <c r="E13605" t="inlineStr">
        <is>
          <t>NORDANSTIG</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60962-2024</t>
        </is>
      </c>
      <c r="B13606" s="1" t="n">
        <v>45645</v>
      </c>
      <c r="C13606" s="1" t="n">
        <v>45668</v>
      </c>
      <c r="D13606" t="inlineStr">
        <is>
          <t>GÄVLEBORGS LÄN</t>
        </is>
      </c>
      <c r="E13606" t="inlineStr">
        <is>
          <t>OCKELBO</t>
        </is>
      </c>
      <c r="F13606" t="inlineStr">
        <is>
          <t>Kyrkan</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60902-2024</t>
        </is>
      </c>
      <c r="B13607" s="1" t="n">
        <v>45645</v>
      </c>
      <c r="C13607" s="1" t="n">
        <v>45668</v>
      </c>
      <c r="D13607" t="inlineStr">
        <is>
          <t>GÄVLEBORGS LÄN</t>
        </is>
      </c>
      <c r="E13607" t="inlineStr">
        <is>
          <t>HUDIKSVALL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60912-2024</t>
        </is>
      </c>
      <c r="B13608" s="1" t="n">
        <v>45645</v>
      </c>
      <c r="C13608" s="1" t="n">
        <v>45668</v>
      </c>
      <c r="D13608" t="inlineStr">
        <is>
          <t>GÄVLEBORGS LÄN</t>
        </is>
      </c>
      <c r="E13608" t="inlineStr">
        <is>
          <t>SÖDERHAMN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60929-2024</t>
        </is>
      </c>
      <c r="B13609" s="1" t="n">
        <v>45645</v>
      </c>
      <c r="C13609" s="1" t="n">
        <v>45668</v>
      </c>
      <c r="D13609" t="inlineStr">
        <is>
          <t>GÄVLEBORGS LÄN</t>
        </is>
      </c>
      <c r="E13609" t="inlineStr">
        <is>
          <t>SÖDERHAMN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45668</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45668</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45668</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45668</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45668</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45668</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61087-2024</t>
        </is>
      </c>
      <c r="B13616" s="1" t="n">
        <v>45645</v>
      </c>
      <c r="C13616" s="1" t="n">
        <v>45668</v>
      </c>
      <c r="D13616" t="inlineStr">
        <is>
          <t>GÄVLEBORGS LÄN</t>
        </is>
      </c>
      <c r="E13616" t="inlineStr">
        <is>
          <t>HUDIKSVALL</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45668</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45668</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45668</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45668</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61130-2024</t>
        </is>
      </c>
      <c r="B13621" s="1" t="n">
        <v>45645</v>
      </c>
      <c r="C13621" s="1" t="n">
        <v>45668</v>
      </c>
      <c r="D13621" t="inlineStr">
        <is>
          <t>GÄVLEBORGS LÄN</t>
        </is>
      </c>
      <c r="E13621" t="inlineStr">
        <is>
          <t>GÄVLE</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61063-2024</t>
        </is>
      </c>
      <c r="B13622" s="1" t="n">
        <v>45645</v>
      </c>
      <c r="C13622" s="1" t="n">
        <v>45668</v>
      </c>
      <c r="D13622" t="inlineStr">
        <is>
          <t>GÄVLEBORGS LÄN</t>
        </is>
      </c>
      <c r="E13622" t="inlineStr">
        <is>
          <t>BOLLNÄS</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61133-2024</t>
        </is>
      </c>
      <c r="B13623" s="1" t="n">
        <v>45645</v>
      </c>
      <c r="C13623" s="1" t="n">
        <v>45668</v>
      </c>
      <c r="D13623" t="inlineStr">
        <is>
          <t>GÄVLEBORGS LÄN</t>
        </is>
      </c>
      <c r="E13623" t="inlineStr">
        <is>
          <t>GÄVLE</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61189-2024</t>
        </is>
      </c>
      <c r="B13624" s="1" t="n">
        <v>45645</v>
      </c>
      <c r="C13624" s="1" t="n">
        <v>45668</v>
      </c>
      <c r="D13624" t="inlineStr">
        <is>
          <t>GÄVLEBORGS LÄN</t>
        </is>
      </c>
      <c r="E13624" t="inlineStr">
        <is>
          <t>LJUSDAL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61065-2024</t>
        </is>
      </c>
      <c r="B13625" s="1" t="n">
        <v>45645</v>
      </c>
      <c r="C13625" s="1" t="n">
        <v>45668</v>
      </c>
      <c r="D13625" t="inlineStr">
        <is>
          <t>GÄVLEBORGS LÄN</t>
        </is>
      </c>
      <c r="E13625" t="inlineStr">
        <is>
          <t>BOLLNÄS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61091-2024</t>
        </is>
      </c>
      <c r="B13626" s="1" t="n">
        <v>45645</v>
      </c>
      <c r="C13626" s="1" t="n">
        <v>45668</v>
      </c>
      <c r="D13626" t="inlineStr">
        <is>
          <t>GÄVLEBORGS LÄN</t>
        </is>
      </c>
      <c r="E13626" t="inlineStr">
        <is>
          <t>LJUSDAL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61131-2024</t>
        </is>
      </c>
      <c r="B13627" s="1" t="n">
        <v>45645</v>
      </c>
      <c r="C13627" s="1" t="n">
        <v>45668</v>
      </c>
      <c r="D13627" t="inlineStr">
        <is>
          <t>GÄVLEBORGS LÄN</t>
        </is>
      </c>
      <c r="E13627" t="inlineStr">
        <is>
          <t>GÄVLE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61301-2024</t>
        </is>
      </c>
      <c r="B13628" s="1" t="n">
        <v>45645</v>
      </c>
      <c r="C13628" s="1" t="n">
        <v>45668</v>
      </c>
      <c r="D13628" t="inlineStr">
        <is>
          <t>GÄVLEBORGS LÄN</t>
        </is>
      </c>
      <c r="E13628" t="inlineStr">
        <is>
          <t>GÄVLE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61300-2024</t>
        </is>
      </c>
      <c r="B13629" s="1" t="n">
        <v>45645</v>
      </c>
      <c r="C13629" s="1" t="n">
        <v>45668</v>
      </c>
      <c r="D13629" t="inlineStr">
        <is>
          <t>GÄVLEBORGS LÄN</t>
        </is>
      </c>
      <c r="E13629" t="inlineStr">
        <is>
          <t>GÄVLE</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61305-2024</t>
        </is>
      </c>
      <c r="B13630" s="1" t="n">
        <v>45646</v>
      </c>
      <c r="C13630" s="1" t="n">
        <v>45668</v>
      </c>
      <c r="D13630" t="inlineStr">
        <is>
          <t>GÄVLEBORGS LÄN</t>
        </is>
      </c>
      <c r="E13630" t="inlineStr">
        <is>
          <t>BOLLNÄS</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61407-2024</t>
        </is>
      </c>
      <c r="B13631" s="1" t="n">
        <v>45646</v>
      </c>
      <c r="C13631" s="1" t="n">
        <v>45668</v>
      </c>
      <c r="D13631" t="inlineStr">
        <is>
          <t>GÄVLEBORGS LÄN</t>
        </is>
      </c>
      <c r="E13631" t="inlineStr">
        <is>
          <t>NORDANSTIG</t>
        </is>
      </c>
      <c r="G13631" t="n">
        <v>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61419-2024</t>
        </is>
      </c>
      <c r="B13632" s="1" t="n">
        <v>45646</v>
      </c>
      <c r="C13632" s="1" t="n">
        <v>45668</v>
      </c>
      <c r="D13632" t="inlineStr">
        <is>
          <t>GÄVLEBORGS LÄN</t>
        </is>
      </c>
      <c r="E13632" t="inlineStr">
        <is>
          <t>NORDANSTIG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61306-2024</t>
        </is>
      </c>
      <c r="B13633" s="1" t="n">
        <v>45646</v>
      </c>
      <c r="C13633" s="1" t="n">
        <v>45668</v>
      </c>
      <c r="D13633" t="inlineStr">
        <is>
          <t>GÄVLEBORGS LÄN</t>
        </is>
      </c>
      <c r="E13633" t="inlineStr">
        <is>
          <t>BOLLNÄS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61319-2024</t>
        </is>
      </c>
      <c r="B13634" s="1" t="n">
        <v>45646</v>
      </c>
      <c r="C13634" s="1" t="n">
        <v>45668</v>
      </c>
      <c r="D13634" t="inlineStr">
        <is>
          <t>GÄVLEBORGS LÄN</t>
        </is>
      </c>
      <c r="E13634" t="inlineStr">
        <is>
          <t>OCKELBO</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61307-2024</t>
        </is>
      </c>
      <c r="B13635" s="1" t="n">
        <v>45646</v>
      </c>
      <c r="C13635" s="1" t="n">
        <v>45668</v>
      </c>
      <c r="D13635" t="inlineStr">
        <is>
          <t>GÄVLEBORGS LÄN</t>
        </is>
      </c>
      <c r="E13635" t="inlineStr">
        <is>
          <t>BOLLNÄS</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61308-2024</t>
        </is>
      </c>
      <c r="B13636" s="1" t="n">
        <v>45646</v>
      </c>
      <c r="C13636" s="1" t="n">
        <v>45668</v>
      </c>
      <c r="D13636" t="inlineStr">
        <is>
          <t>GÄVLEBORGS LÄN</t>
        </is>
      </c>
      <c r="E13636" t="inlineStr">
        <is>
          <t>BOLLNÄS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61389-2024</t>
        </is>
      </c>
      <c r="B13637" s="1" t="n">
        <v>45646</v>
      </c>
      <c r="C13637" s="1" t="n">
        <v>45668</v>
      </c>
      <c r="D13637" t="inlineStr">
        <is>
          <t>GÄVLEBORGS LÄN</t>
        </is>
      </c>
      <c r="E13637" t="inlineStr">
        <is>
          <t>OCKELBO</t>
        </is>
      </c>
      <c r="F13637" t="inlineStr">
        <is>
          <t>Bergvik skog öst AB</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61417-2024</t>
        </is>
      </c>
      <c r="B13638" s="1" t="n">
        <v>45646</v>
      </c>
      <c r="C13638" s="1" t="n">
        <v>45668</v>
      </c>
      <c r="D13638" t="inlineStr">
        <is>
          <t>GÄVLEBORGS LÄN</t>
        </is>
      </c>
      <c r="E13638" t="inlineStr">
        <is>
          <t>NORDANSTIG</t>
        </is>
      </c>
      <c r="G13638" t="n">
        <v>13.3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61422-2024</t>
        </is>
      </c>
      <c r="B13639" s="1" t="n">
        <v>45646</v>
      </c>
      <c r="C13639" s="1" t="n">
        <v>45668</v>
      </c>
      <c r="D13639" t="inlineStr">
        <is>
          <t>GÄVLEBORGS LÄN</t>
        </is>
      </c>
      <c r="E13639" t="inlineStr">
        <is>
          <t>NORDANSTIG</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61416-2024</t>
        </is>
      </c>
      <c r="B13640" s="1" t="n">
        <v>45646</v>
      </c>
      <c r="C13640" s="1" t="n">
        <v>45668</v>
      </c>
      <c r="D13640" t="inlineStr">
        <is>
          <t>GÄVLEBORGS LÄN</t>
        </is>
      </c>
      <c r="E13640" t="inlineStr">
        <is>
          <t>LJUSDAL</t>
        </is>
      </c>
      <c r="F13640" t="inlineStr">
        <is>
          <t>Sveaskog</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61420-2024</t>
        </is>
      </c>
      <c r="B13641" s="1" t="n">
        <v>45646</v>
      </c>
      <c r="C13641" s="1" t="n">
        <v>45668</v>
      </c>
      <c r="D13641" t="inlineStr">
        <is>
          <t>GÄVLEBORGS LÄN</t>
        </is>
      </c>
      <c r="E13641" t="inlineStr">
        <is>
          <t>LJUSDAL</t>
        </is>
      </c>
      <c r="F13641" t="inlineStr">
        <is>
          <t>Sveaskog</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61430-2024</t>
        </is>
      </c>
      <c r="B13642" s="1" t="n">
        <v>45646</v>
      </c>
      <c r="C13642" s="1" t="n">
        <v>45668</v>
      </c>
      <c r="D13642" t="inlineStr">
        <is>
          <t>GÄVLEBORGS LÄN</t>
        </is>
      </c>
      <c r="E13642" t="inlineStr">
        <is>
          <t>NORDANSTIG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61418-2024</t>
        </is>
      </c>
      <c r="B13643" s="1" t="n">
        <v>45646</v>
      </c>
      <c r="C13643" s="1" t="n">
        <v>45668</v>
      </c>
      <c r="D13643" t="inlineStr">
        <is>
          <t>GÄVLEBORGS LÄN</t>
        </is>
      </c>
      <c r="E13643" t="inlineStr">
        <is>
          <t>NORDANSTIG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61427-2024</t>
        </is>
      </c>
      <c r="B13644" s="1" t="n">
        <v>45646</v>
      </c>
      <c r="C13644" s="1" t="n">
        <v>45668</v>
      </c>
      <c r="D13644" t="inlineStr">
        <is>
          <t>GÄVLEBORGS LÄN</t>
        </is>
      </c>
      <c r="E13644" t="inlineStr">
        <is>
          <t>NORDANSTIG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61474-2024</t>
        </is>
      </c>
      <c r="B13645" s="1" t="n">
        <v>45646</v>
      </c>
      <c r="C13645" s="1" t="n">
        <v>45668</v>
      </c>
      <c r="D13645" t="inlineStr">
        <is>
          <t>GÄVLEBORGS LÄN</t>
        </is>
      </c>
      <c r="E13645" t="inlineStr">
        <is>
          <t>LJUSDAL</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61492-2024</t>
        </is>
      </c>
      <c r="B13646" s="1" t="n">
        <v>45646</v>
      </c>
      <c r="C13646" s="1" t="n">
        <v>45668</v>
      </c>
      <c r="D13646" t="inlineStr">
        <is>
          <t>GÄVLEBORGS LÄN</t>
        </is>
      </c>
      <c r="E13646" t="inlineStr">
        <is>
          <t>GÄVLE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61501-2024</t>
        </is>
      </c>
      <c r="B13647" s="1" t="n">
        <v>45646</v>
      </c>
      <c r="C13647" s="1" t="n">
        <v>45668</v>
      </c>
      <c r="D13647" t="inlineStr">
        <is>
          <t>GÄVLEBORGS LÄN</t>
        </is>
      </c>
      <c r="E13647" t="inlineStr">
        <is>
          <t>GÄVLE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61456-2024</t>
        </is>
      </c>
      <c r="B13648" s="1" t="n">
        <v>45646</v>
      </c>
      <c r="C13648" s="1" t="n">
        <v>45668</v>
      </c>
      <c r="D13648" t="inlineStr">
        <is>
          <t>GÄVLEBORGS LÄN</t>
        </is>
      </c>
      <c r="E13648" t="inlineStr">
        <is>
          <t>OCKELBO</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61487-2024</t>
        </is>
      </c>
      <c r="B13649" s="1" t="n">
        <v>45646</v>
      </c>
      <c r="C13649" s="1" t="n">
        <v>45668</v>
      </c>
      <c r="D13649" t="inlineStr">
        <is>
          <t>GÄVLEBORGS LÄN</t>
        </is>
      </c>
      <c r="E13649" t="inlineStr">
        <is>
          <t>OVANÅKER</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61508-2024</t>
        </is>
      </c>
      <c r="B13650" s="1" t="n">
        <v>45646</v>
      </c>
      <c r="C13650" s="1" t="n">
        <v>45668</v>
      </c>
      <c r="D13650" t="inlineStr">
        <is>
          <t>GÄVLEBORGS LÄN</t>
        </is>
      </c>
      <c r="E13650" t="inlineStr">
        <is>
          <t>OVANÅKER</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61593-2024</t>
        </is>
      </c>
      <c r="B13651" s="1" t="n">
        <v>45646</v>
      </c>
      <c r="C13651" s="1" t="n">
        <v>45668</v>
      </c>
      <c r="D13651" t="inlineStr">
        <is>
          <t>GÄVLEBORGS LÄN</t>
        </is>
      </c>
      <c r="E13651" t="inlineStr">
        <is>
          <t>HUDIKSVALL</t>
        </is>
      </c>
      <c r="G13651" t="n">
        <v>11.4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61581-2024</t>
        </is>
      </c>
      <c r="B13652" s="1" t="n">
        <v>45646</v>
      </c>
      <c r="C13652" s="1" t="n">
        <v>45668</v>
      </c>
      <c r="D13652" t="inlineStr">
        <is>
          <t>GÄVLEBORGS LÄN</t>
        </is>
      </c>
      <c r="E13652" t="inlineStr">
        <is>
          <t>SÖDERHAMN</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61502-2024</t>
        </is>
      </c>
      <c r="B13653" s="1" t="n">
        <v>45646</v>
      </c>
      <c r="C13653" s="1" t="n">
        <v>45668</v>
      </c>
      <c r="D13653" t="inlineStr">
        <is>
          <t>GÄVLEBORGS LÄN</t>
        </is>
      </c>
      <c r="E13653" t="inlineStr">
        <is>
          <t>OCKELBO</t>
        </is>
      </c>
      <c r="F13653" t="inlineStr">
        <is>
          <t>Bergvik skog väst AB</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61514-2024</t>
        </is>
      </c>
      <c r="B13654" s="1" t="n">
        <v>45646</v>
      </c>
      <c r="C13654" s="1" t="n">
        <v>45668</v>
      </c>
      <c r="D13654" t="inlineStr">
        <is>
          <t>GÄVLEBORGS LÄN</t>
        </is>
      </c>
      <c r="E13654" t="inlineStr">
        <is>
          <t>BOLLNÄS</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61579-2024</t>
        </is>
      </c>
      <c r="B13655" s="1" t="n">
        <v>45646</v>
      </c>
      <c r="C13655" s="1" t="n">
        <v>45668</v>
      </c>
      <c r="D13655" t="inlineStr">
        <is>
          <t>GÄVLEBORGS LÄN</t>
        </is>
      </c>
      <c r="E13655" t="inlineStr">
        <is>
          <t>HUDIKSVALL</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61795-2024</t>
        </is>
      </c>
      <c r="B13656" s="1" t="n">
        <v>45646</v>
      </c>
      <c r="C13656" s="1" t="n">
        <v>45668</v>
      </c>
      <c r="D13656" t="inlineStr">
        <is>
          <t>GÄVLEBORGS LÄN</t>
        </is>
      </c>
      <c r="E13656" t="inlineStr">
        <is>
          <t>BOLLNÄS</t>
        </is>
      </c>
      <c r="G13656" t="n">
        <v>10.6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45668</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45668</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61774-2024</t>
        </is>
      </c>
      <c r="B13659" s="1" t="n">
        <v>45649</v>
      </c>
      <c r="C13659" s="1" t="n">
        <v>45668</v>
      </c>
      <c r="D13659" t="inlineStr">
        <is>
          <t>GÄVLEBORGS LÄN</t>
        </is>
      </c>
      <c r="E13659" t="inlineStr">
        <is>
          <t>SANDVIKEN</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61719-2024</t>
        </is>
      </c>
      <c r="B13660" s="1" t="n">
        <v>45649</v>
      </c>
      <c r="C13660" s="1" t="n">
        <v>45668</v>
      </c>
      <c r="D13660" t="inlineStr">
        <is>
          <t>GÄVLEBORGS LÄN</t>
        </is>
      </c>
      <c r="E13660" t="inlineStr">
        <is>
          <t>BOLLNÄS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61763-2024</t>
        </is>
      </c>
      <c r="B13661" s="1" t="n">
        <v>45649</v>
      </c>
      <c r="C13661" s="1" t="n">
        <v>45668</v>
      </c>
      <c r="D13661" t="inlineStr">
        <is>
          <t>GÄVLEBORGS LÄN</t>
        </is>
      </c>
      <c r="E13661" t="inlineStr">
        <is>
          <t>HUDIKSVALL</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61785-2024</t>
        </is>
      </c>
      <c r="B13662" s="1" t="n">
        <v>45649</v>
      </c>
      <c r="C13662" s="1" t="n">
        <v>45668</v>
      </c>
      <c r="D13662" t="inlineStr">
        <is>
          <t>GÄVLEBORGS LÄN</t>
        </is>
      </c>
      <c r="E13662" t="inlineStr">
        <is>
          <t>HUDIKSVALL</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61792-2024</t>
        </is>
      </c>
      <c r="B13663" s="1" t="n">
        <v>45649</v>
      </c>
      <c r="C13663" s="1" t="n">
        <v>45668</v>
      </c>
      <c r="D13663" t="inlineStr">
        <is>
          <t>GÄVLEBORGS LÄN</t>
        </is>
      </c>
      <c r="E13663" t="inlineStr">
        <is>
          <t>HUDIKSVALL</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61720-2024</t>
        </is>
      </c>
      <c r="B13664" s="1" t="n">
        <v>45649</v>
      </c>
      <c r="C13664" s="1" t="n">
        <v>45668</v>
      </c>
      <c r="D13664" t="inlineStr">
        <is>
          <t>GÄVLEBORGS LÄN</t>
        </is>
      </c>
      <c r="E13664" t="inlineStr">
        <is>
          <t>BOLLNÄS</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61859-2024</t>
        </is>
      </c>
      <c r="B13665" s="1" t="n">
        <v>45649</v>
      </c>
      <c r="C13665" s="1" t="n">
        <v>45668</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61732-2024</t>
        </is>
      </c>
      <c r="B13666" s="1" t="n">
        <v>45649</v>
      </c>
      <c r="C13666" s="1" t="n">
        <v>45668</v>
      </c>
      <c r="D13666" t="inlineStr">
        <is>
          <t>GÄVLEBORGS LÄN</t>
        </is>
      </c>
      <c r="E13666" t="inlineStr">
        <is>
          <t>OCKELBO</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61769-2024</t>
        </is>
      </c>
      <c r="B13667" s="1" t="n">
        <v>45649</v>
      </c>
      <c r="C13667" s="1" t="n">
        <v>45668</v>
      </c>
      <c r="D13667" t="inlineStr">
        <is>
          <t>GÄVLEBORGS LÄN</t>
        </is>
      </c>
      <c r="E13667" t="inlineStr">
        <is>
          <t>BOLLNÄS</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61786-2024</t>
        </is>
      </c>
      <c r="B13668" s="1" t="n">
        <v>45649</v>
      </c>
      <c r="C13668" s="1" t="n">
        <v>45668</v>
      </c>
      <c r="D13668" t="inlineStr">
        <is>
          <t>GÄVLEBORGS LÄN</t>
        </is>
      </c>
      <c r="E13668" t="inlineStr">
        <is>
          <t>GÄVLE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61820-2024</t>
        </is>
      </c>
      <c r="B13669" s="1" t="n">
        <v>45649</v>
      </c>
      <c r="C13669" s="1" t="n">
        <v>45668</v>
      </c>
      <c r="D13669" t="inlineStr">
        <is>
          <t>GÄVLEBORGS LÄN</t>
        </is>
      </c>
      <c r="E13669" t="inlineStr">
        <is>
          <t>SANDVIKEN</t>
        </is>
      </c>
      <c r="G13669" t="n">
        <v>11.1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61822-2024</t>
        </is>
      </c>
      <c r="B13670" s="1" t="n">
        <v>45649</v>
      </c>
      <c r="C13670" s="1" t="n">
        <v>45668</v>
      </c>
      <c r="D13670" t="inlineStr">
        <is>
          <t>GÄVLEBORGS LÄN</t>
        </is>
      </c>
      <c r="E13670" t="inlineStr">
        <is>
          <t>SANDVIKEN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61858-2024</t>
        </is>
      </c>
      <c r="B13671" s="1" t="n">
        <v>45649</v>
      </c>
      <c r="C13671" s="1" t="n">
        <v>45668</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61880-2024</t>
        </is>
      </c>
      <c r="B13672" s="1" t="n">
        <v>45652</v>
      </c>
      <c r="C13672" s="1" t="n">
        <v>45668</v>
      </c>
      <c r="D13672" t="inlineStr">
        <is>
          <t>GÄVLEBORGS LÄN</t>
        </is>
      </c>
      <c r="E13672" t="inlineStr">
        <is>
          <t>GÄVLE</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61881-2024</t>
        </is>
      </c>
      <c r="B13673" s="1" t="n">
        <v>45652</v>
      </c>
      <c r="C13673" s="1" t="n">
        <v>45668</v>
      </c>
      <c r="D13673" t="inlineStr">
        <is>
          <t>GÄVLEBORGS LÄN</t>
        </is>
      </c>
      <c r="E13673" t="inlineStr">
        <is>
          <t>SÖDERHAMN</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61879-2024</t>
        </is>
      </c>
      <c r="B13674" s="1" t="n">
        <v>45652</v>
      </c>
      <c r="C13674" s="1" t="n">
        <v>45668</v>
      </c>
      <c r="D13674" t="inlineStr">
        <is>
          <t>GÄVLEBORGS LÄN</t>
        </is>
      </c>
      <c r="E13674" t="inlineStr">
        <is>
          <t>GÄVLE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45668</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45668</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62162-2024</t>
        </is>
      </c>
      <c r="B13677" s="1" t="n">
        <v>45656</v>
      </c>
      <c r="C13677" s="1" t="n">
        <v>45668</v>
      </c>
      <c r="D13677" t="inlineStr">
        <is>
          <t>GÄVLEBORGS LÄN</t>
        </is>
      </c>
      <c r="E13677" t="inlineStr">
        <is>
          <t>LJUSDAL</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62096-2024</t>
        </is>
      </c>
      <c r="B13678" s="1" t="n">
        <v>45656</v>
      </c>
      <c r="C13678" s="1" t="n">
        <v>45668</v>
      </c>
      <c r="D13678" t="inlineStr">
        <is>
          <t>GÄVLEBORGS LÄN</t>
        </is>
      </c>
      <c r="E13678" t="inlineStr">
        <is>
          <t>OCKELBO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62152-2024</t>
        </is>
      </c>
      <c r="B13679" s="1" t="n">
        <v>45656</v>
      </c>
      <c r="C13679" s="1" t="n">
        <v>45668</v>
      </c>
      <c r="D13679" t="inlineStr">
        <is>
          <t>GÄVLEBORGS LÄN</t>
        </is>
      </c>
      <c r="E13679" t="inlineStr">
        <is>
          <t>OVANÅKER</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62071-2024</t>
        </is>
      </c>
      <c r="B13680" s="1" t="n">
        <v>45656</v>
      </c>
      <c r="C13680" s="1" t="n">
        <v>45668</v>
      </c>
      <c r="D13680" t="inlineStr">
        <is>
          <t>GÄVLEBORGS LÄN</t>
        </is>
      </c>
      <c r="E13680" t="inlineStr">
        <is>
          <t>SANDVIKEN</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45668</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77-2025</t>
        </is>
      </c>
      <c r="B13682" s="1" t="n">
        <v>45659</v>
      </c>
      <c r="C13682" s="1" t="n">
        <v>45668</v>
      </c>
      <c r="D13682" t="inlineStr">
        <is>
          <t>GÄVLEBORGS LÄN</t>
        </is>
      </c>
      <c r="E13682" t="inlineStr">
        <is>
          <t>LJUSDAL</t>
        </is>
      </c>
      <c r="F13682" t="inlineStr">
        <is>
          <t>Allmännings- och besparingsskogar</t>
        </is>
      </c>
      <c r="G13682" t="n">
        <v>15.6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167-2025</t>
        </is>
      </c>
      <c r="B13683" s="1" t="n">
        <v>45659</v>
      </c>
      <c r="C13683" s="1" t="n">
        <v>45668</v>
      </c>
      <c r="D13683" t="inlineStr">
        <is>
          <t>GÄVLEBORGS LÄN</t>
        </is>
      </c>
      <c r="E13683" t="inlineStr">
        <is>
          <t>LJUSDAL</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45668</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204-2025</t>
        </is>
      </c>
      <c r="B13685" s="1" t="n">
        <v>45660</v>
      </c>
      <c r="C13685" s="1" t="n">
        <v>45668</v>
      </c>
      <c r="D13685" t="inlineStr">
        <is>
          <t>GÄVLEBORGS LÄN</t>
        </is>
      </c>
      <c r="E13685" t="inlineStr">
        <is>
          <t>LJUSDAL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208-2025</t>
        </is>
      </c>
      <c r="B13686" s="1" t="n">
        <v>45660</v>
      </c>
      <c r="C13686" s="1" t="n">
        <v>45668</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212-2025</t>
        </is>
      </c>
      <c r="B13687" s="1" t="n">
        <v>45660</v>
      </c>
      <c r="C13687" s="1" t="n">
        <v>45668</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205-2025</t>
        </is>
      </c>
      <c r="B13688" s="1" t="n">
        <v>45660</v>
      </c>
      <c r="C13688" s="1" t="n">
        <v>45668</v>
      </c>
      <c r="D13688" t="inlineStr">
        <is>
          <t>GÄVLEBORGS LÄN</t>
        </is>
      </c>
      <c r="E13688" t="inlineStr">
        <is>
          <t>LJUSDAL</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209-2025</t>
        </is>
      </c>
      <c r="B13689" s="1" t="n">
        <v>45660</v>
      </c>
      <c r="C13689" s="1" t="n">
        <v>45668</v>
      </c>
      <c r="D13689" t="inlineStr">
        <is>
          <t>GÄVLEBORGS LÄN</t>
        </is>
      </c>
      <c r="E13689" t="inlineStr">
        <is>
          <t>LJUSDAL</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225-2025</t>
        </is>
      </c>
      <c r="B13690" s="1" t="n">
        <v>45660</v>
      </c>
      <c r="C13690" s="1" t="n">
        <v>45668</v>
      </c>
      <c r="D13690" t="inlineStr">
        <is>
          <t>GÄVLEBORGS LÄN</t>
        </is>
      </c>
      <c r="E13690" t="inlineStr">
        <is>
          <t>GÄVLE</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230-2025</t>
        </is>
      </c>
      <c r="B13691" s="1" t="n">
        <v>45660</v>
      </c>
      <c r="C13691" s="1" t="n">
        <v>45668</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241-2025</t>
        </is>
      </c>
      <c r="B13692" s="1" t="n">
        <v>45660</v>
      </c>
      <c r="C13692" s="1" t="n">
        <v>45668</v>
      </c>
      <c r="D13692" t="inlineStr">
        <is>
          <t>GÄVLEBORGS LÄN</t>
        </is>
      </c>
      <c r="E13692" t="inlineStr">
        <is>
          <t>SANDVIKEN</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245-2025</t>
        </is>
      </c>
      <c r="B13693" s="1" t="n">
        <v>45660</v>
      </c>
      <c r="C13693" s="1" t="n">
        <v>45668</v>
      </c>
      <c r="D13693" t="inlineStr">
        <is>
          <t>GÄVLEBORGS LÄN</t>
        </is>
      </c>
      <c r="E13693" t="inlineStr">
        <is>
          <t>SANDVIKEN</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268-2025</t>
        </is>
      </c>
      <c r="B13694" s="1" t="n">
        <v>45660</v>
      </c>
      <c r="C13694" s="1" t="n">
        <v>45668</v>
      </c>
      <c r="D13694" t="inlineStr">
        <is>
          <t>GÄVLEBORGS LÄN</t>
        </is>
      </c>
      <c r="E13694" t="inlineStr">
        <is>
          <t>LJUSDAL</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45668</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45668</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206-2025</t>
        </is>
      </c>
      <c r="B13697" s="1" t="n">
        <v>45660</v>
      </c>
      <c r="C13697" s="1" t="n">
        <v>45668</v>
      </c>
      <c r="D13697" t="inlineStr">
        <is>
          <t>GÄVLEBORGS LÄN</t>
        </is>
      </c>
      <c r="E13697" t="inlineStr">
        <is>
          <t>LJUSDAL</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210-2025</t>
        </is>
      </c>
      <c r="B13698" s="1" t="n">
        <v>45660</v>
      </c>
      <c r="C13698" s="1" t="n">
        <v>45668</v>
      </c>
      <c r="D13698" t="inlineStr">
        <is>
          <t>GÄVLEBORGS LÄN</t>
        </is>
      </c>
      <c r="E13698" t="inlineStr">
        <is>
          <t>HUDIKSVALL</t>
        </is>
      </c>
      <c r="F13698" t="inlineStr">
        <is>
          <t>Holmen skog AB</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214-2025</t>
        </is>
      </c>
      <c r="B13699" s="1" t="n">
        <v>45660</v>
      </c>
      <c r="C13699" s="1" t="n">
        <v>45668</v>
      </c>
      <c r="D13699" t="inlineStr">
        <is>
          <t>GÄVLEBORGS LÄN</t>
        </is>
      </c>
      <c r="E13699" t="inlineStr">
        <is>
          <t>GÄVLE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203-2025</t>
        </is>
      </c>
      <c r="B13700" s="1" t="n">
        <v>45660</v>
      </c>
      <c r="C13700" s="1" t="n">
        <v>45668</v>
      </c>
      <c r="D13700" t="inlineStr">
        <is>
          <t>GÄVLEBORGS LÄN</t>
        </is>
      </c>
      <c r="E13700" t="inlineStr">
        <is>
          <t>LJUSDAL</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45668</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232-2025</t>
        </is>
      </c>
      <c r="B13702" s="1" t="n">
        <v>45660</v>
      </c>
      <c r="C13702" s="1" t="n">
        <v>45668</v>
      </c>
      <c r="D13702" t="inlineStr">
        <is>
          <t>GÄVLEBORGS LÄN</t>
        </is>
      </c>
      <c r="E13702" t="inlineStr">
        <is>
          <t>GÄVLE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238-2025</t>
        </is>
      </c>
      <c r="B13703" s="1" t="n">
        <v>45660</v>
      </c>
      <c r="C13703" s="1" t="n">
        <v>45668</v>
      </c>
      <c r="D13703" t="inlineStr">
        <is>
          <t>GÄVLEBORGS LÄN</t>
        </is>
      </c>
      <c r="E13703" t="inlineStr">
        <is>
          <t>SANDVIKEN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250-2025</t>
        </is>
      </c>
      <c r="B13704" s="1" t="n">
        <v>45660</v>
      </c>
      <c r="C13704" s="1" t="n">
        <v>45668</v>
      </c>
      <c r="D13704" t="inlineStr">
        <is>
          <t>GÄVLEBORGS LÄN</t>
        </is>
      </c>
      <c r="E13704" t="inlineStr">
        <is>
          <t>GÄVLE</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255-2025</t>
        </is>
      </c>
      <c r="B13705" s="1" t="n">
        <v>45660</v>
      </c>
      <c r="C13705" s="1" t="n">
        <v>45668</v>
      </c>
      <c r="D13705" t="inlineStr">
        <is>
          <t>GÄVLEBORGS LÄN</t>
        </is>
      </c>
      <c r="E13705" t="inlineStr">
        <is>
          <t>GÄVLE</t>
        </is>
      </c>
      <c r="F13705" t="inlineStr">
        <is>
          <t>Bergvik skog väst AB</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259-2025</t>
        </is>
      </c>
      <c r="B13706" s="1" t="n">
        <v>45660</v>
      </c>
      <c r="C13706" s="1" t="n">
        <v>45668</v>
      </c>
      <c r="D13706" t="inlineStr">
        <is>
          <t>GÄVLEBORGS LÄN</t>
        </is>
      </c>
      <c r="E13706" t="inlineStr">
        <is>
          <t>GÄVLE</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286-2025</t>
        </is>
      </c>
      <c r="B13707" s="1" t="n">
        <v>45660</v>
      </c>
      <c r="C13707" s="1" t="n">
        <v>45668</v>
      </c>
      <c r="D13707" t="inlineStr">
        <is>
          <t>GÄVLEBORGS LÄN</t>
        </is>
      </c>
      <c r="E13707" t="inlineStr">
        <is>
          <t>HUDIKSVALL</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239-2025</t>
        </is>
      </c>
      <c r="B13708" s="1" t="n">
        <v>45660</v>
      </c>
      <c r="C13708" s="1" t="n">
        <v>45668</v>
      </c>
      <c r="D13708" t="inlineStr">
        <is>
          <t>GÄVLEBORGS LÄN</t>
        </is>
      </c>
      <c r="E13708" t="inlineStr">
        <is>
          <t>SANDVIKEN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247-2025</t>
        </is>
      </c>
      <c r="B13709" s="1" t="n">
        <v>45660</v>
      </c>
      <c r="C13709" s="1" t="n">
        <v>45668</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45668</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45668</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405-2025</t>
        </is>
      </c>
      <c r="B13712" s="1" t="n">
        <v>45663</v>
      </c>
      <c r="C13712" s="1" t="n">
        <v>45668</v>
      </c>
      <c r="D13712" t="inlineStr">
        <is>
          <t>GÄVLEBORGS LÄN</t>
        </is>
      </c>
      <c r="E13712" t="inlineStr">
        <is>
          <t>HUDIKSVALL</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411-2025</t>
        </is>
      </c>
      <c r="B13713" s="1" t="n">
        <v>45663</v>
      </c>
      <c r="C13713" s="1" t="n">
        <v>45668</v>
      </c>
      <c r="D13713" t="inlineStr">
        <is>
          <t>GÄVLEBORGS LÄN</t>
        </is>
      </c>
      <c r="E13713" t="inlineStr">
        <is>
          <t>NORDANSTIG</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45668</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449-2025</t>
        </is>
      </c>
      <c r="B13715" s="1" t="n">
        <v>45664</v>
      </c>
      <c r="C13715" s="1" t="n">
        <v>45668</v>
      </c>
      <c r="D13715" t="inlineStr">
        <is>
          <t>GÄVLEBORGS LÄN</t>
        </is>
      </c>
      <c r="E13715" t="inlineStr">
        <is>
          <t>OVANÅKER</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438-2025</t>
        </is>
      </c>
      <c r="B13716" s="1" t="n">
        <v>45664</v>
      </c>
      <c r="C13716" s="1" t="n">
        <v>45668</v>
      </c>
      <c r="D13716" t="inlineStr">
        <is>
          <t>GÄVLEBORGS LÄN</t>
        </is>
      </c>
      <c r="E13716" t="inlineStr">
        <is>
          <t>OVANÅKER</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450-2025</t>
        </is>
      </c>
      <c r="B13717" s="1" t="n">
        <v>45664</v>
      </c>
      <c r="C13717" s="1" t="n">
        <v>45668</v>
      </c>
      <c r="D13717" t="inlineStr">
        <is>
          <t>GÄVLEBORGS LÄN</t>
        </is>
      </c>
      <c r="E13717" t="inlineStr">
        <is>
          <t>HUDIKSVALL</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462-2025</t>
        </is>
      </c>
      <c r="B13718" s="1" t="n">
        <v>45664</v>
      </c>
      <c r="C13718" s="1" t="n">
        <v>45668</v>
      </c>
      <c r="D13718" t="inlineStr">
        <is>
          <t>GÄVLEBORGS LÄN</t>
        </is>
      </c>
      <c r="E13718" t="inlineStr">
        <is>
          <t>LJUSDAL</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447-2025</t>
        </is>
      </c>
      <c r="B13719" s="1" t="n">
        <v>45664</v>
      </c>
      <c r="C13719" s="1" t="n">
        <v>45668</v>
      </c>
      <c r="D13719" t="inlineStr">
        <is>
          <t>GÄVLEBORGS LÄN</t>
        </is>
      </c>
      <c r="E13719" t="inlineStr">
        <is>
          <t>GÄVLE</t>
        </is>
      </c>
      <c r="G13719" t="n">
        <v>6.6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514-2025</t>
        </is>
      </c>
      <c r="B13720" s="1" t="n">
        <v>45664</v>
      </c>
      <c r="C13720" s="1" t="n">
        <v>45668</v>
      </c>
      <c r="D13720" t="inlineStr">
        <is>
          <t>GÄVLEBORGS LÄN</t>
        </is>
      </c>
      <c r="E13720" t="inlineStr">
        <is>
          <t>NORDANSTIG</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444-2025</t>
        </is>
      </c>
      <c r="B13721" s="1" t="n">
        <v>45664</v>
      </c>
      <c r="C13721" s="1" t="n">
        <v>45668</v>
      </c>
      <c r="D13721" t="inlineStr">
        <is>
          <t>GÄVLEBORGS LÄN</t>
        </is>
      </c>
      <c r="E13721" t="inlineStr">
        <is>
          <t>NORDANSTIG</t>
        </is>
      </c>
      <c r="F13721" t="inlineStr">
        <is>
          <t>Holmen skog AB</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452-2025</t>
        </is>
      </c>
      <c r="B13722" s="1" t="n">
        <v>45664</v>
      </c>
      <c r="C13722" s="1" t="n">
        <v>45668</v>
      </c>
      <c r="D13722" t="inlineStr">
        <is>
          <t>GÄVLEBORGS LÄN</t>
        </is>
      </c>
      <c r="E13722" t="inlineStr">
        <is>
          <t>GÄVLE</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579-2025</t>
        </is>
      </c>
      <c r="B13723" s="1" t="n">
        <v>45664</v>
      </c>
      <c r="C13723" s="1" t="n">
        <v>45668</v>
      </c>
      <c r="D13723" t="inlineStr">
        <is>
          <t>GÄVLEBORGS LÄN</t>
        </is>
      </c>
      <c r="E13723" t="inlineStr">
        <is>
          <t>BOLLNÄS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595-2025</t>
        </is>
      </c>
      <c r="B13724" s="1" t="n">
        <v>45664</v>
      </c>
      <c r="C13724" s="1" t="n">
        <v>45668</v>
      </c>
      <c r="D13724" t="inlineStr">
        <is>
          <t>GÄVLEBORGS LÄN</t>
        </is>
      </c>
      <c r="E13724" t="inlineStr">
        <is>
          <t>BOLLNÄS</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553-2025</t>
        </is>
      </c>
      <c r="B13725" s="1" t="n">
        <v>45664</v>
      </c>
      <c r="C13725" s="1" t="n">
        <v>45668</v>
      </c>
      <c r="D13725" t="inlineStr">
        <is>
          <t>GÄVLEBORGS LÄN</t>
        </is>
      </c>
      <c r="E13725" t="inlineStr">
        <is>
          <t>HUDIKSVALL</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586-2025</t>
        </is>
      </c>
      <c r="B13726" s="1" t="n">
        <v>45664</v>
      </c>
      <c r="C13726" s="1" t="n">
        <v>45668</v>
      </c>
      <c r="D13726" t="inlineStr">
        <is>
          <t>GÄVLEBORGS LÄN</t>
        </is>
      </c>
      <c r="E13726" t="inlineStr">
        <is>
          <t>BOLLNÄS</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603-2025</t>
        </is>
      </c>
      <c r="B13727" s="1" t="n">
        <v>45664</v>
      </c>
      <c r="C13727" s="1" t="n">
        <v>45668</v>
      </c>
      <c r="D13727" t="inlineStr">
        <is>
          <t>GÄVLEBORGS LÄN</t>
        </is>
      </c>
      <c r="E13727" t="inlineStr">
        <is>
          <t>HUDIKSVALL</t>
        </is>
      </c>
      <c r="F13727" t="inlineStr">
        <is>
          <t>Holmen skog AB</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628-2025</t>
        </is>
      </c>
      <c r="B13728" s="1" t="n">
        <v>45664</v>
      </c>
      <c r="C13728" s="1" t="n">
        <v>45668</v>
      </c>
      <c r="D13728" t="inlineStr">
        <is>
          <t>GÄVLEBORGS LÄN</t>
        </is>
      </c>
      <c r="E13728" t="inlineStr">
        <is>
          <t>OVANÅKER</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554-2025</t>
        </is>
      </c>
      <c r="B13729" s="1" t="n">
        <v>45664</v>
      </c>
      <c r="C13729" s="1" t="n">
        <v>45668</v>
      </c>
      <c r="D13729" t="inlineStr">
        <is>
          <t>GÄVLEBORGS LÄN</t>
        </is>
      </c>
      <c r="E13729" t="inlineStr">
        <is>
          <t>HOFORS</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574-2025</t>
        </is>
      </c>
      <c r="B13730" s="1" t="n">
        <v>45664</v>
      </c>
      <c r="C13730" s="1" t="n">
        <v>45668</v>
      </c>
      <c r="D13730" t="inlineStr">
        <is>
          <t>GÄVLEBORGS LÄN</t>
        </is>
      </c>
      <c r="E13730" t="inlineStr">
        <is>
          <t>LJUSDAL</t>
        </is>
      </c>
      <c r="F13730" t="inlineStr">
        <is>
          <t>Bergvik skog väst AB</t>
        </is>
      </c>
      <c r="G13730" t="n">
        <v>18.1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593-2025</t>
        </is>
      </c>
      <c r="B13731" s="1" t="n">
        <v>45664</v>
      </c>
      <c r="C13731" s="1" t="n">
        <v>45668</v>
      </c>
      <c r="D13731" t="inlineStr">
        <is>
          <t>GÄVLEBORGS LÄN</t>
        </is>
      </c>
      <c r="E13731" t="inlineStr">
        <is>
          <t>LJUSDAL</t>
        </is>
      </c>
      <c r="G13731" t="n">
        <v>17.9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624-2025</t>
        </is>
      </c>
      <c r="B13732" s="1" t="n">
        <v>45664</v>
      </c>
      <c r="C13732" s="1" t="n">
        <v>45668</v>
      </c>
      <c r="D13732" t="inlineStr">
        <is>
          <t>GÄVLEBORGS LÄN</t>
        </is>
      </c>
      <c r="E13732" t="inlineStr">
        <is>
          <t>HUDIKSVALL</t>
        </is>
      </c>
      <c r="F13732" t="inlineStr">
        <is>
          <t>Holmen skog AB</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617-2025</t>
        </is>
      </c>
      <c r="B13733" s="1" t="n">
        <v>45664</v>
      </c>
      <c r="C13733" s="1" t="n">
        <v>45668</v>
      </c>
      <c r="D13733" t="inlineStr">
        <is>
          <t>GÄVLEBORGS LÄN</t>
        </is>
      </c>
      <c r="E13733" t="inlineStr">
        <is>
          <t>BOLLNÄS</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721-2025</t>
        </is>
      </c>
      <c r="B13734" s="1" t="n">
        <v>45665</v>
      </c>
      <c r="C13734" s="1" t="n">
        <v>45668</v>
      </c>
      <c r="D13734" t="inlineStr">
        <is>
          <t>GÄVLEBORGS LÄN</t>
        </is>
      </c>
      <c r="E13734" t="inlineStr">
        <is>
          <t>SÖDERHAMN</t>
        </is>
      </c>
      <c r="F13734" t="inlineStr">
        <is>
          <t>Bergvik skog väst AB</t>
        </is>
      </c>
      <c r="G13734" t="n">
        <v>15.2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45668</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45668</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701-2025</t>
        </is>
      </c>
      <c r="B13737" s="1" t="n">
        <v>45665</v>
      </c>
      <c r="C13737" s="1" t="n">
        <v>45668</v>
      </c>
      <c r="D13737" t="inlineStr">
        <is>
          <t>GÄVLEBORGS LÄN</t>
        </is>
      </c>
      <c r="E13737" t="inlineStr">
        <is>
          <t>GÄVLE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766-2025</t>
        </is>
      </c>
      <c r="B13738" s="1" t="n">
        <v>45665</v>
      </c>
      <c r="C13738" s="1" t="n">
        <v>45668</v>
      </c>
      <c r="D13738" t="inlineStr">
        <is>
          <t>GÄVLEBORGS LÄN</t>
        </is>
      </c>
      <c r="E13738" t="inlineStr">
        <is>
          <t>SANDVIKEN</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781-2025</t>
        </is>
      </c>
      <c r="B13739" s="1" t="n">
        <v>45665</v>
      </c>
      <c r="C13739" s="1" t="n">
        <v>45668</v>
      </c>
      <c r="D13739" t="inlineStr">
        <is>
          <t>GÄVLEBORGS LÄN</t>
        </is>
      </c>
      <c r="E13739" t="inlineStr">
        <is>
          <t>SANDVIKEN</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937-2025</t>
        </is>
      </c>
      <c r="B13740" s="1" t="n">
        <v>45666</v>
      </c>
      <c r="C13740" s="1" t="n">
        <v>45668</v>
      </c>
      <c r="D13740" t="inlineStr">
        <is>
          <t>GÄVLEBORGS LÄN</t>
        </is>
      </c>
      <c r="E13740" t="inlineStr">
        <is>
          <t>SANDVIKEN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970-2025</t>
        </is>
      </c>
      <c r="B13741" s="1" t="n">
        <v>45666</v>
      </c>
      <c r="C13741" s="1" t="n">
        <v>45668</v>
      </c>
      <c r="D13741" t="inlineStr">
        <is>
          <t>GÄVLEBORGS LÄN</t>
        </is>
      </c>
      <c r="E13741" t="inlineStr">
        <is>
          <t>SANDVIKEN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991-2025</t>
        </is>
      </c>
      <c r="B13742" s="1" t="n">
        <v>45666</v>
      </c>
      <c r="C13742" s="1" t="n">
        <v>45668</v>
      </c>
      <c r="D13742" t="inlineStr">
        <is>
          <t>GÄVLEBORGS LÄN</t>
        </is>
      </c>
      <c r="E13742" t="inlineStr">
        <is>
          <t>OVANÅKER</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1039-2025</t>
        </is>
      </c>
      <c r="B13743" s="1" t="n">
        <v>45666</v>
      </c>
      <c r="C13743" s="1" t="n">
        <v>45668</v>
      </c>
      <c r="D13743" t="inlineStr">
        <is>
          <t>GÄVLEBORGS LÄN</t>
        </is>
      </c>
      <c r="E13743" t="inlineStr">
        <is>
          <t>SANDVIKEN</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1075-2025</t>
        </is>
      </c>
      <c r="B13744" s="1" t="n">
        <v>45666</v>
      </c>
      <c r="C13744" s="1" t="n">
        <v>45668</v>
      </c>
      <c r="D13744" t="inlineStr">
        <is>
          <t>GÄVLEBORGS LÄN</t>
        </is>
      </c>
      <c r="E13744" t="inlineStr">
        <is>
          <t>SÖDERHAMN</t>
        </is>
      </c>
      <c r="F13744" t="inlineStr">
        <is>
          <t>Kommuner</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1062-2025</t>
        </is>
      </c>
      <c r="B13745" s="1" t="n">
        <v>45666</v>
      </c>
      <c r="C13745" s="1" t="n">
        <v>45668</v>
      </c>
      <c r="D13745" t="inlineStr">
        <is>
          <t>GÄVLEBORGS LÄN</t>
        </is>
      </c>
      <c r="E13745" t="inlineStr">
        <is>
          <t>GÄVLE</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1037-2025</t>
        </is>
      </c>
      <c r="B13746" s="1" t="n">
        <v>45666</v>
      </c>
      <c r="C13746" s="1" t="n">
        <v>45668</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1066-2025</t>
        </is>
      </c>
      <c r="B13747" s="1" t="n">
        <v>45666</v>
      </c>
      <c r="C13747" s="1" t="n">
        <v>45668</v>
      </c>
      <c r="D13747" t="inlineStr">
        <is>
          <t>GÄVLEBORGS LÄN</t>
        </is>
      </c>
      <c r="E13747" t="inlineStr">
        <is>
          <t>GÄVLE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1087-2025</t>
        </is>
      </c>
      <c r="B13748" s="1" t="n">
        <v>45666</v>
      </c>
      <c r="C13748" s="1" t="n">
        <v>45668</v>
      </c>
      <c r="D13748" t="inlineStr">
        <is>
          <t>GÄVLEBORGS LÄN</t>
        </is>
      </c>
      <c r="E13748" t="inlineStr">
        <is>
          <t>GÄVLE</t>
        </is>
      </c>
      <c r="F13748" t="inlineStr">
        <is>
          <t>Bergvik skog öst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1060-2025</t>
        </is>
      </c>
      <c r="B13749" s="1" t="n">
        <v>45666</v>
      </c>
      <c r="C13749" s="1" t="n">
        <v>45668</v>
      </c>
      <c r="D13749" t="inlineStr">
        <is>
          <t>GÄVLEBORGS LÄN</t>
        </is>
      </c>
      <c r="E13749" t="inlineStr">
        <is>
          <t>SANDVIKEN</t>
        </is>
      </c>
      <c r="F13749" t="inlineStr">
        <is>
          <t>Bergvik skog öst AB</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1072-2025</t>
        </is>
      </c>
      <c r="B13750" s="1" t="n">
        <v>45666</v>
      </c>
      <c r="C13750" s="1" t="n">
        <v>45668</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1105-2025</t>
        </is>
      </c>
      <c r="B13751" s="1" t="n">
        <v>45666</v>
      </c>
      <c r="C13751" s="1" t="n">
        <v>45668</v>
      </c>
      <c r="D13751" t="inlineStr">
        <is>
          <t>GÄVLEBORGS LÄN</t>
        </is>
      </c>
      <c r="E13751" t="inlineStr">
        <is>
          <t>HUDIKSVALL</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1111-2025</t>
        </is>
      </c>
      <c r="B13752" s="1" t="n">
        <v>45666</v>
      </c>
      <c r="C13752" s="1" t="n">
        <v>45668</v>
      </c>
      <c r="D13752" t="inlineStr">
        <is>
          <t>GÄVLEBORGS LÄN</t>
        </is>
      </c>
      <c r="E13752" t="inlineStr">
        <is>
          <t>HUDIKSVALL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1118-2025</t>
        </is>
      </c>
      <c r="B13753" s="1" t="n">
        <v>45666</v>
      </c>
      <c r="C13753" s="1" t="n">
        <v>45668</v>
      </c>
      <c r="D13753" t="inlineStr">
        <is>
          <t>GÄVLEBORGS LÄN</t>
        </is>
      </c>
      <c r="E13753" t="inlineStr">
        <is>
          <t>NORDANSTIG</t>
        </is>
      </c>
      <c r="F13753" t="inlineStr">
        <is>
          <t>Holmen skog AB</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45668</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1187-2025</t>
        </is>
      </c>
      <c r="B13755" s="1" t="n">
        <v>45667</v>
      </c>
      <c r="C13755" s="1" t="n">
        <v>45668</v>
      </c>
      <c r="D13755" t="inlineStr">
        <is>
          <t>GÄVLEBORGS LÄN</t>
        </is>
      </c>
      <c r="E13755" t="inlineStr">
        <is>
          <t>SANDVIKEN</t>
        </is>
      </c>
      <c r="F13755" t="inlineStr">
        <is>
          <t>Bergvik skog öst AB</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1193-2025</t>
        </is>
      </c>
      <c r="B13756" s="1" t="n">
        <v>45667</v>
      </c>
      <c r="C13756" s="1" t="n">
        <v>45668</v>
      </c>
      <c r="D13756" t="inlineStr">
        <is>
          <t>GÄVLEBORGS LÄN</t>
        </is>
      </c>
      <c r="E13756" t="inlineStr">
        <is>
          <t>OVANÅKER</t>
        </is>
      </c>
      <c r="F13756" t="inlineStr">
        <is>
          <t>Bergvik skog väst AB</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1173-2025</t>
        </is>
      </c>
      <c r="B13757" s="1" t="n">
        <v>45667</v>
      </c>
      <c r="C13757" s="1" t="n">
        <v>45668</v>
      </c>
      <c r="D13757" t="inlineStr">
        <is>
          <t>GÄVLEBORGS LÄN</t>
        </is>
      </c>
      <c r="E13757" t="inlineStr">
        <is>
          <t>OVANÅKER</t>
        </is>
      </c>
      <c r="F13757" t="inlineStr">
        <is>
          <t>Bergvik skog väst AB</t>
        </is>
      </c>
      <c r="G13757" t="n">
        <v>10.5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1222-2025</t>
        </is>
      </c>
      <c r="B13758" s="1" t="n">
        <v>45667</v>
      </c>
      <c r="C13758" s="1" t="n">
        <v>45668</v>
      </c>
      <c r="D13758" t="inlineStr">
        <is>
          <t>GÄVLEBORGS LÄN</t>
        </is>
      </c>
      <c r="E13758" t="inlineStr">
        <is>
          <t>LJUSDAL</t>
        </is>
      </c>
      <c r="F13758" t="inlineStr">
        <is>
          <t>Bergvik skog väst AB</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1226-2025</t>
        </is>
      </c>
      <c r="B13759" s="1" t="n">
        <v>45667</v>
      </c>
      <c r="C13759" s="1" t="n">
        <v>45668</v>
      </c>
      <c r="D13759" t="inlineStr">
        <is>
          <t>GÄVLEBORGS LÄN</t>
        </is>
      </c>
      <c r="E13759" t="inlineStr">
        <is>
          <t>LJUSDAL</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1190-2025</t>
        </is>
      </c>
      <c r="B13760" s="1" t="n">
        <v>45667</v>
      </c>
      <c r="C13760" s="1" t="n">
        <v>45668</v>
      </c>
      <c r="D13760" t="inlineStr">
        <is>
          <t>GÄVLEBORGS LÄN</t>
        </is>
      </c>
      <c r="E13760" t="inlineStr">
        <is>
          <t>OVANÅKER</t>
        </is>
      </c>
      <c r="F13760" t="inlineStr">
        <is>
          <t>Bergvik skog väst AB</t>
        </is>
      </c>
      <c r="G13760" t="n">
        <v>28.8</v>
      </c>
      <c r="H13760" t="n">
        <v>0</v>
      </c>
      <c r="I13760" t="n">
        <v>0</v>
      </c>
      <c r="J13760" t="n">
        <v>0</v>
      </c>
      <c r="K13760" t="n">
        <v>0</v>
      </c>
      <c r="L13760" t="n">
        <v>0</v>
      </c>
      <c r="M13760" t="n">
        <v>0</v>
      </c>
      <c r="N13760" t="n">
        <v>0</v>
      </c>
      <c r="O13760" t="n">
        <v>0</v>
      </c>
      <c r="P13760" t="n">
        <v>0</v>
      </c>
      <c r="Q13760" t="n">
        <v>0</v>
      </c>
      <c r="R13760" s="2" t="inlineStr"/>
      <c r="U13760">
        <f>HYPERLINK("https://klasma.github.io/Logging_2121/knärot/A 1190-2025 karta knärot.png", "A 1190-2025")</f>
        <v/>
      </c>
      <c r="V13760">
        <f>HYPERLINK("https://klasma.github.io/Logging_2121/klagomål/A 1190-2025 FSC-klagomål.docx", "A 1190-2025")</f>
        <v/>
      </c>
      <c r="W13760">
        <f>HYPERLINK("https://klasma.github.io/Logging_2121/klagomålsmail/A 1190-2025 FSC-klagomål mail.docx", "A 1190-2025")</f>
        <v/>
      </c>
      <c r="X13760">
        <f>HYPERLINK("https://klasma.github.io/Logging_2121/tillsyn/A 1190-2025 tillsynsbegäran.docx", "A 1190-2025")</f>
        <v/>
      </c>
      <c r="Y13760">
        <f>HYPERLINK("https://klasma.github.io/Logging_2121/tillsynsmail/A 1190-2025 tillsynsbegäran mail.docx", "A 1190-2025")</f>
        <v/>
      </c>
    </row>
    <row r="13761" ht="15" customHeight="1">
      <c r="A13761" t="inlineStr">
        <is>
          <t>A 1213-2025</t>
        </is>
      </c>
      <c r="B13761" s="1" t="n">
        <v>45667</v>
      </c>
      <c r="C13761" s="1" t="n">
        <v>45668</v>
      </c>
      <c r="D13761" t="inlineStr">
        <is>
          <t>GÄVLEBORGS LÄN</t>
        </is>
      </c>
      <c r="E13761" t="inlineStr">
        <is>
          <t>SANDVIKEN</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1212-2025</t>
        </is>
      </c>
      <c r="B13762" s="1" t="n">
        <v>45667</v>
      </c>
      <c r="C13762" s="1" t="n">
        <v>45668</v>
      </c>
      <c r="D13762" t="inlineStr">
        <is>
          <t>GÄVLEBORGS LÄN</t>
        </is>
      </c>
      <c r="E13762" t="inlineStr">
        <is>
          <t>GÄVLE</t>
        </is>
      </c>
      <c r="F13762" t="inlineStr">
        <is>
          <t>Bergvik skog öst AB</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1221-2025</t>
        </is>
      </c>
      <c r="B13763" s="1" t="n">
        <v>45667</v>
      </c>
      <c r="C13763" s="1" t="n">
        <v>45668</v>
      </c>
      <c r="D13763" t="inlineStr">
        <is>
          <t>GÄVLEBORGS LÄN</t>
        </is>
      </c>
      <c r="E13763" t="inlineStr">
        <is>
          <t>BOLLNÄS</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1256-2025</t>
        </is>
      </c>
      <c r="B13764" s="1" t="n">
        <v>45667</v>
      </c>
      <c r="C13764" s="1" t="n">
        <v>45668</v>
      </c>
      <c r="D13764" t="inlineStr">
        <is>
          <t>GÄVLEBORGS LÄN</t>
        </is>
      </c>
      <c r="E13764" t="inlineStr">
        <is>
          <t>OVANÅKER</t>
        </is>
      </c>
      <c r="F13764" t="inlineStr">
        <is>
          <t>Bergvik skog väst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1261-2025</t>
        </is>
      </c>
      <c r="B13765" s="1" t="n">
        <v>45667</v>
      </c>
      <c r="C13765" s="1" t="n">
        <v>45668</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45668</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1332-2025</t>
        </is>
      </c>
      <c r="B13767" s="1" t="n">
        <v>45667</v>
      </c>
      <c r="C13767" s="1" t="n">
        <v>45668</v>
      </c>
      <c r="D13767" t="inlineStr">
        <is>
          <t>GÄVLEBORGS LÄN</t>
        </is>
      </c>
      <c r="E13767" t="inlineStr">
        <is>
          <t>LJUSDAL</t>
        </is>
      </c>
      <c r="F13767" t="inlineStr">
        <is>
          <t>Holmen skog AB</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1335-2025</t>
        </is>
      </c>
      <c r="B13768" s="1" t="n">
        <v>45667</v>
      </c>
      <c r="C13768" s="1" t="n">
        <v>45668</v>
      </c>
      <c r="D13768" t="inlineStr">
        <is>
          <t>GÄVLEBORGS LÄN</t>
        </is>
      </c>
      <c r="E13768" t="inlineStr">
        <is>
          <t>NORDANSTIG</t>
        </is>
      </c>
      <c r="F13768" t="inlineStr">
        <is>
          <t>Holmen skog AB</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1341-2025</t>
        </is>
      </c>
      <c r="B13769" s="1" t="n">
        <v>45667</v>
      </c>
      <c r="C13769" s="1" t="n">
        <v>45668</v>
      </c>
      <c r="D13769" t="inlineStr">
        <is>
          <t>GÄVLEBORGS LÄN</t>
        </is>
      </c>
      <c r="E13769" t="inlineStr">
        <is>
          <t>OVANÅKER</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1392-2025</t>
        </is>
      </c>
      <c r="B13770" s="1" t="n">
        <v>45667</v>
      </c>
      <c r="C13770" s="1" t="n">
        <v>45668</v>
      </c>
      <c r="D13770" t="inlineStr">
        <is>
          <t>GÄVLEBORGS LÄN</t>
        </is>
      </c>
      <c r="E13770" t="inlineStr">
        <is>
          <t>NORDANSTIG</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1370-2025</t>
        </is>
      </c>
      <c r="B13771" s="1" t="n">
        <v>45667</v>
      </c>
      <c r="C13771" s="1" t="n">
        <v>45668</v>
      </c>
      <c r="D13771" t="inlineStr">
        <is>
          <t>GÄVLEBORGS LÄN</t>
        </is>
      </c>
      <c r="E13771" t="inlineStr">
        <is>
          <t>NORDANSTIG</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1185-2025</t>
        </is>
      </c>
      <c r="B13772" s="1" t="n">
        <v>45667</v>
      </c>
      <c r="C13772" s="1" t="n">
        <v>45668</v>
      </c>
      <c r="D13772" t="inlineStr">
        <is>
          <t>GÄVLEBORGS LÄN</t>
        </is>
      </c>
      <c r="E13772" t="inlineStr">
        <is>
          <t>NORDANSTIG</t>
        </is>
      </c>
      <c r="F13772" t="inlineStr">
        <is>
          <t>Holmen skog AB</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1344-2025</t>
        </is>
      </c>
      <c r="B13773" s="1" t="n">
        <v>45667</v>
      </c>
      <c r="C13773" s="1" t="n">
        <v>45668</v>
      </c>
      <c r="D13773" t="inlineStr">
        <is>
          <t>GÄVLEBORGS LÄN</t>
        </is>
      </c>
      <c r="E13773" t="inlineStr">
        <is>
          <t>GÄVLE</t>
        </is>
      </c>
      <c r="G13773" t="n">
        <v>3.2</v>
      </c>
      <c r="H13773" t="n">
        <v>0</v>
      </c>
      <c r="I13773" t="n">
        <v>0</v>
      </c>
      <c r="J13773" t="n">
        <v>0</v>
      </c>
      <c r="K13773" t="n">
        <v>0</v>
      </c>
      <c r="L13773" t="n">
        <v>0</v>
      </c>
      <c r="M13773" t="n">
        <v>0</v>
      </c>
      <c r="N13773" t="n">
        <v>0</v>
      </c>
      <c r="O13773" t="n">
        <v>0</v>
      </c>
      <c r="P13773" t="n">
        <v>0</v>
      </c>
      <c r="Q13773" t="n">
        <v>0</v>
      </c>
      <c r="R13773" s="2" t="inlineStr"/>
    </row>
    <row r="13774">
      <c r="A13774" t="inlineStr">
        <is>
          <t>A 1372-2025</t>
        </is>
      </c>
      <c r="B13774" s="1" t="n">
        <v>45667</v>
      </c>
      <c r="C13774" s="1" t="n">
        <v>45668</v>
      </c>
      <c r="D13774" t="inlineStr">
        <is>
          <t>GÄVLEBORGS LÄN</t>
        </is>
      </c>
      <c r="E13774" t="inlineStr">
        <is>
          <t>SANDVIKEN</t>
        </is>
      </c>
      <c r="G13774" t="n">
        <v>2.2</v>
      </c>
      <c r="H13774" t="n">
        <v>0</v>
      </c>
      <c r="I13774" t="n">
        <v>0</v>
      </c>
      <c r="J13774" t="n">
        <v>0</v>
      </c>
      <c r="K13774" t="n">
        <v>0</v>
      </c>
      <c r="L13774" t="n">
        <v>0</v>
      </c>
      <c r="M13774" t="n">
        <v>0</v>
      </c>
      <c r="N13774" t="n">
        <v>0</v>
      </c>
      <c r="O13774" t="n">
        <v>0</v>
      </c>
      <c r="P13774" t="n">
        <v>0</v>
      </c>
      <c r="Q13774" t="n">
        <v>0</v>
      </c>
      <c r="R13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2025-01-11T15:53:55Z</dcterms:created>
  <dcterms:modified xmlns:dcterms="http://purl.org/dc/terms/" xmlns:xsi="http://www.w3.org/2001/XMLSchema-instance" xsi:type="dcterms:W3CDTF">2025-01-11T15:54:07Z</dcterms:modified>
</cp:coreProperties>
</file>